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6.xml" ContentType="application/vnd.openxmlformats-officedocument.drawing+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7.xml" ContentType="application/vnd.openxmlformats-officedocument.drawing+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fd7378ae9660d7ba/Desktop/"/>
    </mc:Choice>
  </mc:AlternateContent>
  <xr:revisionPtr revIDLastSave="14" documentId="13_ncr:1_{859139D8-3BDC-4EAD-B2DF-093D6DF76742}" xr6:coauthVersionLast="47" xr6:coauthVersionMax="47" xr10:uidLastSave="{11305915-AC5F-4ED5-AE2E-EA2C5021BB9E}"/>
  <bookViews>
    <workbookView xWindow="-108" yWindow="-108" windowWidth="23256" windowHeight="12456" firstSheet="2" activeTab="2" xr2:uid="{F26C9832-E47E-42CF-9A51-3AC53044742B}"/>
  </bookViews>
  <sheets>
    <sheet name="All_India_Index_Upto_April23 (1" sheetId="1" state="hidden" r:id="rId1"/>
    <sheet name="Sheet4" sheetId="12" state="hidden" r:id="rId2"/>
    <sheet name="Copy" sheetId="18" r:id="rId3"/>
    <sheet name="Main Data" sheetId="3" r:id="rId4"/>
    <sheet name="Sheet2" sheetId="11" state="hidden" r:id="rId5"/>
    <sheet name="Insights" sheetId="13" r:id="rId6"/>
    <sheet name="Sheet8" sheetId="17" state="hidden" r:id="rId7"/>
    <sheet name="Crude oil" sheetId="15" state="hidden" r:id="rId8"/>
    <sheet name="Sheet1" sheetId="2" state="hidden" r:id="rId9"/>
    <sheet name="Sheet3" sheetId="4" state="hidden" r:id="rId10"/>
    <sheet name="Problem Statement 1" sheetId="5" r:id="rId11"/>
    <sheet name="Problem Statement 2" sheetId="6" r:id="rId12"/>
    <sheet name="Problem Statement 3" sheetId="7" r:id="rId13"/>
    <sheet name="Problem Statement 4" sheetId="8" r:id="rId14"/>
    <sheet name="Sheet6" sheetId="14" state="hidden" r:id="rId15"/>
    <sheet name="Problem Satatement 5" sheetId="10" r:id="rId16"/>
    <sheet name="Sheet7" sheetId="16" state="hidden" r:id="rId17"/>
    <sheet name="Sheet5" sheetId="9" state="hidden" r:id="rId18"/>
  </sheets>
  <definedNames>
    <definedName name="_xlnm._FilterDatabase" localSheetId="2" hidden="1">Copy!$A$1:$AM$373</definedName>
    <definedName name="_xlnm._FilterDatabase" localSheetId="3" hidden="1">'Main Data'!$A$1:$AL$373</definedName>
    <definedName name="_xlnm._FilterDatabase" localSheetId="13" hidden="1">'Problem Statement 4'!#REF!</definedName>
    <definedName name="_xlnm._FilterDatabase" localSheetId="14" hidden="1">Sheet6!$A$1:$I$391</definedName>
  </definedNames>
  <calcPr calcId="191029"/>
  <pivotCaches>
    <pivotCache cacheId="0" r:id="rId1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78" i="18" l="1"/>
  <c r="AN2" i="18"/>
  <c r="AM3" i="18"/>
  <c r="AM4" i="18"/>
  <c r="AM5" i="18"/>
  <c r="AM6" i="18"/>
  <c r="AM7" i="18"/>
  <c r="AM8" i="18"/>
  <c r="AM9" i="18"/>
  <c r="AM10" i="18"/>
  <c r="AM11" i="18"/>
  <c r="AM12" i="18"/>
  <c r="AM13" i="18"/>
  <c r="AM14" i="18"/>
  <c r="AM15" i="18"/>
  <c r="AM16" i="18"/>
  <c r="AM17" i="18"/>
  <c r="AM18" i="18"/>
  <c r="AM19" i="18"/>
  <c r="AM20" i="18"/>
  <c r="AM21" i="18"/>
  <c r="AM22" i="18"/>
  <c r="AM23" i="18"/>
  <c r="AM24" i="18"/>
  <c r="AM25" i="18"/>
  <c r="AM26" i="18"/>
  <c r="AM27" i="18"/>
  <c r="AM28" i="18"/>
  <c r="AM29" i="18"/>
  <c r="AM30" i="18"/>
  <c r="AM31" i="18"/>
  <c r="AM32" i="18"/>
  <c r="AM33" i="18"/>
  <c r="AM34" i="18"/>
  <c r="AM35" i="18"/>
  <c r="AM36" i="18"/>
  <c r="AM37" i="18"/>
  <c r="AM38" i="18"/>
  <c r="AM39" i="18"/>
  <c r="AM40" i="18"/>
  <c r="AM41" i="18"/>
  <c r="AM42" i="18"/>
  <c r="AM43" i="18"/>
  <c r="AM44" i="18"/>
  <c r="AM45" i="18"/>
  <c r="AM46" i="18"/>
  <c r="AM47" i="18"/>
  <c r="AM48" i="18"/>
  <c r="AM49" i="18"/>
  <c r="AM50" i="18"/>
  <c r="AM51" i="18"/>
  <c r="AM52" i="18"/>
  <c r="AM53" i="18"/>
  <c r="AM54" i="18"/>
  <c r="AM55" i="18"/>
  <c r="AM56" i="18"/>
  <c r="AM57" i="18"/>
  <c r="AM58" i="18"/>
  <c r="AM59" i="18"/>
  <c r="AM60" i="18"/>
  <c r="AM61" i="18"/>
  <c r="AM62" i="18"/>
  <c r="AM63" i="18"/>
  <c r="AM64" i="18"/>
  <c r="AM65" i="18"/>
  <c r="AM66" i="18"/>
  <c r="AM67" i="18"/>
  <c r="AM68" i="18"/>
  <c r="AM69" i="18"/>
  <c r="AM70" i="18"/>
  <c r="AM71" i="18"/>
  <c r="AM72" i="18"/>
  <c r="AM73" i="18"/>
  <c r="AM74" i="18"/>
  <c r="AM75" i="18"/>
  <c r="AM76" i="18"/>
  <c r="AM77" i="18"/>
  <c r="AM78" i="18"/>
  <c r="AM79" i="18"/>
  <c r="AM80" i="18"/>
  <c r="AM81" i="18"/>
  <c r="AM82" i="18"/>
  <c r="AM83" i="18"/>
  <c r="AM84" i="18"/>
  <c r="AM85" i="18"/>
  <c r="AM86" i="18"/>
  <c r="AM87" i="18"/>
  <c r="AM88" i="18"/>
  <c r="AM89" i="18"/>
  <c r="AM90" i="18"/>
  <c r="AM91" i="18"/>
  <c r="AM92" i="18"/>
  <c r="AM93" i="18"/>
  <c r="AM94" i="18"/>
  <c r="AM95" i="18"/>
  <c r="AM96" i="18"/>
  <c r="AM97" i="18"/>
  <c r="AM98" i="18"/>
  <c r="AM99" i="18"/>
  <c r="AM100" i="18"/>
  <c r="AM101" i="18"/>
  <c r="AM102" i="18"/>
  <c r="AM103" i="18"/>
  <c r="AM104" i="18"/>
  <c r="AM105" i="18"/>
  <c r="AM106" i="18"/>
  <c r="AM107" i="18"/>
  <c r="AM108" i="18"/>
  <c r="AM109" i="18"/>
  <c r="AM110" i="18"/>
  <c r="AM111" i="18"/>
  <c r="AM112" i="18"/>
  <c r="AM113" i="18"/>
  <c r="AM114" i="18"/>
  <c r="AM115" i="18"/>
  <c r="AM116" i="18"/>
  <c r="AM117" i="18"/>
  <c r="AM118" i="18"/>
  <c r="AM119" i="18"/>
  <c r="AM120" i="18"/>
  <c r="AM121" i="18"/>
  <c r="AM122" i="18"/>
  <c r="AM123" i="18"/>
  <c r="AM124" i="18"/>
  <c r="AM125" i="18"/>
  <c r="AM126" i="18"/>
  <c r="AM127" i="18"/>
  <c r="AM128" i="18"/>
  <c r="AM129" i="18"/>
  <c r="AM130" i="18"/>
  <c r="AM131" i="18"/>
  <c r="AM132" i="18"/>
  <c r="AM133" i="18"/>
  <c r="AM134" i="18"/>
  <c r="AM135" i="18"/>
  <c r="AM136" i="18"/>
  <c r="AM137" i="18"/>
  <c r="AM138" i="18"/>
  <c r="AM139" i="18"/>
  <c r="AM140" i="18"/>
  <c r="AM141" i="18"/>
  <c r="AM142" i="18"/>
  <c r="AM143" i="18"/>
  <c r="AM144" i="18"/>
  <c r="AM145" i="18"/>
  <c r="AM146" i="18"/>
  <c r="AM147" i="18"/>
  <c r="AM148" i="18"/>
  <c r="AM149" i="18"/>
  <c r="AM150" i="18"/>
  <c r="AM151" i="18"/>
  <c r="AM152" i="18"/>
  <c r="AM153" i="18"/>
  <c r="AM154" i="18"/>
  <c r="AM155" i="18"/>
  <c r="AM156" i="18"/>
  <c r="AM157" i="18"/>
  <c r="AM158" i="18"/>
  <c r="AM159" i="18"/>
  <c r="AM160" i="18"/>
  <c r="AM161" i="18"/>
  <c r="AM162" i="18"/>
  <c r="AM163" i="18"/>
  <c r="AM164" i="18"/>
  <c r="AM165" i="18"/>
  <c r="AM166" i="18"/>
  <c r="AM167" i="18"/>
  <c r="AM168" i="18"/>
  <c r="AM169" i="18"/>
  <c r="AM170" i="18"/>
  <c r="AM171" i="18"/>
  <c r="AM172" i="18"/>
  <c r="AM173" i="18"/>
  <c r="AM174" i="18"/>
  <c r="AM175" i="18"/>
  <c r="AM176" i="18"/>
  <c r="AM177" i="18"/>
  <c r="AM178" i="18"/>
  <c r="AM179" i="18"/>
  <c r="AM180" i="18"/>
  <c r="AM181" i="18"/>
  <c r="AM182" i="18"/>
  <c r="AM183" i="18"/>
  <c r="AM184" i="18"/>
  <c r="AM185" i="18"/>
  <c r="AM186" i="18"/>
  <c r="AM187" i="18"/>
  <c r="AM188" i="18"/>
  <c r="AM189" i="18"/>
  <c r="AM190" i="18"/>
  <c r="AM191" i="18"/>
  <c r="AM192" i="18"/>
  <c r="AM193" i="18"/>
  <c r="AM194" i="18"/>
  <c r="AM195" i="18"/>
  <c r="AM196" i="18"/>
  <c r="AM197" i="18"/>
  <c r="AM198" i="18"/>
  <c r="AM199" i="18"/>
  <c r="AM200" i="18"/>
  <c r="AM201" i="18"/>
  <c r="AM202" i="18"/>
  <c r="AM203" i="18"/>
  <c r="AM204" i="18"/>
  <c r="AM205" i="18"/>
  <c r="AM206" i="18"/>
  <c r="AM207" i="18"/>
  <c r="AM208" i="18"/>
  <c r="AM209" i="18"/>
  <c r="AM210" i="18"/>
  <c r="AM211" i="18"/>
  <c r="AM212" i="18"/>
  <c r="AM213" i="18"/>
  <c r="AM214" i="18"/>
  <c r="AM215" i="18"/>
  <c r="AM216" i="18"/>
  <c r="AM217" i="18"/>
  <c r="AM218" i="18"/>
  <c r="AM219" i="18"/>
  <c r="AM220" i="18"/>
  <c r="AM221" i="18"/>
  <c r="AM222" i="18"/>
  <c r="AM223" i="18"/>
  <c r="AM224" i="18"/>
  <c r="AM225" i="18"/>
  <c r="AM226" i="18"/>
  <c r="AM227" i="18"/>
  <c r="AM228" i="18"/>
  <c r="AM229" i="18"/>
  <c r="AM230" i="18"/>
  <c r="AM231" i="18"/>
  <c r="AM232" i="18"/>
  <c r="AM233" i="18"/>
  <c r="AM234" i="18"/>
  <c r="AM235" i="18"/>
  <c r="AM236" i="18"/>
  <c r="AM237" i="18"/>
  <c r="AM238" i="18"/>
  <c r="AM239" i="18"/>
  <c r="AM240" i="18"/>
  <c r="AM241" i="18"/>
  <c r="AM242" i="18"/>
  <c r="AM243" i="18"/>
  <c r="AM244" i="18"/>
  <c r="AM245" i="18"/>
  <c r="AM246" i="18"/>
  <c r="AM247" i="18"/>
  <c r="AM248" i="18"/>
  <c r="AM249" i="18"/>
  <c r="AM250" i="18"/>
  <c r="AM251" i="18"/>
  <c r="AM252" i="18"/>
  <c r="AM253" i="18"/>
  <c r="AM254" i="18"/>
  <c r="AM255" i="18"/>
  <c r="AM256" i="18"/>
  <c r="AM257" i="18"/>
  <c r="AM258" i="18"/>
  <c r="AM259" i="18"/>
  <c r="AM260" i="18"/>
  <c r="AM261" i="18"/>
  <c r="AM262" i="18"/>
  <c r="AM263" i="18"/>
  <c r="AM264" i="18"/>
  <c r="AM265" i="18"/>
  <c r="AM266" i="18"/>
  <c r="AM267" i="18"/>
  <c r="AM268" i="18"/>
  <c r="AM269" i="18"/>
  <c r="AM270" i="18"/>
  <c r="AM271" i="18"/>
  <c r="AM272" i="18"/>
  <c r="AM273" i="18"/>
  <c r="AM274" i="18"/>
  <c r="AM275" i="18"/>
  <c r="AM276" i="18"/>
  <c r="AM277" i="18"/>
  <c r="AM278" i="18"/>
  <c r="AM279" i="18"/>
  <c r="AM280" i="18"/>
  <c r="AM281" i="18"/>
  <c r="AM282" i="18"/>
  <c r="AM283" i="18"/>
  <c r="AM284" i="18"/>
  <c r="AM285" i="18"/>
  <c r="AM286" i="18"/>
  <c r="AM287" i="18"/>
  <c r="AM288" i="18"/>
  <c r="AM289" i="18"/>
  <c r="AM290" i="18"/>
  <c r="AM291" i="18"/>
  <c r="AM292" i="18"/>
  <c r="AM293" i="18"/>
  <c r="AM294" i="18"/>
  <c r="AM295" i="18"/>
  <c r="AM296" i="18"/>
  <c r="AM297" i="18"/>
  <c r="AM298" i="18"/>
  <c r="AM299" i="18"/>
  <c r="AM300" i="18"/>
  <c r="AM301" i="18"/>
  <c r="AM302" i="18"/>
  <c r="AM303" i="18"/>
  <c r="AM304" i="18"/>
  <c r="AM305" i="18"/>
  <c r="AM306" i="18"/>
  <c r="AM307" i="18"/>
  <c r="AM308" i="18"/>
  <c r="AM309" i="18"/>
  <c r="AM310" i="18"/>
  <c r="AM311" i="18"/>
  <c r="AM312" i="18"/>
  <c r="AM313" i="18"/>
  <c r="AM314" i="18"/>
  <c r="AM315" i="18"/>
  <c r="AM316" i="18"/>
  <c r="AM317" i="18"/>
  <c r="AM318" i="18"/>
  <c r="AM319" i="18"/>
  <c r="AM320" i="18"/>
  <c r="AM321" i="18"/>
  <c r="AM322" i="18"/>
  <c r="AM323" i="18"/>
  <c r="AM324" i="18"/>
  <c r="AM325" i="18"/>
  <c r="AM326" i="18"/>
  <c r="AM327" i="18"/>
  <c r="AM328" i="18"/>
  <c r="AM329" i="18"/>
  <c r="AM330" i="18"/>
  <c r="AM331" i="18"/>
  <c r="AM332" i="18"/>
  <c r="AM333" i="18"/>
  <c r="AM334" i="18"/>
  <c r="AM335" i="18"/>
  <c r="AM336" i="18"/>
  <c r="AM337" i="18"/>
  <c r="AM338" i="18"/>
  <c r="AM339" i="18"/>
  <c r="AM340" i="18"/>
  <c r="AM341" i="18"/>
  <c r="AM342" i="18"/>
  <c r="AM343" i="18"/>
  <c r="AM344" i="18"/>
  <c r="AM345" i="18"/>
  <c r="AM346" i="18"/>
  <c r="AM347" i="18"/>
  <c r="AM348" i="18"/>
  <c r="AM349" i="18"/>
  <c r="AM350" i="18"/>
  <c r="AM351" i="18"/>
  <c r="AM352" i="18"/>
  <c r="AM353" i="18"/>
  <c r="AM354" i="18"/>
  <c r="AM355" i="18"/>
  <c r="AM356" i="18"/>
  <c r="AM357" i="18"/>
  <c r="AM358" i="18"/>
  <c r="AM359" i="18"/>
  <c r="AM360" i="18"/>
  <c r="AM361" i="18"/>
  <c r="AM362" i="18"/>
  <c r="AM363" i="18"/>
  <c r="AM364" i="18"/>
  <c r="AM365" i="18"/>
  <c r="AM366" i="18"/>
  <c r="AM367" i="18"/>
  <c r="AM368" i="18"/>
  <c r="AM369" i="18"/>
  <c r="AM370" i="18"/>
  <c r="AM371" i="18"/>
  <c r="AM372" i="18"/>
  <c r="AM373" i="18"/>
  <c r="AM2" i="18"/>
  <c r="AL373" i="18"/>
  <c r="AK373" i="18"/>
  <c r="AJ373" i="18"/>
  <c r="AI373" i="18"/>
  <c r="AH373" i="18"/>
  <c r="F373" i="18"/>
  <c r="B373" i="18" s="1"/>
  <c r="E373" i="18" s="1"/>
  <c r="AL372" i="18"/>
  <c r="AK372" i="18"/>
  <c r="AJ372" i="18"/>
  <c r="AI372" i="18"/>
  <c r="AH372" i="18"/>
  <c r="F372" i="18"/>
  <c r="B372" i="18" s="1"/>
  <c r="E372" i="18" s="1"/>
  <c r="AL371" i="18"/>
  <c r="AK371" i="18"/>
  <c r="AJ371" i="18"/>
  <c r="AI371" i="18"/>
  <c r="AH371" i="18"/>
  <c r="F371" i="18"/>
  <c r="B371" i="18" s="1"/>
  <c r="E371" i="18" s="1"/>
  <c r="AL370" i="18"/>
  <c r="AK370" i="18"/>
  <c r="AJ370" i="18"/>
  <c r="AI370" i="18"/>
  <c r="AH370" i="18"/>
  <c r="F370" i="18"/>
  <c r="B370" i="18" s="1"/>
  <c r="E370" i="18" s="1"/>
  <c r="AL369" i="18"/>
  <c r="AK369" i="18"/>
  <c r="AJ369" i="18"/>
  <c r="AI369" i="18"/>
  <c r="AH369" i="18"/>
  <c r="F369" i="18"/>
  <c r="B369" i="18" s="1"/>
  <c r="E369" i="18" s="1"/>
  <c r="AL368" i="18"/>
  <c r="AK368" i="18"/>
  <c r="AJ368" i="18"/>
  <c r="AI368" i="18"/>
  <c r="AH368" i="18"/>
  <c r="F368" i="18"/>
  <c r="B368" i="18" s="1"/>
  <c r="E368" i="18" s="1"/>
  <c r="AL367" i="18"/>
  <c r="AK367" i="18"/>
  <c r="AJ367" i="18"/>
  <c r="AI367" i="18"/>
  <c r="AH367" i="18"/>
  <c r="F367" i="18"/>
  <c r="B367" i="18" s="1"/>
  <c r="E367" i="18" s="1"/>
  <c r="AL366" i="18"/>
  <c r="AK366" i="18"/>
  <c r="AJ366" i="18"/>
  <c r="AI366" i="18"/>
  <c r="AH366" i="18"/>
  <c r="F366" i="18"/>
  <c r="B366" i="18" s="1"/>
  <c r="E366" i="18" s="1"/>
  <c r="AL365" i="18"/>
  <c r="AK365" i="18"/>
  <c r="AJ365" i="18"/>
  <c r="AI365" i="18"/>
  <c r="AH365" i="18"/>
  <c r="F365" i="18"/>
  <c r="B365" i="18" s="1"/>
  <c r="E365" i="18" s="1"/>
  <c r="AL364" i="18"/>
  <c r="AK364" i="18"/>
  <c r="AJ364" i="18"/>
  <c r="AI364" i="18"/>
  <c r="AH364" i="18"/>
  <c r="F364" i="18"/>
  <c r="B364" i="18" s="1"/>
  <c r="E364" i="18" s="1"/>
  <c r="AL363" i="18"/>
  <c r="AK363" i="18"/>
  <c r="AJ363" i="18"/>
  <c r="AI363" i="18"/>
  <c r="AH363" i="18"/>
  <c r="F363" i="18"/>
  <c r="B363" i="18" s="1"/>
  <c r="E363" i="18" s="1"/>
  <c r="AL362" i="18"/>
  <c r="AK362" i="18"/>
  <c r="AJ362" i="18"/>
  <c r="AI362" i="18"/>
  <c r="AH362" i="18"/>
  <c r="F362" i="18"/>
  <c r="B362" i="18" s="1"/>
  <c r="E362" i="18" s="1"/>
  <c r="AL361" i="18"/>
  <c r="AK361" i="18"/>
  <c r="AJ361" i="18"/>
  <c r="AI361" i="18"/>
  <c r="AH361" i="18"/>
  <c r="F361" i="18"/>
  <c r="B361" i="18" s="1"/>
  <c r="E361" i="18" s="1"/>
  <c r="AL360" i="18"/>
  <c r="AK360" i="18"/>
  <c r="AJ360" i="18"/>
  <c r="AI360" i="18"/>
  <c r="AH360" i="18"/>
  <c r="F360" i="18"/>
  <c r="B360" i="18" s="1"/>
  <c r="E360" i="18" s="1"/>
  <c r="AL359" i="18"/>
  <c r="AK359" i="18"/>
  <c r="AJ359" i="18"/>
  <c r="AI359" i="18"/>
  <c r="AH359" i="18"/>
  <c r="F359" i="18"/>
  <c r="B359" i="18" s="1"/>
  <c r="E359" i="18" s="1"/>
  <c r="AL358" i="18"/>
  <c r="AK358" i="18"/>
  <c r="AJ358" i="18"/>
  <c r="AI358" i="18"/>
  <c r="AH358" i="18"/>
  <c r="F358" i="18"/>
  <c r="B358" i="18" s="1"/>
  <c r="E358" i="18" s="1"/>
  <c r="AL357" i="18"/>
  <c r="AK357" i="18"/>
  <c r="AJ357" i="18"/>
  <c r="AI357" i="18"/>
  <c r="AH357" i="18"/>
  <c r="F357" i="18"/>
  <c r="B357" i="18" s="1"/>
  <c r="E357" i="18" s="1"/>
  <c r="AL356" i="18"/>
  <c r="AK356" i="18"/>
  <c r="AJ356" i="18"/>
  <c r="AI356" i="18"/>
  <c r="AH356" i="18"/>
  <c r="F356" i="18"/>
  <c r="B356" i="18" s="1"/>
  <c r="E356" i="18" s="1"/>
  <c r="AL355" i="18"/>
  <c r="AK355" i="18"/>
  <c r="AJ355" i="18"/>
  <c r="AI355" i="18"/>
  <c r="AH355" i="18"/>
  <c r="F355" i="18"/>
  <c r="B355" i="18" s="1"/>
  <c r="E355" i="18" s="1"/>
  <c r="AL354" i="18"/>
  <c r="AK354" i="18"/>
  <c r="AJ354" i="18"/>
  <c r="AI354" i="18"/>
  <c r="AH354" i="18"/>
  <c r="F354" i="18"/>
  <c r="B354" i="18" s="1"/>
  <c r="E354" i="18" s="1"/>
  <c r="AL353" i="18"/>
  <c r="AK353" i="18"/>
  <c r="AJ353" i="18"/>
  <c r="AI353" i="18"/>
  <c r="AH353" i="18"/>
  <c r="F353" i="18"/>
  <c r="B353" i="18" s="1"/>
  <c r="E353" i="18" s="1"/>
  <c r="AL352" i="18"/>
  <c r="AK352" i="18"/>
  <c r="AJ352" i="18"/>
  <c r="AI352" i="18"/>
  <c r="AH352" i="18"/>
  <c r="F352" i="18"/>
  <c r="B352" i="18" s="1"/>
  <c r="E352" i="18" s="1"/>
  <c r="AL351" i="18"/>
  <c r="AK351" i="18"/>
  <c r="AJ351" i="18"/>
  <c r="AI351" i="18"/>
  <c r="AH351" i="18"/>
  <c r="F351" i="18"/>
  <c r="B351" i="18" s="1"/>
  <c r="E351" i="18" s="1"/>
  <c r="AL350" i="18"/>
  <c r="AK350" i="18"/>
  <c r="AJ350" i="18"/>
  <c r="AI350" i="18"/>
  <c r="AH350" i="18"/>
  <c r="F350" i="18"/>
  <c r="B350" i="18" s="1"/>
  <c r="E350" i="18" s="1"/>
  <c r="AL349" i="18"/>
  <c r="AK349" i="18"/>
  <c r="AJ349" i="18"/>
  <c r="AI349" i="18"/>
  <c r="AH349" i="18"/>
  <c r="F349" i="18"/>
  <c r="B349" i="18" s="1"/>
  <c r="E349" i="18" s="1"/>
  <c r="AL348" i="18"/>
  <c r="AK348" i="18"/>
  <c r="AJ348" i="18"/>
  <c r="AI348" i="18"/>
  <c r="AH348" i="18"/>
  <c r="F348" i="18"/>
  <c r="B348" i="18" s="1"/>
  <c r="E348" i="18" s="1"/>
  <c r="AL347" i="18"/>
  <c r="AK347" i="18"/>
  <c r="AJ347" i="18"/>
  <c r="AI347" i="18"/>
  <c r="AH347" i="18"/>
  <c r="F347" i="18"/>
  <c r="B347" i="18" s="1"/>
  <c r="E347" i="18" s="1"/>
  <c r="AL346" i="18"/>
  <c r="AK346" i="18"/>
  <c r="AJ346" i="18"/>
  <c r="AI346" i="18"/>
  <c r="AH346" i="18"/>
  <c r="F346" i="18"/>
  <c r="B346" i="18" s="1"/>
  <c r="E346" i="18" s="1"/>
  <c r="AL345" i="18"/>
  <c r="AK345" i="18"/>
  <c r="AJ345" i="18"/>
  <c r="AI345" i="18"/>
  <c r="AH345" i="18"/>
  <c r="F345" i="18"/>
  <c r="B345" i="18" s="1"/>
  <c r="E345" i="18" s="1"/>
  <c r="AL344" i="18"/>
  <c r="AK344" i="18"/>
  <c r="AJ344" i="18"/>
  <c r="AI344" i="18"/>
  <c r="AH344" i="18"/>
  <c r="F344" i="18"/>
  <c r="B344" i="18" s="1"/>
  <c r="E344" i="18" s="1"/>
  <c r="AL343" i="18"/>
  <c r="AK343" i="18"/>
  <c r="AJ343" i="18"/>
  <c r="AI343" i="18"/>
  <c r="AH343" i="18"/>
  <c r="F343" i="18"/>
  <c r="B343" i="18" s="1"/>
  <c r="E343" i="18" s="1"/>
  <c r="AL342" i="18"/>
  <c r="AK342" i="18"/>
  <c r="AJ342" i="18"/>
  <c r="AI342" i="18"/>
  <c r="AH342" i="18"/>
  <c r="F342" i="18"/>
  <c r="B342" i="18" s="1"/>
  <c r="E342" i="18" s="1"/>
  <c r="AL341" i="18"/>
  <c r="AK341" i="18"/>
  <c r="AJ341" i="18"/>
  <c r="AI341" i="18"/>
  <c r="AH341" i="18"/>
  <c r="F341" i="18"/>
  <c r="B341" i="18" s="1"/>
  <c r="E341" i="18" s="1"/>
  <c r="AL340" i="18"/>
  <c r="AK340" i="18"/>
  <c r="AJ340" i="18"/>
  <c r="AI340" i="18"/>
  <c r="AH340" i="18"/>
  <c r="F340" i="18"/>
  <c r="B340" i="18" s="1"/>
  <c r="E340" i="18" s="1"/>
  <c r="AL339" i="18"/>
  <c r="AK339" i="18"/>
  <c r="AJ339" i="18"/>
  <c r="AI339" i="18"/>
  <c r="AH339" i="18"/>
  <c r="F339" i="18"/>
  <c r="B339" i="18" s="1"/>
  <c r="E339" i="18" s="1"/>
  <c r="AL338" i="18"/>
  <c r="AK338" i="18"/>
  <c r="AJ338" i="18"/>
  <c r="AI338" i="18"/>
  <c r="AH338" i="18"/>
  <c r="F338" i="18"/>
  <c r="B338" i="18" s="1"/>
  <c r="E338" i="18" s="1"/>
  <c r="AL337" i="18"/>
  <c r="AK337" i="18"/>
  <c r="AJ337" i="18"/>
  <c r="AI337" i="18"/>
  <c r="AH337" i="18"/>
  <c r="F337" i="18"/>
  <c r="B337" i="18" s="1"/>
  <c r="E337" i="18" s="1"/>
  <c r="AL336" i="18"/>
  <c r="AK336" i="18"/>
  <c r="AJ336" i="18"/>
  <c r="AI336" i="18"/>
  <c r="AH336" i="18"/>
  <c r="F336" i="18"/>
  <c r="B336" i="18" s="1"/>
  <c r="E336" i="18" s="1"/>
  <c r="AL335" i="18"/>
  <c r="AK335" i="18"/>
  <c r="AJ335" i="18"/>
  <c r="AI335" i="18"/>
  <c r="AH335" i="18"/>
  <c r="F335" i="18"/>
  <c r="B335" i="18" s="1"/>
  <c r="E335" i="18" s="1"/>
  <c r="AL334" i="18"/>
  <c r="AK334" i="18"/>
  <c r="AJ334" i="18"/>
  <c r="AI334" i="18"/>
  <c r="AH334" i="18"/>
  <c r="F334" i="18"/>
  <c r="B334" i="18" s="1"/>
  <c r="E334" i="18" s="1"/>
  <c r="AL333" i="18"/>
  <c r="AK333" i="18"/>
  <c r="AJ333" i="18"/>
  <c r="AI333" i="18"/>
  <c r="AH333" i="18"/>
  <c r="F333" i="18"/>
  <c r="B333" i="18" s="1"/>
  <c r="E333" i="18" s="1"/>
  <c r="AL332" i="18"/>
  <c r="AK332" i="18"/>
  <c r="AJ332" i="18"/>
  <c r="AI332" i="18"/>
  <c r="AH332" i="18"/>
  <c r="F332" i="18"/>
  <c r="B332" i="18" s="1"/>
  <c r="E332" i="18" s="1"/>
  <c r="AL331" i="18"/>
  <c r="AK331" i="18"/>
  <c r="AJ331" i="18"/>
  <c r="AI331" i="18"/>
  <c r="AH331" i="18"/>
  <c r="F331" i="18"/>
  <c r="B331" i="18" s="1"/>
  <c r="E331" i="18" s="1"/>
  <c r="AL330" i="18"/>
  <c r="AK330" i="18"/>
  <c r="AJ330" i="18"/>
  <c r="AI330" i="18"/>
  <c r="AH330" i="18"/>
  <c r="F330" i="18"/>
  <c r="B330" i="18" s="1"/>
  <c r="E330" i="18" s="1"/>
  <c r="AL329" i="18"/>
  <c r="AK329" i="18"/>
  <c r="AJ329" i="18"/>
  <c r="AI329" i="18"/>
  <c r="AH329" i="18"/>
  <c r="F329" i="18"/>
  <c r="B329" i="18" s="1"/>
  <c r="E329" i="18" s="1"/>
  <c r="AL328" i="18"/>
  <c r="AK328" i="18"/>
  <c r="AJ328" i="18"/>
  <c r="AI328" i="18"/>
  <c r="AH328" i="18"/>
  <c r="F328" i="18"/>
  <c r="B328" i="18" s="1"/>
  <c r="E328" i="18" s="1"/>
  <c r="AL327" i="18"/>
  <c r="AK327" i="18"/>
  <c r="AJ327" i="18"/>
  <c r="AI327" i="18"/>
  <c r="AH327" i="18"/>
  <c r="F327" i="18"/>
  <c r="B327" i="18" s="1"/>
  <c r="E327" i="18" s="1"/>
  <c r="AL326" i="18"/>
  <c r="AK326" i="18"/>
  <c r="AJ326" i="18"/>
  <c r="AI326" i="18"/>
  <c r="AH326" i="18"/>
  <c r="F326" i="18"/>
  <c r="B326" i="18" s="1"/>
  <c r="E326" i="18" s="1"/>
  <c r="AL325" i="18"/>
  <c r="AK325" i="18"/>
  <c r="AJ325" i="18"/>
  <c r="AI325" i="18"/>
  <c r="AH325" i="18"/>
  <c r="F325" i="18"/>
  <c r="B325" i="18" s="1"/>
  <c r="E325" i="18" s="1"/>
  <c r="AL324" i="18"/>
  <c r="AK324" i="18"/>
  <c r="AJ324" i="18"/>
  <c r="AI324" i="18"/>
  <c r="AH324" i="18"/>
  <c r="F324" i="18"/>
  <c r="B324" i="18" s="1"/>
  <c r="E324" i="18" s="1"/>
  <c r="AL323" i="18"/>
  <c r="AK323" i="18"/>
  <c r="AJ323" i="18"/>
  <c r="AI323" i="18"/>
  <c r="AH323" i="18"/>
  <c r="F323" i="18"/>
  <c r="B323" i="18" s="1"/>
  <c r="E323" i="18" s="1"/>
  <c r="AL322" i="18"/>
  <c r="AK322" i="18"/>
  <c r="AJ322" i="18"/>
  <c r="AI322" i="18"/>
  <c r="AH322" i="18"/>
  <c r="F322" i="18"/>
  <c r="B322" i="18" s="1"/>
  <c r="E322" i="18" s="1"/>
  <c r="AL321" i="18"/>
  <c r="AK321" i="18"/>
  <c r="AJ321" i="18"/>
  <c r="AI321" i="18"/>
  <c r="AH321" i="18"/>
  <c r="F321" i="18"/>
  <c r="B321" i="18" s="1"/>
  <c r="E321" i="18" s="1"/>
  <c r="AL320" i="18"/>
  <c r="AK320" i="18"/>
  <c r="AJ320" i="18"/>
  <c r="AI320" i="18"/>
  <c r="AH320" i="18"/>
  <c r="F320" i="18"/>
  <c r="B320" i="18" s="1"/>
  <c r="E320" i="18" s="1"/>
  <c r="AL319" i="18"/>
  <c r="AK319" i="18"/>
  <c r="AJ319" i="18"/>
  <c r="AI319" i="18"/>
  <c r="AH319" i="18"/>
  <c r="F319" i="18"/>
  <c r="B319" i="18" s="1"/>
  <c r="E319" i="18" s="1"/>
  <c r="AL318" i="18"/>
  <c r="AK318" i="18"/>
  <c r="AJ318" i="18"/>
  <c r="AI318" i="18"/>
  <c r="AH318" i="18"/>
  <c r="F318" i="18"/>
  <c r="B318" i="18" s="1"/>
  <c r="E318" i="18" s="1"/>
  <c r="AL317" i="18"/>
  <c r="AK317" i="18"/>
  <c r="AJ317" i="18"/>
  <c r="AI317" i="18"/>
  <c r="AH317" i="18"/>
  <c r="F317" i="18"/>
  <c r="B317" i="18" s="1"/>
  <c r="E317" i="18" s="1"/>
  <c r="AL316" i="18"/>
  <c r="AK316" i="18"/>
  <c r="AJ316" i="18"/>
  <c r="AI316" i="18"/>
  <c r="AH316" i="18"/>
  <c r="F316" i="18"/>
  <c r="B316" i="18" s="1"/>
  <c r="E316" i="18" s="1"/>
  <c r="AL315" i="18"/>
  <c r="AK315" i="18"/>
  <c r="AJ315" i="18"/>
  <c r="AI315" i="18"/>
  <c r="AH315" i="18"/>
  <c r="F315" i="18"/>
  <c r="B315" i="18"/>
  <c r="E315" i="18" s="1"/>
  <c r="AL314" i="18"/>
  <c r="AK314" i="18"/>
  <c r="AJ314" i="18"/>
  <c r="AI314" i="18"/>
  <c r="AH314" i="18"/>
  <c r="F314" i="18"/>
  <c r="B314" i="18" s="1"/>
  <c r="E314" i="18" s="1"/>
  <c r="AL313" i="18"/>
  <c r="AK313" i="18"/>
  <c r="AJ313" i="18"/>
  <c r="AI313" i="18"/>
  <c r="AH313" i="18"/>
  <c r="F313" i="18"/>
  <c r="B313" i="18"/>
  <c r="E313" i="18" s="1"/>
  <c r="AL312" i="18"/>
  <c r="AK312" i="18"/>
  <c r="AJ312" i="18"/>
  <c r="AI312" i="18"/>
  <c r="AH312" i="18"/>
  <c r="F312" i="18"/>
  <c r="B312" i="18" s="1"/>
  <c r="E312" i="18" s="1"/>
  <c r="AL311" i="18"/>
  <c r="AK311" i="18"/>
  <c r="AJ311" i="18"/>
  <c r="AI311" i="18"/>
  <c r="AH311" i="18"/>
  <c r="F311" i="18"/>
  <c r="B311" i="18"/>
  <c r="E311" i="18" s="1"/>
  <c r="AL310" i="18"/>
  <c r="AK310" i="18"/>
  <c r="AJ310" i="18"/>
  <c r="AI310" i="18"/>
  <c r="AH310" i="18"/>
  <c r="F310" i="18"/>
  <c r="B310" i="18" s="1"/>
  <c r="E310" i="18" s="1"/>
  <c r="AL309" i="18"/>
  <c r="AK309" i="18"/>
  <c r="AJ309" i="18"/>
  <c r="AI309" i="18"/>
  <c r="AH309" i="18"/>
  <c r="F309" i="18"/>
  <c r="B309" i="18"/>
  <c r="E309" i="18" s="1"/>
  <c r="AL308" i="18"/>
  <c r="AK308" i="18"/>
  <c r="AJ308" i="18"/>
  <c r="AI308" i="18"/>
  <c r="AH308" i="18"/>
  <c r="F308" i="18"/>
  <c r="B308" i="18" s="1"/>
  <c r="E308" i="18" s="1"/>
  <c r="AL307" i="18"/>
  <c r="AK307" i="18"/>
  <c r="AJ307" i="18"/>
  <c r="AI307" i="18"/>
  <c r="AH307" i="18"/>
  <c r="F307" i="18"/>
  <c r="B307" i="18"/>
  <c r="E307" i="18" s="1"/>
  <c r="AL306" i="18"/>
  <c r="AK306" i="18"/>
  <c r="AJ306" i="18"/>
  <c r="AI306" i="18"/>
  <c r="AH306" i="18"/>
  <c r="F306" i="18"/>
  <c r="B306" i="18" s="1"/>
  <c r="E306" i="18" s="1"/>
  <c r="AL305" i="18"/>
  <c r="AK305" i="18"/>
  <c r="AJ305" i="18"/>
  <c r="AI305" i="18"/>
  <c r="AH305" i="18"/>
  <c r="F305" i="18"/>
  <c r="B305" i="18"/>
  <c r="E305" i="18" s="1"/>
  <c r="AL304" i="18"/>
  <c r="AK304" i="18"/>
  <c r="AJ304" i="18"/>
  <c r="AI304" i="18"/>
  <c r="AH304" i="18"/>
  <c r="F304" i="18"/>
  <c r="B304" i="18" s="1"/>
  <c r="E304" i="18" s="1"/>
  <c r="AL303" i="18"/>
  <c r="AK303" i="18"/>
  <c r="AJ303" i="18"/>
  <c r="AI303" i="18"/>
  <c r="AH303" i="18"/>
  <c r="F303" i="18"/>
  <c r="B303" i="18"/>
  <c r="E303" i="18" s="1"/>
  <c r="AL302" i="18"/>
  <c r="AK302" i="18"/>
  <c r="AJ302" i="18"/>
  <c r="AI302" i="18"/>
  <c r="AH302" i="18"/>
  <c r="F302" i="18"/>
  <c r="B302" i="18" s="1"/>
  <c r="E302" i="18" s="1"/>
  <c r="AL301" i="18"/>
  <c r="AK301" i="18"/>
  <c r="AJ301" i="18"/>
  <c r="AI301" i="18"/>
  <c r="AH301" i="18"/>
  <c r="F301" i="18"/>
  <c r="B301" i="18"/>
  <c r="E301" i="18" s="1"/>
  <c r="AL300" i="18"/>
  <c r="AK300" i="18"/>
  <c r="AJ300" i="18"/>
  <c r="AI300" i="18"/>
  <c r="AH300" i="18"/>
  <c r="F300" i="18"/>
  <c r="B300" i="18" s="1"/>
  <c r="E300" i="18" s="1"/>
  <c r="AL299" i="18"/>
  <c r="AK299" i="18"/>
  <c r="AJ299" i="18"/>
  <c r="AI299" i="18"/>
  <c r="AH299" i="18"/>
  <c r="F299" i="18"/>
  <c r="B299" i="18"/>
  <c r="E299" i="18" s="1"/>
  <c r="AL298" i="18"/>
  <c r="AK298" i="18"/>
  <c r="AJ298" i="18"/>
  <c r="AI298" i="18"/>
  <c r="AH298" i="18"/>
  <c r="F298" i="18"/>
  <c r="B298" i="18" s="1"/>
  <c r="E298" i="18" s="1"/>
  <c r="AL297" i="18"/>
  <c r="AK297" i="18"/>
  <c r="AJ297" i="18"/>
  <c r="AI297" i="18"/>
  <c r="AH297" i="18"/>
  <c r="F297" i="18"/>
  <c r="B297" i="18"/>
  <c r="E297" i="18" s="1"/>
  <c r="AL296" i="18"/>
  <c r="AK296" i="18"/>
  <c r="AJ296" i="18"/>
  <c r="AI296" i="18"/>
  <c r="AH296" i="18"/>
  <c r="F296" i="18"/>
  <c r="B296" i="18" s="1"/>
  <c r="E296" i="18" s="1"/>
  <c r="AL295" i="18"/>
  <c r="AK295" i="18"/>
  <c r="AJ295" i="18"/>
  <c r="AI295" i="18"/>
  <c r="AH295" i="18"/>
  <c r="F295" i="18"/>
  <c r="B295" i="18"/>
  <c r="E295" i="18" s="1"/>
  <c r="AL294" i="18"/>
  <c r="AK294" i="18"/>
  <c r="AJ294" i="18"/>
  <c r="AI294" i="18"/>
  <c r="AH294" i="18"/>
  <c r="F294" i="18"/>
  <c r="B294" i="18" s="1"/>
  <c r="E294" i="18" s="1"/>
  <c r="AL293" i="18"/>
  <c r="AK293" i="18"/>
  <c r="AJ293" i="18"/>
  <c r="AI293" i="18"/>
  <c r="AH293" i="18"/>
  <c r="F293" i="18"/>
  <c r="B293" i="18"/>
  <c r="E293" i="18" s="1"/>
  <c r="AL292" i="18"/>
  <c r="AK292" i="18"/>
  <c r="AJ292" i="18"/>
  <c r="AI292" i="18"/>
  <c r="AH292" i="18"/>
  <c r="F292" i="18"/>
  <c r="B292" i="18" s="1"/>
  <c r="E292" i="18" s="1"/>
  <c r="AL291" i="18"/>
  <c r="AK291" i="18"/>
  <c r="AJ291" i="18"/>
  <c r="AI291" i="18"/>
  <c r="AH291" i="18"/>
  <c r="F291" i="18"/>
  <c r="B291" i="18"/>
  <c r="E291" i="18" s="1"/>
  <c r="AL290" i="18"/>
  <c r="AK290" i="18"/>
  <c r="AJ290" i="18"/>
  <c r="AI290" i="18"/>
  <c r="AH290" i="18"/>
  <c r="F290" i="18"/>
  <c r="B290" i="18" s="1"/>
  <c r="E290" i="18" s="1"/>
  <c r="AL289" i="18"/>
  <c r="AK289" i="18"/>
  <c r="AJ289" i="18"/>
  <c r="AI289" i="18"/>
  <c r="AH289" i="18"/>
  <c r="F289" i="18"/>
  <c r="B289" i="18"/>
  <c r="E289" i="18" s="1"/>
  <c r="AL288" i="18"/>
  <c r="AK288" i="18"/>
  <c r="AJ288" i="18"/>
  <c r="AI288" i="18"/>
  <c r="AH288" i="18"/>
  <c r="F288" i="18"/>
  <c r="B288" i="18" s="1"/>
  <c r="E288" i="18" s="1"/>
  <c r="AL287" i="18"/>
  <c r="AK287" i="18"/>
  <c r="AJ287" i="18"/>
  <c r="AI287" i="18"/>
  <c r="AH287" i="18"/>
  <c r="F287" i="18"/>
  <c r="B287" i="18"/>
  <c r="E287" i="18" s="1"/>
  <c r="AL286" i="18"/>
  <c r="AK286" i="18"/>
  <c r="AJ286" i="18"/>
  <c r="AI286" i="18"/>
  <c r="AH286" i="18"/>
  <c r="F286" i="18"/>
  <c r="B286" i="18" s="1"/>
  <c r="E286" i="18" s="1"/>
  <c r="AL285" i="18"/>
  <c r="AK285" i="18"/>
  <c r="AJ285" i="18"/>
  <c r="AI285" i="18"/>
  <c r="AH285" i="18"/>
  <c r="F285" i="18"/>
  <c r="B285" i="18"/>
  <c r="E285" i="18" s="1"/>
  <c r="AL284" i="18"/>
  <c r="AK284" i="18"/>
  <c r="AJ284" i="18"/>
  <c r="AI284" i="18"/>
  <c r="AH284" i="18"/>
  <c r="F284" i="18"/>
  <c r="B284" i="18" s="1"/>
  <c r="E284" i="18" s="1"/>
  <c r="AL283" i="18"/>
  <c r="AK283" i="18"/>
  <c r="AJ283" i="18"/>
  <c r="AI283" i="18"/>
  <c r="AH283" i="18"/>
  <c r="F283" i="18"/>
  <c r="B283" i="18"/>
  <c r="E283" i="18" s="1"/>
  <c r="AL282" i="18"/>
  <c r="AK282" i="18"/>
  <c r="AJ282" i="18"/>
  <c r="AI282" i="18"/>
  <c r="AH282" i="18"/>
  <c r="F282" i="18"/>
  <c r="B282" i="18" s="1"/>
  <c r="E282" i="18" s="1"/>
  <c r="AL281" i="18"/>
  <c r="AK281" i="18"/>
  <c r="AJ281" i="18"/>
  <c r="AI281" i="18"/>
  <c r="AH281" i="18"/>
  <c r="F281" i="18"/>
  <c r="B281" i="18"/>
  <c r="E281" i="18" s="1"/>
  <c r="AL280" i="18"/>
  <c r="AK280" i="18"/>
  <c r="AJ280" i="18"/>
  <c r="AI280" i="18"/>
  <c r="AH280" i="18"/>
  <c r="F280" i="18"/>
  <c r="B280" i="18" s="1"/>
  <c r="E280" i="18" s="1"/>
  <c r="AL279" i="18"/>
  <c r="AK279" i="18"/>
  <c r="AJ279" i="18"/>
  <c r="AI279" i="18"/>
  <c r="AH279" i="18"/>
  <c r="F279" i="18"/>
  <c r="B279" i="18"/>
  <c r="E279" i="18" s="1"/>
  <c r="AL278" i="18"/>
  <c r="AK278" i="18"/>
  <c r="AJ278" i="18"/>
  <c r="AI278" i="18"/>
  <c r="AH278" i="18"/>
  <c r="F278" i="18"/>
  <c r="B278" i="18" s="1"/>
  <c r="E278" i="18" s="1"/>
  <c r="AL277" i="18"/>
  <c r="AK277" i="18"/>
  <c r="AJ277" i="18"/>
  <c r="AI277" i="18"/>
  <c r="AH277" i="18"/>
  <c r="F277" i="18"/>
  <c r="B277" i="18"/>
  <c r="E277" i="18" s="1"/>
  <c r="AL276" i="18"/>
  <c r="AK276" i="18"/>
  <c r="AJ276" i="18"/>
  <c r="AI276" i="18"/>
  <c r="AH276" i="18"/>
  <c r="F276" i="18"/>
  <c r="B276" i="18" s="1"/>
  <c r="E276" i="18" s="1"/>
  <c r="AL275" i="18"/>
  <c r="AK275" i="18"/>
  <c r="AJ275" i="18"/>
  <c r="AI275" i="18"/>
  <c r="AH275" i="18"/>
  <c r="F275" i="18"/>
  <c r="B275" i="18"/>
  <c r="E275" i="18" s="1"/>
  <c r="AL274" i="18"/>
  <c r="AK274" i="18"/>
  <c r="AJ274" i="18"/>
  <c r="AI274" i="18"/>
  <c r="AH274" i="18"/>
  <c r="F274" i="18"/>
  <c r="B274" i="18" s="1"/>
  <c r="E274" i="18" s="1"/>
  <c r="AL273" i="18"/>
  <c r="AK273" i="18"/>
  <c r="AJ273" i="18"/>
  <c r="AI273" i="18"/>
  <c r="AH273" i="18"/>
  <c r="F273" i="18"/>
  <c r="B273" i="18"/>
  <c r="E273" i="18" s="1"/>
  <c r="AL272" i="18"/>
  <c r="AK272" i="18"/>
  <c r="AJ272" i="18"/>
  <c r="AI272" i="18"/>
  <c r="AH272" i="18"/>
  <c r="F272" i="18"/>
  <c r="B272" i="18" s="1"/>
  <c r="E272" i="18" s="1"/>
  <c r="AL271" i="18"/>
  <c r="AK271" i="18"/>
  <c r="AJ271" i="18"/>
  <c r="AI271" i="18"/>
  <c r="AH271" i="18"/>
  <c r="F271" i="18"/>
  <c r="B271" i="18"/>
  <c r="E271" i="18" s="1"/>
  <c r="AL270" i="18"/>
  <c r="AK270" i="18"/>
  <c r="AJ270" i="18"/>
  <c r="AI270" i="18"/>
  <c r="AH270" i="18"/>
  <c r="F270" i="18"/>
  <c r="B270" i="18" s="1"/>
  <c r="E270" i="18" s="1"/>
  <c r="AL269" i="18"/>
  <c r="AK269" i="18"/>
  <c r="AJ269" i="18"/>
  <c r="AI269" i="18"/>
  <c r="AH269" i="18"/>
  <c r="F269" i="18"/>
  <c r="B269" i="18"/>
  <c r="E269" i="18" s="1"/>
  <c r="AL268" i="18"/>
  <c r="AK268" i="18"/>
  <c r="AJ268" i="18"/>
  <c r="AI268" i="18"/>
  <c r="AH268" i="18"/>
  <c r="F268" i="18"/>
  <c r="B268" i="18" s="1"/>
  <c r="E268" i="18" s="1"/>
  <c r="AL267" i="18"/>
  <c r="AK267" i="18"/>
  <c r="AJ267" i="18"/>
  <c r="AI267" i="18"/>
  <c r="AH267" i="18"/>
  <c r="F267" i="18"/>
  <c r="B267" i="18"/>
  <c r="E267" i="18" s="1"/>
  <c r="AL266" i="18"/>
  <c r="AK266" i="18"/>
  <c r="AJ266" i="18"/>
  <c r="AI266" i="18"/>
  <c r="AH266" i="18"/>
  <c r="F266" i="18"/>
  <c r="B266" i="18" s="1"/>
  <c r="E266" i="18" s="1"/>
  <c r="AL265" i="18"/>
  <c r="AK265" i="18"/>
  <c r="AJ265" i="18"/>
  <c r="AI265" i="18"/>
  <c r="AH265" i="18"/>
  <c r="F265" i="18"/>
  <c r="B265" i="18"/>
  <c r="E265" i="18" s="1"/>
  <c r="AL264" i="18"/>
  <c r="AK264" i="18"/>
  <c r="AJ264" i="18"/>
  <c r="AI264" i="18"/>
  <c r="AH264" i="18"/>
  <c r="F264" i="18"/>
  <c r="B264" i="18" s="1"/>
  <c r="E264" i="18" s="1"/>
  <c r="AL263" i="18"/>
  <c r="AK263" i="18"/>
  <c r="AJ263" i="18"/>
  <c r="AI263" i="18"/>
  <c r="AH263" i="18"/>
  <c r="F263" i="18"/>
  <c r="B263" i="18"/>
  <c r="E263" i="18" s="1"/>
  <c r="AL262" i="18"/>
  <c r="AK262" i="18"/>
  <c r="AJ262" i="18"/>
  <c r="AI262" i="18"/>
  <c r="AH262" i="18"/>
  <c r="F262" i="18"/>
  <c r="B262" i="18" s="1"/>
  <c r="E262" i="18" s="1"/>
  <c r="AL261" i="18"/>
  <c r="AK261" i="18"/>
  <c r="AJ261" i="18"/>
  <c r="AI261" i="18"/>
  <c r="AH261" i="18"/>
  <c r="F261" i="18"/>
  <c r="B261" i="18"/>
  <c r="E261" i="18" s="1"/>
  <c r="AL260" i="18"/>
  <c r="AK260" i="18"/>
  <c r="AJ260" i="18"/>
  <c r="AI260" i="18"/>
  <c r="AH260" i="18"/>
  <c r="F260" i="18"/>
  <c r="B260" i="18" s="1"/>
  <c r="E260" i="18" s="1"/>
  <c r="AL259" i="18"/>
  <c r="AK259" i="18"/>
  <c r="AJ259" i="18"/>
  <c r="AI259" i="18"/>
  <c r="AH259" i="18"/>
  <c r="F259" i="18"/>
  <c r="B259" i="18"/>
  <c r="E259" i="18" s="1"/>
  <c r="AL258" i="18"/>
  <c r="AK258" i="18"/>
  <c r="AJ258" i="18"/>
  <c r="AI258" i="18"/>
  <c r="AH258" i="18"/>
  <c r="F258" i="18"/>
  <c r="B258" i="18" s="1"/>
  <c r="E258" i="18" s="1"/>
  <c r="AL257" i="18"/>
  <c r="AK257" i="18"/>
  <c r="AJ257" i="18"/>
  <c r="AI257" i="18"/>
  <c r="AH257" i="18"/>
  <c r="F257" i="18"/>
  <c r="B257" i="18"/>
  <c r="E257" i="18" s="1"/>
  <c r="AL256" i="18"/>
  <c r="AK256" i="18"/>
  <c r="AJ256" i="18"/>
  <c r="AI256" i="18"/>
  <c r="AH256" i="18"/>
  <c r="F256" i="18"/>
  <c r="B256" i="18" s="1"/>
  <c r="E256" i="18" s="1"/>
  <c r="AL255" i="18"/>
  <c r="AK255" i="18"/>
  <c r="AJ255" i="18"/>
  <c r="AI255" i="18"/>
  <c r="AH255" i="18"/>
  <c r="F255" i="18"/>
  <c r="B255" i="18"/>
  <c r="E255" i="18" s="1"/>
  <c r="AL254" i="18"/>
  <c r="AK254" i="18"/>
  <c r="AJ254" i="18"/>
  <c r="AI254" i="18"/>
  <c r="AH254" i="18"/>
  <c r="F254" i="18"/>
  <c r="B254" i="18" s="1"/>
  <c r="E254" i="18" s="1"/>
  <c r="AL253" i="18"/>
  <c r="AK253" i="18"/>
  <c r="AJ253" i="18"/>
  <c r="AI253" i="18"/>
  <c r="AH253" i="18"/>
  <c r="F253" i="18"/>
  <c r="B253" i="18"/>
  <c r="E253" i="18" s="1"/>
  <c r="AL252" i="18"/>
  <c r="AK252" i="18"/>
  <c r="AJ252" i="18"/>
  <c r="AI252" i="18"/>
  <c r="AH252" i="18"/>
  <c r="F252" i="18"/>
  <c r="B252" i="18" s="1"/>
  <c r="E252" i="18" s="1"/>
  <c r="AL251" i="18"/>
  <c r="AK251" i="18"/>
  <c r="AJ251" i="18"/>
  <c r="AI251" i="18"/>
  <c r="AH251" i="18"/>
  <c r="F251" i="18"/>
  <c r="B251" i="18"/>
  <c r="E251" i="18" s="1"/>
  <c r="AL250" i="18"/>
  <c r="AK250" i="18"/>
  <c r="AJ250" i="18"/>
  <c r="AI250" i="18"/>
  <c r="AH250" i="18"/>
  <c r="F250" i="18"/>
  <c r="B250" i="18" s="1"/>
  <c r="E250" i="18" s="1"/>
  <c r="AL249" i="18"/>
  <c r="AK249" i="18"/>
  <c r="AJ249" i="18"/>
  <c r="AI249" i="18"/>
  <c r="AH249" i="18"/>
  <c r="F249" i="18"/>
  <c r="B249" i="18"/>
  <c r="E249" i="18" s="1"/>
  <c r="AL248" i="18"/>
  <c r="AK248" i="18"/>
  <c r="AJ248" i="18"/>
  <c r="AI248" i="18"/>
  <c r="AH248" i="18"/>
  <c r="F248" i="18"/>
  <c r="B248" i="18" s="1"/>
  <c r="E248" i="18" s="1"/>
  <c r="AL247" i="18"/>
  <c r="AK247" i="18"/>
  <c r="AJ247" i="18"/>
  <c r="AI247" i="18"/>
  <c r="AH247" i="18"/>
  <c r="F247" i="18"/>
  <c r="B247" i="18"/>
  <c r="E247" i="18" s="1"/>
  <c r="AL246" i="18"/>
  <c r="AK246" i="18"/>
  <c r="AJ246" i="18"/>
  <c r="AI246" i="18"/>
  <c r="AH246" i="18"/>
  <c r="F246" i="18"/>
  <c r="B246" i="18" s="1"/>
  <c r="E246" i="18" s="1"/>
  <c r="AL245" i="18"/>
  <c r="AK245" i="18"/>
  <c r="AJ245" i="18"/>
  <c r="AI245" i="18"/>
  <c r="AH245" i="18"/>
  <c r="F245" i="18"/>
  <c r="B245" i="18"/>
  <c r="E245" i="18" s="1"/>
  <c r="AL244" i="18"/>
  <c r="AK244" i="18"/>
  <c r="AJ244" i="18"/>
  <c r="AI244" i="18"/>
  <c r="AH244" i="18"/>
  <c r="F244" i="18"/>
  <c r="B244" i="18" s="1"/>
  <c r="E244" i="18" s="1"/>
  <c r="AL243" i="18"/>
  <c r="AK243" i="18"/>
  <c r="AJ243" i="18"/>
  <c r="AI243" i="18"/>
  <c r="AH243" i="18"/>
  <c r="F243" i="18"/>
  <c r="B243" i="18"/>
  <c r="E243" i="18" s="1"/>
  <c r="AL242" i="18"/>
  <c r="AK242" i="18"/>
  <c r="AJ242" i="18"/>
  <c r="AI242" i="18"/>
  <c r="AH242" i="18"/>
  <c r="F242" i="18"/>
  <c r="B242" i="18" s="1"/>
  <c r="E242" i="18" s="1"/>
  <c r="AL241" i="18"/>
  <c r="AK241" i="18"/>
  <c r="AJ241" i="18"/>
  <c r="AI241" i="18"/>
  <c r="AH241" i="18"/>
  <c r="F241" i="18"/>
  <c r="B241" i="18"/>
  <c r="E241" i="18" s="1"/>
  <c r="AL240" i="18"/>
  <c r="AK240" i="18"/>
  <c r="AJ240" i="18"/>
  <c r="AI240" i="18"/>
  <c r="AH240" i="18"/>
  <c r="F240" i="18"/>
  <c r="B240" i="18" s="1"/>
  <c r="E240" i="18" s="1"/>
  <c r="AL239" i="18"/>
  <c r="AK239" i="18"/>
  <c r="AJ239" i="18"/>
  <c r="AI239" i="18"/>
  <c r="AH239" i="18"/>
  <c r="F239" i="18"/>
  <c r="B239" i="18"/>
  <c r="E239" i="18" s="1"/>
  <c r="AL238" i="18"/>
  <c r="AK238" i="18"/>
  <c r="AJ238" i="18"/>
  <c r="AI238" i="18"/>
  <c r="AH238" i="18"/>
  <c r="F238" i="18"/>
  <c r="B238" i="18" s="1"/>
  <c r="E238" i="18" s="1"/>
  <c r="AL237" i="18"/>
  <c r="AK237" i="18"/>
  <c r="AJ237" i="18"/>
  <c r="AI237" i="18"/>
  <c r="AH237" i="18"/>
  <c r="F237" i="18"/>
  <c r="B237" i="18"/>
  <c r="E237" i="18" s="1"/>
  <c r="AL236" i="18"/>
  <c r="AK236" i="18"/>
  <c r="AJ236" i="18"/>
  <c r="AI236" i="18"/>
  <c r="AH236" i="18"/>
  <c r="F236" i="18"/>
  <c r="B236" i="18" s="1"/>
  <c r="E236" i="18" s="1"/>
  <c r="AL235" i="18"/>
  <c r="AK235" i="18"/>
  <c r="AJ235" i="18"/>
  <c r="AI235" i="18"/>
  <c r="AH235" i="18"/>
  <c r="F235" i="18"/>
  <c r="B235" i="18"/>
  <c r="E235" i="18" s="1"/>
  <c r="AL234" i="18"/>
  <c r="AK234" i="18"/>
  <c r="AJ234" i="18"/>
  <c r="AI234" i="18"/>
  <c r="AH234" i="18"/>
  <c r="F234" i="18"/>
  <c r="B234" i="18" s="1"/>
  <c r="E234" i="18" s="1"/>
  <c r="AL233" i="18"/>
  <c r="AK233" i="18"/>
  <c r="AJ233" i="18"/>
  <c r="AI233" i="18"/>
  <c r="AH233" i="18"/>
  <c r="F233" i="18"/>
  <c r="B233" i="18"/>
  <c r="E233" i="18" s="1"/>
  <c r="AL232" i="18"/>
  <c r="AK232" i="18"/>
  <c r="AJ232" i="18"/>
  <c r="AI232" i="18"/>
  <c r="AH232" i="18"/>
  <c r="F232" i="18"/>
  <c r="B232" i="18" s="1"/>
  <c r="E232" i="18" s="1"/>
  <c r="AL231" i="18"/>
  <c r="AK231" i="18"/>
  <c r="AJ231" i="18"/>
  <c r="AI231" i="18"/>
  <c r="AH231" i="18"/>
  <c r="F231" i="18"/>
  <c r="B231" i="18"/>
  <c r="E231" i="18" s="1"/>
  <c r="AL230" i="18"/>
  <c r="AK230" i="18"/>
  <c r="AJ230" i="18"/>
  <c r="AI230" i="18"/>
  <c r="AH230" i="18"/>
  <c r="F230" i="18"/>
  <c r="B230" i="18" s="1"/>
  <c r="E230" i="18" s="1"/>
  <c r="AL229" i="18"/>
  <c r="AK229" i="18"/>
  <c r="AJ229" i="18"/>
  <c r="AI229" i="18"/>
  <c r="AH229" i="18"/>
  <c r="F229" i="18"/>
  <c r="B229" i="18"/>
  <c r="E229" i="18" s="1"/>
  <c r="AL228" i="18"/>
  <c r="AK228" i="18"/>
  <c r="AJ228" i="18"/>
  <c r="AI228" i="18"/>
  <c r="AH228" i="18"/>
  <c r="F228" i="18"/>
  <c r="B228" i="18" s="1"/>
  <c r="E228" i="18" s="1"/>
  <c r="AL227" i="18"/>
  <c r="AK227" i="18"/>
  <c r="AJ227" i="18"/>
  <c r="AI227" i="18"/>
  <c r="AH227" i="18"/>
  <c r="F227" i="18"/>
  <c r="B227" i="18"/>
  <c r="E227" i="18" s="1"/>
  <c r="AL226" i="18"/>
  <c r="AK226" i="18"/>
  <c r="AJ226" i="18"/>
  <c r="AI226" i="18"/>
  <c r="AH226" i="18"/>
  <c r="F226" i="18"/>
  <c r="B226" i="18" s="1"/>
  <c r="E226" i="18" s="1"/>
  <c r="AL225" i="18"/>
  <c r="AK225" i="18"/>
  <c r="AJ225" i="18"/>
  <c r="AI225" i="18"/>
  <c r="AH225" i="18"/>
  <c r="F225" i="18"/>
  <c r="B225" i="18"/>
  <c r="E225" i="18" s="1"/>
  <c r="AL224" i="18"/>
  <c r="AK224" i="18"/>
  <c r="AJ224" i="18"/>
  <c r="AI224" i="18"/>
  <c r="AH224" i="18"/>
  <c r="F224" i="18"/>
  <c r="B224" i="18" s="1"/>
  <c r="E224" i="18" s="1"/>
  <c r="AL223" i="18"/>
  <c r="AK223" i="18"/>
  <c r="AJ223" i="18"/>
  <c r="AI223" i="18"/>
  <c r="AH223" i="18"/>
  <c r="F223" i="18"/>
  <c r="B223" i="18"/>
  <c r="E223" i="18" s="1"/>
  <c r="AL222" i="18"/>
  <c r="AK222" i="18"/>
  <c r="AJ222" i="18"/>
  <c r="AI222" i="18"/>
  <c r="AH222" i="18"/>
  <c r="F222" i="18"/>
  <c r="B222" i="18" s="1"/>
  <c r="E222" i="18" s="1"/>
  <c r="AL221" i="18"/>
  <c r="AK221" i="18"/>
  <c r="AJ221" i="18"/>
  <c r="AI221" i="18"/>
  <c r="AH221" i="18"/>
  <c r="F221" i="18"/>
  <c r="B221" i="18"/>
  <c r="E221" i="18" s="1"/>
  <c r="AL220" i="18"/>
  <c r="AK220" i="18"/>
  <c r="AJ220" i="18"/>
  <c r="AI220" i="18"/>
  <c r="AH220" i="18"/>
  <c r="F220" i="18"/>
  <c r="B220" i="18" s="1"/>
  <c r="E220" i="18" s="1"/>
  <c r="AL219" i="18"/>
  <c r="AK219" i="18"/>
  <c r="AJ219" i="18"/>
  <c r="AI219" i="18"/>
  <c r="AH219" i="18"/>
  <c r="F219" i="18"/>
  <c r="B219" i="18"/>
  <c r="E219" i="18" s="1"/>
  <c r="AL218" i="18"/>
  <c r="AK218" i="18"/>
  <c r="AJ218" i="18"/>
  <c r="AI218" i="18"/>
  <c r="AH218" i="18"/>
  <c r="F218" i="18"/>
  <c r="B218" i="18" s="1"/>
  <c r="E218" i="18" s="1"/>
  <c r="AL217" i="18"/>
  <c r="AK217" i="18"/>
  <c r="AJ217" i="18"/>
  <c r="AI217" i="18"/>
  <c r="AH217" i="18"/>
  <c r="F217" i="18"/>
  <c r="B217" i="18"/>
  <c r="E217" i="18" s="1"/>
  <c r="AL216" i="18"/>
  <c r="AK216" i="18"/>
  <c r="AJ216" i="18"/>
  <c r="AI216" i="18"/>
  <c r="AH216" i="18"/>
  <c r="F216" i="18"/>
  <c r="B216" i="18" s="1"/>
  <c r="E216" i="18" s="1"/>
  <c r="AL215" i="18"/>
  <c r="AK215" i="18"/>
  <c r="AJ215" i="18"/>
  <c r="AI215" i="18"/>
  <c r="AH215" i="18"/>
  <c r="F215" i="18"/>
  <c r="B215" i="18"/>
  <c r="E215" i="18" s="1"/>
  <c r="AL214" i="18"/>
  <c r="AK214" i="18"/>
  <c r="AJ214" i="18"/>
  <c r="AI214" i="18"/>
  <c r="AH214" i="18"/>
  <c r="F214" i="18"/>
  <c r="B214" i="18" s="1"/>
  <c r="E214" i="18" s="1"/>
  <c r="AL213" i="18"/>
  <c r="AK213" i="18"/>
  <c r="AJ213" i="18"/>
  <c r="AI213" i="18"/>
  <c r="AH213" i="18"/>
  <c r="F213" i="18"/>
  <c r="B213" i="18"/>
  <c r="E213" i="18" s="1"/>
  <c r="AL212" i="18"/>
  <c r="AK212" i="18"/>
  <c r="AJ212" i="18"/>
  <c r="AI212" i="18"/>
  <c r="AH212" i="18"/>
  <c r="F212" i="18"/>
  <c r="B212" i="18" s="1"/>
  <c r="E212" i="18" s="1"/>
  <c r="AL211" i="18"/>
  <c r="AK211" i="18"/>
  <c r="AJ211" i="18"/>
  <c r="AI211" i="18"/>
  <c r="AH211" i="18"/>
  <c r="F211" i="18"/>
  <c r="B211" i="18"/>
  <c r="E211" i="18" s="1"/>
  <c r="AL210" i="18"/>
  <c r="AK210" i="18"/>
  <c r="AJ210" i="18"/>
  <c r="AI210" i="18"/>
  <c r="AH210" i="18"/>
  <c r="F210" i="18"/>
  <c r="B210" i="18"/>
  <c r="E210" i="18" s="1"/>
  <c r="AL209" i="18"/>
  <c r="AK209" i="18"/>
  <c r="AJ209" i="18"/>
  <c r="AI209" i="18"/>
  <c r="AH209" i="18"/>
  <c r="F209" i="18"/>
  <c r="B209" i="18" s="1"/>
  <c r="E209" i="18" s="1"/>
  <c r="AL208" i="18"/>
  <c r="AK208" i="18"/>
  <c r="AJ208" i="18"/>
  <c r="AI208" i="18"/>
  <c r="AH208" i="18"/>
  <c r="F208" i="18"/>
  <c r="B208" i="18"/>
  <c r="E208" i="18" s="1"/>
  <c r="AL207" i="18"/>
  <c r="AK207" i="18"/>
  <c r="AJ207" i="18"/>
  <c r="AI207" i="18"/>
  <c r="AH207" i="18"/>
  <c r="F207" i="18"/>
  <c r="B207" i="18" s="1"/>
  <c r="E207" i="18" s="1"/>
  <c r="AL206" i="18"/>
  <c r="AK206" i="18"/>
  <c r="AJ206" i="18"/>
  <c r="AI206" i="18"/>
  <c r="AH206" i="18"/>
  <c r="F206" i="18"/>
  <c r="B206" i="18"/>
  <c r="E206" i="18" s="1"/>
  <c r="AL205" i="18"/>
  <c r="AK205" i="18"/>
  <c r="AJ205" i="18"/>
  <c r="AI205" i="18"/>
  <c r="AH205" i="18"/>
  <c r="F205" i="18"/>
  <c r="B205" i="18" s="1"/>
  <c r="E205" i="18" s="1"/>
  <c r="AL204" i="18"/>
  <c r="AK204" i="18"/>
  <c r="AJ204" i="18"/>
  <c r="AI204" i="18"/>
  <c r="AH204" i="18"/>
  <c r="F204" i="18"/>
  <c r="B204" i="18"/>
  <c r="E204" i="18" s="1"/>
  <c r="AL203" i="18"/>
  <c r="AK203" i="18"/>
  <c r="AJ203" i="18"/>
  <c r="AI203" i="18"/>
  <c r="AH203" i="18"/>
  <c r="F203" i="18"/>
  <c r="B203" i="18" s="1"/>
  <c r="E203" i="18" s="1"/>
  <c r="AL202" i="18"/>
  <c r="AK202" i="18"/>
  <c r="AJ202" i="18"/>
  <c r="AI202" i="18"/>
  <c r="AH202" i="18"/>
  <c r="F202" i="18"/>
  <c r="B202" i="18"/>
  <c r="E202" i="18" s="1"/>
  <c r="AL201" i="18"/>
  <c r="AK201" i="18"/>
  <c r="AJ201" i="18"/>
  <c r="AI201" i="18"/>
  <c r="AH201" i="18"/>
  <c r="F201" i="18"/>
  <c r="B201" i="18" s="1"/>
  <c r="E201" i="18" s="1"/>
  <c r="AL200" i="18"/>
  <c r="AK200" i="18"/>
  <c r="AJ200" i="18"/>
  <c r="AI200" i="18"/>
  <c r="AH200" i="18"/>
  <c r="F200" i="18"/>
  <c r="B200" i="18"/>
  <c r="E200" i="18" s="1"/>
  <c r="AL199" i="18"/>
  <c r="AK199" i="18"/>
  <c r="AJ199" i="18"/>
  <c r="AI199" i="18"/>
  <c r="AH199" i="18"/>
  <c r="F199" i="18"/>
  <c r="B199" i="18" s="1"/>
  <c r="E199" i="18" s="1"/>
  <c r="AL198" i="18"/>
  <c r="AK198" i="18"/>
  <c r="AJ198" i="18"/>
  <c r="AI198" i="18"/>
  <c r="AH198" i="18"/>
  <c r="F198" i="18"/>
  <c r="B198" i="18"/>
  <c r="E198" i="18" s="1"/>
  <c r="AL197" i="18"/>
  <c r="AK197" i="18"/>
  <c r="AJ197" i="18"/>
  <c r="AI197" i="18"/>
  <c r="AH197" i="18"/>
  <c r="F197" i="18"/>
  <c r="B197" i="18" s="1"/>
  <c r="E197" i="18" s="1"/>
  <c r="AL196" i="18"/>
  <c r="AK196" i="18"/>
  <c r="AJ196" i="18"/>
  <c r="AI196" i="18"/>
  <c r="AH196" i="18"/>
  <c r="F196" i="18"/>
  <c r="B196" i="18"/>
  <c r="E196" i="18" s="1"/>
  <c r="AL195" i="18"/>
  <c r="AK195" i="18"/>
  <c r="AJ195" i="18"/>
  <c r="AI195" i="18"/>
  <c r="AH195" i="18"/>
  <c r="F195" i="18"/>
  <c r="B195" i="18" s="1"/>
  <c r="E195" i="18" s="1"/>
  <c r="AL194" i="18"/>
  <c r="AK194" i="18"/>
  <c r="AJ194" i="18"/>
  <c r="AI194" i="18"/>
  <c r="AH194" i="18"/>
  <c r="F194" i="18"/>
  <c r="B194" i="18"/>
  <c r="E194" i="18" s="1"/>
  <c r="AL193" i="18"/>
  <c r="AK193" i="18"/>
  <c r="AJ193" i="18"/>
  <c r="AI193" i="18"/>
  <c r="AH193" i="18"/>
  <c r="F193" i="18"/>
  <c r="B193" i="18" s="1"/>
  <c r="E193" i="18" s="1"/>
  <c r="AL192" i="18"/>
  <c r="AK192" i="18"/>
  <c r="AJ192" i="18"/>
  <c r="AI192" i="18"/>
  <c r="AH192" i="18"/>
  <c r="F192" i="18"/>
  <c r="B192" i="18"/>
  <c r="E192" i="18" s="1"/>
  <c r="AL191" i="18"/>
  <c r="AK191" i="18"/>
  <c r="AJ191" i="18"/>
  <c r="AI191" i="18"/>
  <c r="AH191" i="18"/>
  <c r="F191" i="18"/>
  <c r="B191" i="18" s="1"/>
  <c r="E191" i="18" s="1"/>
  <c r="AL190" i="18"/>
  <c r="AK190" i="18"/>
  <c r="AJ190" i="18"/>
  <c r="AI190" i="18"/>
  <c r="AH190" i="18"/>
  <c r="F190" i="18"/>
  <c r="B190" i="18"/>
  <c r="E190" i="18" s="1"/>
  <c r="AL189" i="18"/>
  <c r="AK189" i="18"/>
  <c r="AJ189" i="18"/>
  <c r="AI189" i="18"/>
  <c r="AH189" i="18"/>
  <c r="F189" i="18"/>
  <c r="B189" i="18" s="1"/>
  <c r="E189" i="18" s="1"/>
  <c r="AL188" i="18"/>
  <c r="AK188" i="18"/>
  <c r="AJ188" i="18"/>
  <c r="AI188" i="18"/>
  <c r="AH188" i="18"/>
  <c r="F188" i="18"/>
  <c r="B188" i="18"/>
  <c r="E188" i="18" s="1"/>
  <c r="AL187" i="18"/>
  <c r="AK187" i="18"/>
  <c r="AJ187" i="18"/>
  <c r="AI187" i="18"/>
  <c r="AH187" i="18"/>
  <c r="F187" i="18"/>
  <c r="B187" i="18" s="1"/>
  <c r="E187" i="18" s="1"/>
  <c r="AL186" i="18"/>
  <c r="AK186" i="18"/>
  <c r="AJ186" i="18"/>
  <c r="AI186" i="18"/>
  <c r="AH186" i="18"/>
  <c r="F186" i="18"/>
  <c r="B186" i="18"/>
  <c r="E186" i="18" s="1"/>
  <c r="AL185" i="18"/>
  <c r="AK185" i="18"/>
  <c r="AJ185" i="18"/>
  <c r="AI185" i="18"/>
  <c r="AH185" i="18"/>
  <c r="F185" i="18"/>
  <c r="B185" i="18" s="1"/>
  <c r="E185" i="18" s="1"/>
  <c r="AL184" i="18"/>
  <c r="AK184" i="18"/>
  <c r="AJ184" i="18"/>
  <c r="AI184" i="18"/>
  <c r="AH184" i="18"/>
  <c r="F184" i="18"/>
  <c r="B184" i="18"/>
  <c r="E184" i="18" s="1"/>
  <c r="AL183" i="18"/>
  <c r="AK183" i="18"/>
  <c r="AJ183" i="18"/>
  <c r="AI183" i="18"/>
  <c r="AH183" i="18"/>
  <c r="F183" i="18"/>
  <c r="B183" i="18" s="1"/>
  <c r="E183" i="18" s="1"/>
  <c r="AL182" i="18"/>
  <c r="AK182" i="18"/>
  <c r="AJ182" i="18"/>
  <c r="AI182" i="18"/>
  <c r="AH182" i="18"/>
  <c r="F182" i="18"/>
  <c r="B182" i="18"/>
  <c r="E182" i="18" s="1"/>
  <c r="AL181" i="18"/>
  <c r="AK181" i="18"/>
  <c r="AJ181" i="18"/>
  <c r="AI181" i="18"/>
  <c r="AH181" i="18"/>
  <c r="F181" i="18"/>
  <c r="B181" i="18" s="1"/>
  <c r="E181" i="18" s="1"/>
  <c r="AL180" i="18"/>
  <c r="AK180" i="18"/>
  <c r="AJ180" i="18"/>
  <c r="AI180" i="18"/>
  <c r="AH180" i="18"/>
  <c r="F180" i="18"/>
  <c r="B180" i="18"/>
  <c r="E180" i="18" s="1"/>
  <c r="AL179" i="18"/>
  <c r="AK179" i="18"/>
  <c r="AJ179" i="18"/>
  <c r="AI179" i="18"/>
  <c r="AH179" i="18"/>
  <c r="F179" i="18"/>
  <c r="B179" i="18" s="1"/>
  <c r="E179" i="18" s="1"/>
  <c r="AL178" i="18"/>
  <c r="AK178" i="18"/>
  <c r="AJ178" i="18"/>
  <c r="AI178" i="18"/>
  <c r="AH178" i="18"/>
  <c r="F178" i="18"/>
  <c r="B178" i="18"/>
  <c r="E178" i="18" s="1"/>
  <c r="AL177" i="18"/>
  <c r="AK177" i="18"/>
  <c r="AJ177" i="18"/>
  <c r="AI177" i="18"/>
  <c r="AH177" i="18"/>
  <c r="F177" i="18"/>
  <c r="B177" i="18" s="1"/>
  <c r="E177" i="18" s="1"/>
  <c r="AL176" i="18"/>
  <c r="AK176" i="18"/>
  <c r="AJ176" i="18"/>
  <c r="AI176" i="18"/>
  <c r="AH176" i="18"/>
  <c r="F176" i="18"/>
  <c r="B176" i="18"/>
  <c r="E176" i="18" s="1"/>
  <c r="AL175" i="18"/>
  <c r="AK175" i="18"/>
  <c r="AJ175" i="18"/>
  <c r="AI175" i="18"/>
  <c r="AH175" i="18"/>
  <c r="F175" i="18"/>
  <c r="B175" i="18" s="1"/>
  <c r="E175" i="18" s="1"/>
  <c r="AL174" i="18"/>
  <c r="AK174" i="18"/>
  <c r="AJ174" i="18"/>
  <c r="AI174" i="18"/>
  <c r="AH174" i="18"/>
  <c r="F174" i="18"/>
  <c r="B174" i="18"/>
  <c r="E174" i="18" s="1"/>
  <c r="AL173" i="18"/>
  <c r="AK173" i="18"/>
  <c r="AJ173" i="18"/>
  <c r="AI173" i="18"/>
  <c r="AH173" i="18"/>
  <c r="F173" i="18"/>
  <c r="B173" i="18" s="1"/>
  <c r="E173" i="18" s="1"/>
  <c r="AL172" i="18"/>
  <c r="AK172" i="18"/>
  <c r="AJ172" i="18"/>
  <c r="AI172" i="18"/>
  <c r="AH172" i="18"/>
  <c r="F172" i="18"/>
  <c r="B172" i="18"/>
  <c r="E172" i="18" s="1"/>
  <c r="AL171" i="18"/>
  <c r="AK171" i="18"/>
  <c r="AJ171" i="18"/>
  <c r="AI171" i="18"/>
  <c r="AH171" i="18"/>
  <c r="F171" i="18"/>
  <c r="B171" i="18" s="1"/>
  <c r="E171" i="18" s="1"/>
  <c r="AL170" i="18"/>
  <c r="AK170" i="18"/>
  <c r="AJ170" i="18"/>
  <c r="AI170" i="18"/>
  <c r="AH170" i="18"/>
  <c r="F170" i="18"/>
  <c r="B170" i="18"/>
  <c r="E170" i="18" s="1"/>
  <c r="AL169" i="18"/>
  <c r="AK169" i="18"/>
  <c r="AJ169" i="18"/>
  <c r="AI169" i="18"/>
  <c r="AH169" i="18"/>
  <c r="F169" i="18"/>
  <c r="B169" i="18" s="1"/>
  <c r="E169" i="18" s="1"/>
  <c r="AL168" i="18"/>
  <c r="AK168" i="18"/>
  <c r="AJ168" i="18"/>
  <c r="AI168" i="18"/>
  <c r="AH168" i="18"/>
  <c r="F168" i="18"/>
  <c r="B168" i="18"/>
  <c r="E168" i="18" s="1"/>
  <c r="AL167" i="18"/>
  <c r="AK167" i="18"/>
  <c r="AJ167" i="18"/>
  <c r="AI167" i="18"/>
  <c r="AH167" i="18"/>
  <c r="F167" i="18"/>
  <c r="B167" i="18" s="1"/>
  <c r="E167" i="18" s="1"/>
  <c r="AL166" i="18"/>
  <c r="AK166" i="18"/>
  <c r="AJ166" i="18"/>
  <c r="AI166" i="18"/>
  <c r="AH166" i="18"/>
  <c r="F166" i="18"/>
  <c r="B166" i="18"/>
  <c r="E166" i="18" s="1"/>
  <c r="AL165" i="18"/>
  <c r="AK165" i="18"/>
  <c r="AJ165" i="18"/>
  <c r="AI165" i="18"/>
  <c r="AH165" i="18"/>
  <c r="F165" i="18"/>
  <c r="B165" i="18" s="1"/>
  <c r="E165" i="18" s="1"/>
  <c r="AL164" i="18"/>
  <c r="AK164" i="18"/>
  <c r="AJ164" i="18"/>
  <c r="AI164" i="18"/>
  <c r="AH164" i="18"/>
  <c r="F164" i="18"/>
  <c r="B164" i="18"/>
  <c r="E164" i="18" s="1"/>
  <c r="AL163" i="18"/>
  <c r="AK163" i="18"/>
  <c r="AJ163" i="18"/>
  <c r="AI163" i="18"/>
  <c r="AH163" i="18"/>
  <c r="F163" i="18"/>
  <c r="B163" i="18" s="1"/>
  <c r="E163" i="18" s="1"/>
  <c r="AL162" i="18"/>
  <c r="AK162" i="18"/>
  <c r="AJ162" i="18"/>
  <c r="AI162" i="18"/>
  <c r="AH162" i="18"/>
  <c r="F162" i="18"/>
  <c r="B162" i="18"/>
  <c r="E162" i="18" s="1"/>
  <c r="AL161" i="18"/>
  <c r="AK161" i="18"/>
  <c r="AJ161" i="18"/>
  <c r="AI161" i="18"/>
  <c r="AH161" i="18"/>
  <c r="F161" i="18"/>
  <c r="B161" i="18" s="1"/>
  <c r="E161" i="18" s="1"/>
  <c r="AL160" i="18"/>
  <c r="AK160" i="18"/>
  <c r="AJ160" i="18"/>
  <c r="AI160" i="18"/>
  <c r="AH160" i="18"/>
  <c r="F160" i="18"/>
  <c r="B160" i="18"/>
  <c r="E160" i="18" s="1"/>
  <c r="AL159" i="18"/>
  <c r="AK159" i="18"/>
  <c r="AJ159" i="18"/>
  <c r="AI159" i="18"/>
  <c r="AH159" i="18"/>
  <c r="F159" i="18"/>
  <c r="B159" i="18" s="1"/>
  <c r="E159" i="18" s="1"/>
  <c r="AL158" i="18"/>
  <c r="AK158" i="18"/>
  <c r="AJ158" i="18"/>
  <c r="AI158" i="18"/>
  <c r="AH158" i="18"/>
  <c r="F158" i="18"/>
  <c r="B158" i="18"/>
  <c r="E158" i="18" s="1"/>
  <c r="AL157" i="18"/>
  <c r="AK157" i="18"/>
  <c r="AJ157" i="18"/>
  <c r="AI157" i="18"/>
  <c r="AH157" i="18"/>
  <c r="F157" i="18"/>
  <c r="B157" i="18" s="1"/>
  <c r="E157" i="18" s="1"/>
  <c r="AL156" i="18"/>
  <c r="AK156" i="18"/>
  <c r="AJ156" i="18"/>
  <c r="AI156" i="18"/>
  <c r="AH156" i="18"/>
  <c r="F156" i="18"/>
  <c r="B156" i="18"/>
  <c r="E156" i="18" s="1"/>
  <c r="AL155" i="18"/>
  <c r="AK155" i="18"/>
  <c r="AJ155" i="18"/>
  <c r="AI155" i="18"/>
  <c r="AH155" i="18"/>
  <c r="F155" i="18"/>
  <c r="B155" i="18" s="1"/>
  <c r="E155" i="18" s="1"/>
  <c r="AL154" i="18"/>
  <c r="AK154" i="18"/>
  <c r="AJ154" i="18"/>
  <c r="AI154" i="18"/>
  <c r="AH154" i="18"/>
  <c r="F154" i="18"/>
  <c r="B154" i="18"/>
  <c r="E154" i="18" s="1"/>
  <c r="AL153" i="18"/>
  <c r="AK153" i="18"/>
  <c r="AJ153" i="18"/>
  <c r="AI153" i="18"/>
  <c r="AH153" i="18"/>
  <c r="F153" i="18"/>
  <c r="B153" i="18" s="1"/>
  <c r="E153" i="18" s="1"/>
  <c r="AL152" i="18"/>
  <c r="AK152" i="18"/>
  <c r="AJ152" i="18"/>
  <c r="AI152" i="18"/>
  <c r="AH152" i="18"/>
  <c r="F152" i="18"/>
  <c r="B152" i="18"/>
  <c r="E152" i="18" s="1"/>
  <c r="AL151" i="18"/>
  <c r="AK151" i="18"/>
  <c r="AJ151" i="18"/>
  <c r="AI151" i="18"/>
  <c r="AH151" i="18"/>
  <c r="F151" i="18"/>
  <c r="B151" i="18" s="1"/>
  <c r="E151" i="18" s="1"/>
  <c r="AL150" i="18"/>
  <c r="AK150" i="18"/>
  <c r="AJ150" i="18"/>
  <c r="AI150" i="18"/>
  <c r="AH150" i="18"/>
  <c r="F150" i="18"/>
  <c r="B150" i="18"/>
  <c r="E150" i="18" s="1"/>
  <c r="AL149" i="18"/>
  <c r="AK149" i="18"/>
  <c r="AJ149" i="18"/>
  <c r="AI149" i="18"/>
  <c r="AH149" i="18"/>
  <c r="F149" i="18"/>
  <c r="B149" i="18" s="1"/>
  <c r="E149" i="18" s="1"/>
  <c r="AL148" i="18"/>
  <c r="AK148" i="18"/>
  <c r="AJ148" i="18"/>
  <c r="AI148" i="18"/>
  <c r="AH148" i="18"/>
  <c r="F148" i="18"/>
  <c r="B148" i="18"/>
  <c r="E148" i="18" s="1"/>
  <c r="AL147" i="18"/>
  <c r="AK147" i="18"/>
  <c r="AJ147" i="18"/>
  <c r="AI147" i="18"/>
  <c r="AH147" i="18"/>
  <c r="F147" i="18"/>
  <c r="B147" i="18" s="1"/>
  <c r="E147" i="18" s="1"/>
  <c r="AL146" i="18"/>
  <c r="AK146" i="18"/>
  <c r="AJ146" i="18"/>
  <c r="AI146" i="18"/>
  <c r="AH146" i="18"/>
  <c r="F146" i="18"/>
  <c r="B146" i="18"/>
  <c r="E146" i="18" s="1"/>
  <c r="AL145" i="18"/>
  <c r="AK145" i="18"/>
  <c r="AJ145" i="18"/>
  <c r="AI145" i="18"/>
  <c r="AH145" i="18"/>
  <c r="F145" i="18"/>
  <c r="B145" i="18" s="1"/>
  <c r="E145" i="18" s="1"/>
  <c r="AL144" i="18"/>
  <c r="AK144" i="18"/>
  <c r="AJ144" i="18"/>
  <c r="AI144" i="18"/>
  <c r="AH144" i="18"/>
  <c r="F144" i="18"/>
  <c r="B144" i="18"/>
  <c r="E144" i="18" s="1"/>
  <c r="AL143" i="18"/>
  <c r="AK143" i="18"/>
  <c r="AJ143" i="18"/>
  <c r="AI143" i="18"/>
  <c r="AH143" i="18"/>
  <c r="F143" i="18"/>
  <c r="B143" i="18" s="1"/>
  <c r="E143" i="18" s="1"/>
  <c r="AL142" i="18"/>
  <c r="AK142" i="18"/>
  <c r="AJ142" i="18"/>
  <c r="AI142" i="18"/>
  <c r="AH142" i="18"/>
  <c r="F142" i="18"/>
  <c r="B142" i="18"/>
  <c r="E142" i="18" s="1"/>
  <c r="AL141" i="18"/>
  <c r="AK141" i="18"/>
  <c r="AJ141" i="18"/>
  <c r="AI141" i="18"/>
  <c r="AH141" i="18"/>
  <c r="F141" i="18"/>
  <c r="B141" i="18" s="1"/>
  <c r="E141" i="18" s="1"/>
  <c r="AL140" i="18"/>
  <c r="AK140" i="18"/>
  <c r="AJ140" i="18"/>
  <c r="AI140" i="18"/>
  <c r="AH140" i="18"/>
  <c r="F140" i="18"/>
  <c r="B140" i="18"/>
  <c r="E140" i="18" s="1"/>
  <c r="AL139" i="18"/>
  <c r="AK139" i="18"/>
  <c r="AJ139" i="18"/>
  <c r="AI139" i="18"/>
  <c r="AH139" i="18"/>
  <c r="F139" i="18"/>
  <c r="B139" i="18" s="1"/>
  <c r="E139" i="18" s="1"/>
  <c r="AL138" i="18"/>
  <c r="AK138" i="18"/>
  <c r="AJ138" i="18"/>
  <c r="AI138" i="18"/>
  <c r="AH138" i="18"/>
  <c r="F138" i="18"/>
  <c r="B138" i="18"/>
  <c r="E138" i="18" s="1"/>
  <c r="AL137" i="18"/>
  <c r="AK137" i="18"/>
  <c r="AJ137" i="18"/>
  <c r="AI137" i="18"/>
  <c r="AH137" i="18"/>
  <c r="F137" i="18"/>
  <c r="B137" i="18" s="1"/>
  <c r="E137" i="18" s="1"/>
  <c r="AL136" i="18"/>
  <c r="AK136" i="18"/>
  <c r="AJ136" i="18"/>
  <c r="AI136" i="18"/>
  <c r="AH136" i="18"/>
  <c r="F136" i="18"/>
  <c r="B136" i="18"/>
  <c r="E136" i="18" s="1"/>
  <c r="AL135" i="18"/>
  <c r="AK135" i="18"/>
  <c r="AJ135" i="18"/>
  <c r="AI135" i="18"/>
  <c r="AH135" i="18"/>
  <c r="F135" i="18"/>
  <c r="B135" i="18" s="1"/>
  <c r="E135" i="18" s="1"/>
  <c r="AL134" i="18"/>
  <c r="AK134" i="18"/>
  <c r="AJ134" i="18"/>
  <c r="AI134" i="18"/>
  <c r="AH134" i="18"/>
  <c r="F134" i="18"/>
  <c r="B134" i="18"/>
  <c r="E134" i="18" s="1"/>
  <c r="AL133" i="18"/>
  <c r="AK133" i="18"/>
  <c r="AJ133" i="18"/>
  <c r="AI133" i="18"/>
  <c r="AH133" i="18"/>
  <c r="F133" i="18"/>
  <c r="B133" i="18" s="1"/>
  <c r="E133" i="18" s="1"/>
  <c r="AL132" i="18"/>
  <c r="AK132" i="18"/>
  <c r="AJ132" i="18"/>
  <c r="AI132" i="18"/>
  <c r="AH132" i="18"/>
  <c r="F132" i="18"/>
  <c r="B132" i="18"/>
  <c r="E132" i="18" s="1"/>
  <c r="AL131" i="18"/>
  <c r="AK131" i="18"/>
  <c r="AJ131" i="18"/>
  <c r="AI131" i="18"/>
  <c r="AH131" i="18"/>
  <c r="F131" i="18"/>
  <c r="B131" i="18" s="1"/>
  <c r="E131" i="18" s="1"/>
  <c r="AL130" i="18"/>
  <c r="AK130" i="18"/>
  <c r="AJ130" i="18"/>
  <c r="AI130" i="18"/>
  <c r="AH130" i="18"/>
  <c r="F130" i="18"/>
  <c r="B130" i="18"/>
  <c r="E130" i="18" s="1"/>
  <c r="AL129" i="18"/>
  <c r="AK129" i="18"/>
  <c r="AJ129" i="18"/>
  <c r="AI129" i="18"/>
  <c r="AH129" i="18"/>
  <c r="F129" i="18"/>
  <c r="B129" i="18" s="1"/>
  <c r="E129" i="18" s="1"/>
  <c r="AL128" i="18"/>
  <c r="AK128" i="18"/>
  <c r="AJ128" i="18"/>
  <c r="AI128" i="18"/>
  <c r="AH128" i="18"/>
  <c r="F128" i="18"/>
  <c r="B128" i="18"/>
  <c r="E128" i="18" s="1"/>
  <c r="AL127" i="18"/>
  <c r="AK127" i="18"/>
  <c r="AJ127" i="18"/>
  <c r="AI127" i="18"/>
  <c r="AH127" i="18"/>
  <c r="F127" i="18"/>
  <c r="B127" i="18" s="1"/>
  <c r="E127" i="18" s="1"/>
  <c r="AL126" i="18"/>
  <c r="AK126" i="18"/>
  <c r="AJ126" i="18"/>
  <c r="AI126" i="18"/>
  <c r="AH126" i="18"/>
  <c r="F126" i="18"/>
  <c r="B126" i="18"/>
  <c r="E126" i="18" s="1"/>
  <c r="AL125" i="18"/>
  <c r="AK125" i="18"/>
  <c r="AJ125" i="18"/>
  <c r="AI125" i="18"/>
  <c r="AH125" i="18"/>
  <c r="F125" i="18"/>
  <c r="B125" i="18" s="1"/>
  <c r="E125" i="18" s="1"/>
  <c r="AL124" i="18"/>
  <c r="AK124" i="18"/>
  <c r="AJ124" i="18"/>
  <c r="AI124" i="18"/>
  <c r="AH124" i="18"/>
  <c r="F124" i="18"/>
  <c r="B124" i="18"/>
  <c r="E124" i="18" s="1"/>
  <c r="AL123" i="18"/>
  <c r="AK123" i="18"/>
  <c r="AJ123" i="18"/>
  <c r="AI123" i="18"/>
  <c r="AH123" i="18"/>
  <c r="F123" i="18"/>
  <c r="B123" i="18" s="1"/>
  <c r="E123" i="18" s="1"/>
  <c r="AL122" i="18"/>
  <c r="AK122" i="18"/>
  <c r="AJ122" i="18"/>
  <c r="AI122" i="18"/>
  <c r="AH122" i="18"/>
  <c r="F122" i="18"/>
  <c r="B122" i="18"/>
  <c r="E122" i="18" s="1"/>
  <c r="AL121" i="18"/>
  <c r="AK121" i="18"/>
  <c r="AJ121" i="18"/>
  <c r="AI121" i="18"/>
  <c r="AH121" i="18"/>
  <c r="F121" i="18"/>
  <c r="B121" i="18" s="1"/>
  <c r="E121" i="18" s="1"/>
  <c r="AL120" i="18"/>
  <c r="AK120" i="18"/>
  <c r="AJ120" i="18"/>
  <c r="AI120" i="18"/>
  <c r="AH120" i="18"/>
  <c r="F120" i="18"/>
  <c r="B120" i="18"/>
  <c r="E120" i="18" s="1"/>
  <c r="AL119" i="18"/>
  <c r="AK119" i="18"/>
  <c r="AJ119" i="18"/>
  <c r="AI119" i="18"/>
  <c r="AH119" i="18"/>
  <c r="F119" i="18"/>
  <c r="B119" i="18" s="1"/>
  <c r="E119" i="18" s="1"/>
  <c r="AL118" i="18"/>
  <c r="AK118" i="18"/>
  <c r="AJ118" i="18"/>
  <c r="AI118" i="18"/>
  <c r="AH118" i="18"/>
  <c r="F118" i="18"/>
  <c r="B118" i="18"/>
  <c r="E118" i="18" s="1"/>
  <c r="AL117" i="18"/>
  <c r="AK117" i="18"/>
  <c r="AJ117" i="18"/>
  <c r="AI117" i="18"/>
  <c r="AH117" i="18"/>
  <c r="F117" i="18"/>
  <c r="B117" i="18" s="1"/>
  <c r="E117" i="18" s="1"/>
  <c r="AL116" i="18"/>
  <c r="AK116" i="18"/>
  <c r="AJ116" i="18"/>
  <c r="AI116" i="18"/>
  <c r="AH116" i="18"/>
  <c r="F116" i="18"/>
  <c r="B116" i="18"/>
  <c r="E116" i="18" s="1"/>
  <c r="AL115" i="18"/>
  <c r="AK115" i="18"/>
  <c r="AJ115" i="18"/>
  <c r="AI115" i="18"/>
  <c r="AH115" i="18"/>
  <c r="F115" i="18"/>
  <c r="B115" i="18" s="1"/>
  <c r="E115" i="18" s="1"/>
  <c r="AL114" i="18"/>
  <c r="AK114" i="18"/>
  <c r="AJ114" i="18"/>
  <c r="AI114" i="18"/>
  <c r="AH114" i="18"/>
  <c r="F114" i="18"/>
  <c r="B114" i="18"/>
  <c r="E114" i="18" s="1"/>
  <c r="AL113" i="18"/>
  <c r="AK113" i="18"/>
  <c r="AJ113" i="18"/>
  <c r="AI113" i="18"/>
  <c r="AH113" i="18"/>
  <c r="F113" i="18"/>
  <c r="B113" i="18" s="1"/>
  <c r="E113" i="18" s="1"/>
  <c r="AL112" i="18"/>
  <c r="AK112" i="18"/>
  <c r="AJ112" i="18"/>
  <c r="AI112" i="18"/>
  <c r="AH112" i="18"/>
  <c r="F112" i="18"/>
  <c r="B112" i="18"/>
  <c r="E112" i="18" s="1"/>
  <c r="AL111" i="18"/>
  <c r="AK111" i="18"/>
  <c r="AJ111" i="18"/>
  <c r="AI111" i="18"/>
  <c r="AH111" i="18"/>
  <c r="F111" i="18"/>
  <c r="B111" i="18" s="1"/>
  <c r="E111" i="18" s="1"/>
  <c r="AL110" i="18"/>
  <c r="AK110" i="18"/>
  <c r="AJ110" i="18"/>
  <c r="AI110" i="18"/>
  <c r="AH110" i="18"/>
  <c r="F110" i="18"/>
  <c r="B110" i="18"/>
  <c r="E110" i="18" s="1"/>
  <c r="AL109" i="18"/>
  <c r="AK109" i="18"/>
  <c r="AJ109" i="18"/>
  <c r="AI109" i="18"/>
  <c r="AH109" i="18"/>
  <c r="F109" i="18"/>
  <c r="B109" i="18" s="1"/>
  <c r="E109" i="18" s="1"/>
  <c r="AL108" i="18"/>
  <c r="AK108" i="18"/>
  <c r="AJ108" i="18"/>
  <c r="AI108" i="18"/>
  <c r="AH108" i="18"/>
  <c r="F108" i="18"/>
  <c r="B108" i="18"/>
  <c r="E108" i="18" s="1"/>
  <c r="AL107" i="18"/>
  <c r="AK107" i="18"/>
  <c r="AJ107" i="18"/>
  <c r="AI107" i="18"/>
  <c r="AH107" i="18"/>
  <c r="F107" i="18"/>
  <c r="B107" i="18" s="1"/>
  <c r="E107" i="18" s="1"/>
  <c r="AL106" i="18"/>
  <c r="AK106" i="18"/>
  <c r="AJ106" i="18"/>
  <c r="AI106" i="18"/>
  <c r="AH106" i="18"/>
  <c r="F106" i="18"/>
  <c r="B106" i="18"/>
  <c r="E106" i="18" s="1"/>
  <c r="AL105" i="18"/>
  <c r="AK105" i="18"/>
  <c r="AJ105" i="18"/>
  <c r="AI105" i="18"/>
  <c r="AH105" i="18"/>
  <c r="F105" i="18"/>
  <c r="B105" i="18" s="1"/>
  <c r="E105" i="18" s="1"/>
  <c r="AL104" i="18"/>
  <c r="AK104" i="18"/>
  <c r="AJ104" i="18"/>
  <c r="AI104" i="18"/>
  <c r="AH104" i="18"/>
  <c r="F104" i="18"/>
  <c r="B104" i="18"/>
  <c r="E104" i="18" s="1"/>
  <c r="AL103" i="18"/>
  <c r="AK103" i="18"/>
  <c r="AJ103" i="18"/>
  <c r="AI103" i="18"/>
  <c r="AH103" i="18"/>
  <c r="F103" i="18"/>
  <c r="B103" i="18" s="1"/>
  <c r="E103" i="18" s="1"/>
  <c r="AL102" i="18"/>
  <c r="AK102" i="18"/>
  <c r="AJ102" i="18"/>
  <c r="AI102" i="18"/>
  <c r="AH102" i="18"/>
  <c r="F102" i="18"/>
  <c r="B102" i="18"/>
  <c r="E102" i="18" s="1"/>
  <c r="AL101" i="18"/>
  <c r="AK101" i="18"/>
  <c r="AJ101" i="18"/>
  <c r="AI101" i="18"/>
  <c r="AH101" i="18"/>
  <c r="F101" i="18"/>
  <c r="B101" i="18" s="1"/>
  <c r="E101" i="18" s="1"/>
  <c r="AL100" i="18"/>
  <c r="AK100" i="18"/>
  <c r="AJ100" i="18"/>
  <c r="AI100" i="18"/>
  <c r="AH100" i="18"/>
  <c r="F100" i="18"/>
  <c r="B100" i="18"/>
  <c r="E100" i="18" s="1"/>
  <c r="AL99" i="18"/>
  <c r="AK99" i="18"/>
  <c r="AJ99" i="18"/>
  <c r="AI99" i="18"/>
  <c r="AH99" i="18"/>
  <c r="F99" i="18"/>
  <c r="B99" i="18" s="1"/>
  <c r="E99" i="18" s="1"/>
  <c r="AL98" i="18"/>
  <c r="AK98" i="18"/>
  <c r="AJ98" i="18"/>
  <c r="AI98" i="18"/>
  <c r="AH98" i="18"/>
  <c r="F98" i="18"/>
  <c r="B98" i="18"/>
  <c r="E98" i="18" s="1"/>
  <c r="AL97" i="18"/>
  <c r="AK97" i="18"/>
  <c r="AJ97" i="18"/>
  <c r="AI97" i="18"/>
  <c r="AH97" i="18"/>
  <c r="F97" i="18"/>
  <c r="B97" i="18" s="1"/>
  <c r="E97" i="18" s="1"/>
  <c r="AL96" i="18"/>
  <c r="AK96" i="18"/>
  <c r="AJ96" i="18"/>
  <c r="AI96" i="18"/>
  <c r="AH96" i="18"/>
  <c r="F96" i="18"/>
  <c r="B96" i="18"/>
  <c r="E96" i="18" s="1"/>
  <c r="AL95" i="18"/>
  <c r="AK95" i="18"/>
  <c r="AJ95" i="18"/>
  <c r="AI95" i="18"/>
  <c r="AH95" i="18"/>
  <c r="F95" i="18"/>
  <c r="B95" i="18" s="1"/>
  <c r="E95" i="18" s="1"/>
  <c r="AL94" i="18"/>
  <c r="AK94" i="18"/>
  <c r="AJ94" i="18"/>
  <c r="AI94" i="18"/>
  <c r="AH94" i="18"/>
  <c r="F94" i="18"/>
  <c r="B94" i="18"/>
  <c r="E94" i="18" s="1"/>
  <c r="AL93" i="18"/>
  <c r="AK93" i="18"/>
  <c r="AJ93" i="18"/>
  <c r="AI93" i="18"/>
  <c r="AH93" i="18"/>
  <c r="F93" i="18"/>
  <c r="B93" i="18" s="1"/>
  <c r="E93" i="18" s="1"/>
  <c r="AL92" i="18"/>
  <c r="AK92" i="18"/>
  <c r="AJ92" i="18"/>
  <c r="AI92" i="18"/>
  <c r="AH92" i="18"/>
  <c r="F92" i="18"/>
  <c r="B92" i="18"/>
  <c r="E92" i="18" s="1"/>
  <c r="AL91" i="18"/>
  <c r="AK91" i="18"/>
  <c r="AJ91" i="18"/>
  <c r="AI91" i="18"/>
  <c r="AH91" i="18"/>
  <c r="F91" i="18"/>
  <c r="B91" i="18" s="1"/>
  <c r="E91" i="18" s="1"/>
  <c r="AL90" i="18"/>
  <c r="AK90" i="18"/>
  <c r="AJ90" i="18"/>
  <c r="AI90" i="18"/>
  <c r="AH90" i="18"/>
  <c r="F90" i="18"/>
  <c r="B90" i="18"/>
  <c r="E90" i="18" s="1"/>
  <c r="AL89" i="18"/>
  <c r="AK89" i="18"/>
  <c r="AJ89" i="18"/>
  <c r="AI89" i="18"/>
  <c r="AH89" i="18"/>
  <c r="F89" i="18"/>
  <c r="B89" i="18" s="1"/>
  <c r="E89" i="18" s="1"/>
  <c r="AL88" i="18"/>
  <c r="AK88" i="18"/>
  <c r="AJ88" i="18"/>
  <c r="AI88" i="18"/>
  <c r="AH88" i="18"/>
  <c r="F88" i="18"/>
  <c r="B88" i="18"/>
  <c r="E88" i="18" s="1"/>
  <c r="AL87" i="18"/>
  <c r="AK87" i="18"/>
  <c r="AJ87" i="18"/>
  <c r="AI87" i="18"/>
  <c r="AH87" i="18"/>
  <c r="F87" i="18"/>
  <c r="B87" i="18" s="1"/>
  <c r="E87" i="18" s="1"/>
  <c r="AL86" i="18"/>
  <c r="AK86" i="18"/>
  <c r="AJ86" i="18"/>
  <c r="AI86" i="18"/>
  <c r="AH86" i="18"/>
  <c r="F86" i="18"/>
  <c r="B86" i="18"/>
  <c r="E86" i="18" s="1"/>
  <c r="AL85" i="18"/>
  <c r="AK85" i="18"/>
  <c r="AJ85" i="18"/>
  <c r="AI85" i="18"/>
  <c r="AH85" i="18"/>
  <c r="F85" i="18"/>
  <c r="B85" i="18" s="1"/>
  <c r="E85" i="18" s="1"/>
  <c r="AL84" i="18"/>
  <c r="AK84" i="18"/>
  <c r="AJ84" i="18"/>
  <c r="AI84" i="18"/>
  <c r="AH84" i="18"/>
  <c r="F84" i="18"/>
  <c r="B84" i="18"/>
  <c r="E84" i="18" s="1"/>
  <c r="AL83" i="18"/>
  <c r="AK83" i="18"/>
  <c r="AJ83" i="18"/>
  <c r="AI83" i="18"/>
  <c r="AH83" i="18"/>
  <c r="F83" i="18"/>
  <c r="B83" i="18" s="1"/>
  <c r="E83" i="18" s="1"/>
  <c r="AL82" i="18"/>
  <c r="AK82" i="18"/>
  <c r="AJ82" i="18"/>
  <c r="AI82" i="18"/>
  <c r="AH82" i="18"/>
  <c r="F82" i="18"/>
  <c r="B82" i="18"/>
  <c r="E82" i="18" s="1"/>
  <c r="AL81" i="18"/>
  <c r="AK81" i="18"/>
  <c r="AJ81" i="18"/>
  <c r="AI81" i="18"/>
  <c r="AH81" i="18"/>
  <c r="F81" i="18"/>
  <c r="B81" i="18" s="1"/>
  <c r="E81" i="18" s="1"/>
  <c r="AL80" i="18"/>
  <c r="AK80" i="18"/>
  <c r="AJ80" i="18"/>
  <c r="AI80" i="18"/>
  <c r="AH80" i="18"/>
  <c r="F80" i="18"/>
  <c r="B80" i="18"/>
  <c r="E80" i="18" s="1"/>
  <c r="AL79" i="18"/>
  <c r="AK79" i="18"/>
  <c r="AJ79" i="18"/>
  <c r="AI79" i="18"/>
  <c r="AH79" i="18"/>
  <c r="F79" i="18"/>
  <c r="B79" i="18" s="1"/>
  <c r="E79" i="18" s="1"/>
  <c r="AL78" i="18"/>
  <c r="AK78" i="18"/>
  <c r="AJ78" i="18"/>
  <c r="AI78" i="18"/>
  <c r="AH78" i="18"/>
  <c r="F78" i="18"/>
  <c r="B78" i="18"/>
  <c r="E78" i="18" s="1"/>
  <c r="AL77" i="18"/>
  <c r="AK77" i="18"/>
  <c r="AJ77" i="18"/>
  <c r="AI77" i="18"/>
  <c r="AH77" i="18"/>
  <c r="F77" i="18"/>
  <c r="B77" i="18" s="1"/>
  <c r="E77" i="18" s="1"/>
  <c r="AL76" i="18"/>
  <c r="AK76" i="18"/>
  <c r="AJ76" i="18"/>
  <c r="AI76" i="18"/>
  <c r="AH76" i="18"/>
  <c r="F76" i="18"/>
  <c r="B76" i="18"/>
  <c r="E76" i="18" s="1"/>
  <c r="AL75" i="18"/>
  <c r="AK75" i="18"/>
  <c r="AJ75" i="18"/>
  <c r="AI75" i="18"/>
  <c r="AH75" i="18"/>
  <c r="F75" i="18"/>
  <c r="B75" i="18" s="1"/>
  <c r="E75" i="18" s="1"/>
  <c r="AL74" i="18"/>
  <c r="AK74" i="18"/>
  <c r="AJ74" i="18"/>
  <c r="AI74" i="18"/>
  <c r="AH74" i="18"/>
  <c r="F74" i="18"/>
  <c r="B74" i="18"/>
  <c r="E74" i="18" s="1"/>
  <c r="AL73" i="18"/>
  <c r="AK73" i="18"/>
  <c r="AJ73" i="18"/>
  <c r="AI73" i="18"/>
  <c r="AH73" i="18"/>
  <c r="F73" i="18"/>
  <c r="B73" i="18" s="1"/>
  <c r="E73" i="18" s="1"/>
  <c r="AL72" i="18"/>
  <c r="AK72" i="18"/>
  <c r="AJ72" i="18"/>
  <c r="AI72" i="18"/>
  <c r="AH72" i="18"/>
  <c r="F72" i="18"/>
  <c r="B72" i="18"/>
  <c r="E72" i="18" s="1"/>
  <c r="AL71" i="18"/>
  <c r="AK71" i="18"/>
  <c r="AJ71" i="18"/>
  <c r="AI71" i="18"/>
  <c r="AH71" i="18"/>
  <c r="F71" i="18"/>
  <c r="B71" i="18" s="1"/>
  <c r="E71" i="18" s="1"/>
  <c r="AL70" i="18"/>
  <c r="AK70" i="18"/>
  <c r="AJ70" i="18"/>
  <c r="AI70" i="18"/>
  <c r="AH70" i="18"/>
  <c r="F70" i="18"/>
  <c r="B70" i="18"/>
  <c r="E70" i="18" s="1"/>
  <c r="AL69" i="18"/>
  <c r="AK69" i="18"/>
  <c r="AJ69" i="18"/>
  <c r="AI69" i="18"/>
  <c r="AH69" i="18"/>
  <c r="F69" i="18"/>
  <c r="B69" i="18" s="1"/>
  <c r="E69" i="18" s="1"/>
  <c r="AL68" i="18"/>
  <c r="AK68" i="18"/>
  <c r="AJ68" i="18"/>
  <c r="AI68" i="18"/>
  <c r="AH68" i="18"/>
  <c r="F68" i="18"/>
  <c r="B68" i="18"/>
  <c r="E68" i="18" s="1"/>
  <c r="AL67" i="18"/>
  <c r="AK67" i="18"/>
  <c r="AJ67" i="18"/>
  <c r="AI67" i="18"/>
  <c r="AH67" i="18"/>
  <c r="F67" i="18"/>
  <c r="B67" i="18" s="1"/>
  <c r="E67" i="18" s="1"/>
  <c r="AL66" i="18"/>
  <c r="AK66" i="18"/>
  <c r="AJ66" i="18"/>
  <c r="AI66" i="18"/>
  <c r="AH66" i="18"/>
  <c r="F66" i="18"/>
  <c r="B66" i="18"/>
  <c r="E66" i="18" s="1"/>
  <c r="AL65" i="18"/>
  <c r="AK65" i="18"/>
  <c r="AJ65" i="18"/>
  <c r="AI65" i="18"/>
  <c r="AH65" i="18"/>
  <c r="F65" i="18"/>
  <c r="B65" i="18" s="1"/>
  <c r="E65" i="18" s="1"/>
  <c r="AL64" i="18"/>
  <c r="AK64" i="18"/>
  <c r="AJ64" i="18"/>
  <c r="AI64" i="18"/>
  <c r="AH64" i="18"/>
  <c r="F64" i="18"/>
  <c r="B64" i="18"/>
  <c r="E64" i="18" s="1"/>
  <c r="AL63" i="18"/>
  <c r="AK63" i="18"/>
  <c r="AJ63" i="18"/>
  <c r="AI63" i="18"/>
  <c r="AH63" i="18"/>
  <c r="F63" i="18"/>
  <c r="B63" i="18" s="1"/>
  <c r="E63" i="18" s="1"/>
  <c r="AL62" i="18"/>
  <c r="AK62" i="18"/>
  <c r="AJ62" i="18"/>
  <c r="AI62" i="18"/>
  <c r="AH62" i="18"/>
  <c r="F62" i="18"/>
  <c r="B62" i="18"/>
  <c r="E62" i="18" s="1"/>
  <c r="AL61" i="18"/>
  <c r="AK61" i="18"/>
  <c r="AJ61" i="18"/>
  <c r="AI61" i="18"/>
  <c r="AH61" i="18"/>
  <c r="F61" i="18"/>
  <c r="B61" i="18" s="1"/>
  <c r="E61" i="18" s="1"/>
  <c r="AL60" i="18"/>
  <c r="AK60" i="18"/>
  <c r="AJ60" i="18"/>
  <c r="AI60" i="18"/>
  <c r="AH60" i="18"/>
  <c r="F60" i="18"/>
  <c r="B60" i="18"/>
  <c r="E60" i="18" s="1"/>
  <c r="AL59" i="18"/>
  <c r="AK59" i="18"/>
  <c r="AJ59" i="18"/>
  <c r="AI59" i="18"/>
  <c r="AH59" i="18"/>
  <c r="F59" i="18"/>
  <c r="B59" i="18"/>
  <c r="E59" i="18" s="1"/>
  <c r="AL58" i="18"/>
  <c r="AK58" i="18"/>
  <c r="AJ58" i="18"/>
  <c r="AI58" i="18"/>
  <c r="AH58" i="18"/>
  <c r="F58" i="18"/>
  <c r="B58" i="18"/>
  <c r="E58" i="18" s="1"/>
  <c r="AL57" i="18"/>
  <c r="AK57" i="18"/>
  <c r="AJ57" i="18"/>
  <c r="AI57" i="18"/>
  <c r="AH57" i="18"/>
  <c r="F57" i="18"/>
  <c r="B57" i="18"/>
  <c r="E57" i="18" s="1"/>
  <c r="AL56" i="18"/>
  <c r="AK56" i="18"/>
  <c r="AJ56" i="18"/>
  <c r="AI56" i="18"/>
  <c r="AH56" i="18"/>
  <c r="F56" i="18"/>
  <c r="B56" i="18"/>
  <c r="E56" i="18" s="1"/>
  <c r="AL55" i="18"/>
  <c r="AK55" i="18"/>
  <c r="AJ55" i="18"/>
  <c r="AI55" i="18"/>
  <c r="AH55" i="18"/>
  <c r="F55" i="18"/>
  <c r="B55" i="18"/>
  <c r="E55" i="18" s="1"/>
  <c r="AL54" i="18"/>
  <c r="AK54" i="18"/>
  <c r="AJ54" i="18"/>
  <c r="AI54" i="18"/>
  <c r="AH54" i="18"/>
  <c r="F54" i="18"/>
  <c r="B54" i="18"/>
  <c r="E54" i="18" s="1"/>
  <c r="AL53" i="18"/>
  <c r="AK53" i="18"/>
  <c r="AJ53" i="18"/>
  <c r="AI53" i="18"/>
  <c r="AH53" i="18"/>
  <c r="F53" i="18"/>
  <c r="B53" i="18"/>
  <c r="E53" i="18" s="1"/>
  <c r="AL52" i="18"/>
  <c r="AK52" i="18"/>
  <c r="AJ52" i="18"/>
  <c r="AI52" i="18"/>
  <c r="AH52" i="18"/>
  <c r="F52" i="18"/>
  <c r="B52" i="18"/>
  <c r="E52" i="18" s="1"/>
  <c r="AL51" i="18"/>
  <c r="AK51" i="18"/>
  <c r="AJ51" i="18"/>
  <c r="AI51" i="18"/>
  <c r="AH51" i="18"/>
  <c r="F51" i="18"/>
  <c r="B51" i="18"/>
  <c r="E51" i="18" s="1"/>
  <c r="AL50" i="18"/>
  <c r="AK50" i="18"/>
  <c r="AJ50" i="18"/>
  <c r="AI50" i="18"/>
  <c r="AH50" i="18"/>
  <c r="F50" i="18"/>
  <c r="B50" i="18"/>
  <c r="E50" i="18" s="1"/>
  <c r="AL49" i="18"/>
  <c r="AK49" i="18"/>
  <c r="AJ49" i="18"/>
  <c r="AI49" i="18"/>
  <c r="AH49" i="18"/>
  <c r="F49" i="18"/>
  <c r="B49" i="18"/>
  <c r="E49" i="18" s="1"/>
  <c r="AL48" i="18"/>
  <c r="AK48" i="18"/>
  <c r="AJ48" i="18"/>
  <c r="AI48" i="18"/>
  <c r="AH48" i="18"/>
  <c r="F48" i="18"/>
  <c r="B48" i="18"/>
  <c r="E48" i="18" s="1"/>
  <c r="AL47" i="18"/>
  <c r="AK47" i="18"/>
  <c r="AJ47" i="18"/>
  <c r="AI47" i="18"/>
  <c r="AH47" i="18"/>
  <c r="F47" i="18"/>
  <c r="B47" i="18"/>
  <c r="E47" i="18" s="1"/>
  <c r="AL46" i="18"/>
  <c r="AK46" i="18"/>
  <c r="AJ46" i="18"/>
  <c r="AI46" i="18"/>
  <c r="AH46" i="18"/>
  <c r="F46" i="18"/>
  <c r="B46" i="18"/>
  <c r="E46" i="18" s="1"/>
  <c r="AL45" i="18"/>
  <c r="AK45" i="18"/>
  <c r="AJ45" i="18"/>
  <c r="AI45" i="18"/>
  <c r="AH45" i="18"/>
  <c r="F45" i="18"/>
  <c r="B45" i="18"/>
  <c r="E45" i="18" s="1"/>
  <c r="AL44" i="18"/>
  <c r="AK44" i="18"/>
  <c r="AJ44" i="18"/>
  <c r="AI44" i="18"/>
  <c r="AH44" i="18"/>
  <c r="F44" i="18"/>
  <c r="B44" i="18" s="1"/>
  <c r="E44" i="18" s="1"/>
  <c r="AL43" i="18"/>
  <c r="AK43" i="18"/>
  <c r="AJ43" i="18"/>
  <c r="AI43" i="18"/>
  <c r="AH43" i="18"/>
  <c r="F43" i="18"/>
  <c r="B43" i="18" s="1"/>
  <c r="E43" i="18" s="1"/>
  <c r="AL42" i="18"/>
  <c r="AK42" i="18"/>
  <c r="AJ42" i="18"/>
  <c r="AI42" i="18"/>
  <c r="AH42" i="18"/>
  <c r="F42" i="18"/>
  <c r="B42" i="18" s="1"/>
  <c r="E42" i="18" s="1"/>
  <c r="AL41" i="18"/>
  <c r="AK41" i="18"/>
  <c r="AJ41" i="18"/>
  <c r="AI41" i="18"/>
  <c r="AH41" i="18"/>
  <c r="F41" i="18"/>
  <c r="B41" i="18" s="1"/>
  <c r="E41" i="18" s="1"/>
  <c r="AL40" i="18"/>
  <c r="AK40" i="18"/>
  <c r="AJ40" i="18"/>
  <c r="AI40" i="18"/>
  <c r="AH40" i="18"/>
  <c r="F40" i="18"/>
  <c r="B40" i="18" s="1"/>
  <c r="E40" i="18" s="1"/>
  <c r="AL39" i="18"/>
  <c r="AK39" i="18"/>
  <c r="AJ39" i="18"/>
  <c r="AI39" i="18"/>
  <c r="AH39" i="18"/>
  <c r="F39" i="18"/>
  <c r="B39" i="18" s="1"/>
  <c r="E39" i="18" s="1"/>
  <c r="AL38" i="18"/>
  <c r="AK38" i="18"/>
  <c r="AJ38" i="18"/>
  <c r="AI38" i="18"/>
  <c r="AH38" i="18"/>
  <c r="F38" i="18"/>
  <c r="B38" i="18" s="1"/>
  <c r="E38" i="18" s="1"/>
  <c r="AL37" i="18"/>
  <c r="AK37" i="18"/>
  <c r="AJ37" i="18"/>
  <c r="AI37" i="18"/>
  <c r="AH37" i="18"/>
  <c r="F37" i="18"/>
  <c r="B37" i="18" s="1"/>
  <c r="E37" i="18" s="1"/>
  <c r="AL36" i="18"/>
  <c r="AK36" i="18"/>
  <c r="AJ36" i="18"/>
  <c r="AI36" i="18"/>
  <c r="AH36" i="18"/>
  <c r="F36" i="18"/>
  <c r="B36" i="18" s="1"/>
  <c r="E36" i="18" s="1"/>
  <c r="AL35" i="18"/>
  <c r="AK35" i="18"/>
  <c r="AJ35" i="18"/>
  <c r="AI35" i="18"/>
  <c r="AH35" i="18"/>
  <c r="F35" i="18"/>
  <c r="B35" i="18" s="1"/>
  <c r="E35" i="18" s="1"/>
  <c r="AL34" i="18"/>
  <c r="AK34" i="18"/>
  <c r="AJ34" i="18"/>
  <c r="AI34" i="18"/>
  <c r="AH34" i="18"/>
  <c r="F34" i="18"/>
  <c r="B34" i="18" s="1"/>
  <c r="E34" i="18" s="1"/>
  <c r="AL33" i="18"/>
  <c r="AK33" i="18"/>
  <c r="AJ33" i="18"/>
  <c r="AI33" i="18"/>
  <c r="AH33" i="18"/>
  <c r="F33" i="18"/>
  <c r="B33" i="18" s="1"/>
  <c r="E33" i="18" s="1"/>
  <c r="AL32" i="18"/>
  <c r="AK32" i="18"/>
  <c r="AJ32" i="18"/>
  <c r="AI32" i="18"/>
  <c r="AH32" i="18"/>
  <c r="F32" i="18"/>
  <c r="B32" i="18" s="1"/>
  <c r="E32" i="18" s="1"/>
  <c r="AL31" i="18"/>
  <c r="AK31" i="18"/>
  <c r="AJ31" i="18"/>
  <c r="AI31" i="18"/>
  <c r="AH31" i="18"/>
  <c r="F31" i="18"/>
  <c r="B31" i="18" s="1"/>
  <c r="E31" i="18" s="1"/>
  <c r="AL30" i="18"/>
  <c r="AK30" i="18"/>
  <c r="AJ30" i="18"/>
  <c r="AI30" i="18"/>
  <c r="AH30" i="18"/>
  <c r="F30" i="18"/>
  <c r="B30" i="18" s="1"/>
  <c r="E30" i="18" s="1"/>
  <c r="AL29" i="18"/>
  <c r="AK29" i="18"/>
  <c r="AJ29" i="18"/>
  <c r="AI29" i="18"/>
  <c r="AH29" i="18"/>
  <c r="F29" i="18"/>
  <c r="B29" i="18" s="1"/>
  <c r="E29" i="18" s="1"/>
  <c r="AL28" i="18"/>
  <c r="AK28" i="18"/>
  <c r="AJ28" i="18"/>
  <c r="AI28" i="18"/>
  <c r="AH28" i="18"/>
  <c r="F28" i="18"/>
  <c r="B28" i="18" s="1"/>
  <c r="E28" i="18" s="1"/>
  <c r="AL27" i="18"/>
  <c r="AK27" i="18"/>
  <c r="AJ27" i="18"/>
  <c r="AI27" i="18"/>
  <c r="AH27" i="18"/>
  <c r="F27" i="18"/>
  <c r="B27" i="18" s="1"/>
  <c r="E27" i="18" s="1"/>
  <c r="AL26" i="18"/>
  <c r="AK26" i="18"/>
  <c r="AJ26" i="18"/>
  <c r="AI26" i="18"/>
  <c r="AH26" i="18"/>
  <c r="F26" i="18"/>
  <c r="B26" i="18" s="1"/>
  <c r="E26" i="18" s="1"/>
  <c r="AL25" i="18"/>
  <c r="AK25" i="18"/>
  <c r="AJ25" i="18"/>
  <c r="AI25" i="18"/>
  <c r="AH25" i="18"/>
  <c r="F25" i="18"/>
  <c r="B25" i="18" s="1"/>
  <c r="E25" i="18" s="1"/>
  <c r="AL24" i="18"/>
  <c r="AK24" i="18"/>
  <c r="AJ24" i="18"/>
  <c r="AI24" i="18"/>
  <c r="AH24" i="18"/>
  <c r="F24" i="18"/>
  <c r="B24" i="18" s="1"/>
  <c r="E24" i="18" s="1"/>
  <c r="AL23" i="18"/>
  <c r="AK23" i="18"/>
  <c r="AJ23" i="18"/>
  <c r="AI23" i="18"/>
  <c r="AH23" i="18"/>
  <c r="F23" i="18"/>
  <c r="B23" i="18" s="1"/>
  <c r="E23" i="18" s="1"/>
  <c r="AL22" i="18"/>
  <c r="AK22" i="18"/>
  <c r="AJ22" i="18"/>
  <c r="AI22" i="18"/>
  <c r="AH22" i="18"/>
  <c r="F22" i="18"/>
  <c r="B22" i="18" s="1"/>
  <c r="E22" i="18" s="1"/>
  <c r="AL21" i="18"/>
  <c r="AK21" i="18"/>
  <c r="AJ21" i="18"/>
  <c r="AI21" i="18"/>
  <c r="AH21" i="18"/>
  <c r="F21" i="18"/>
  <c r="B21" i="18" s="1"/>
  <c r="E21" i="18" s="1"/>
  <c r="AL20" i="18"/>
  <c r="AK20" i="18"/>
  <c r="AJ20" i="18"/>
  <c r="AI20" i="18"/>
  <c r="AH20" i="18"/>
  <c r="F20" i="18"/>
  <c r="B20" i="18" s="1"/>
  <c r="E20" i="18" s="1"/>
  <c r="AL19" i="18"/>
  <c r="AK19" i="18"/>
  <c r="AJ19" i="18"/>
  <c r="AI19" i="18"/>
  <c r="AH19" i="18"/>
  <c r="F19" i="18"/>
  <c r="B19" i="18" s="1"/>
  <c r="E19" i="18" s="1"/>
  <c r="AL18" i="18"/>
  <c r="AK18" i="18"/>
  <c r="AJ18" i="18"/>
  <c r="AI18" i="18"/>
  <c r="AH18" i="18"/>
  <c r="F18" i="18"/>
  <c r="B18" i="18" s="1"/>
  <c r="E18" i="18" s="1"/>
  <c r="AL17" i="18"/>
  <c r="AK17" i="18"/>
  <c r="AJ17" i="18"/>
  <c r="AI17" i="18"/>
  <c r="AH17" i="18"/>
  <c r="F17" i="18"/>
  <c r="B17" i="18" s="1"/>
  <c r="E17" i="18" s="1"/>
  <c r="AL16" i="18"/>
  <c r="AK16" i="18"/>
  <c r="AJ16" i="18"/>
  <c r="AI16" i="18"/>
  <c r="AH16" i="18"/>
  <c r="F16" i="18"/>
  <c r="B16" i="18" s="1"/>
  <c r="E16" i="18" s="1"/>
  <c r="AL15" i="18"/>
  <c r="AK15" i="18"/>
  <c r="AJ15" i="18"/>
  <c r="AI15" i="18"/>
  <c r="AH15" i="18"/>
  <c r="F15" i="18"/>
  <c r="B15" i="18" s="1"/>
  <c r="E15" i="18" s="1"/>
  <c r="AL14" i="18"/>
  <c r="AK14" i="18"/>
  <c r="AJ14" i="18"/>
  <c r="AI14" i="18"/>
  <c r="AH14" i="18"/>
  <c r="F14" i="18"/>
  <c r="B14" i="18" s="1"/>
  <c r="E14" i="18" s="1"/>
  <c r="AL13" i="18"/>
  <c r="AK13" i="18"/>
  <c r="AJ13" i="18"/>
  <c r="AI13" i="18"/>
  <c r="AH13" i="18"/>
  <c r="F13" i="18"/>
  <c r="B13" i="18" s="1"/>
  <c r="E13" i="18" s="1"/>
  <c r="AL12" i="18"/>
  <c r="AK12" i="18"/>
  <c r="AJ12" i="18"/>
  <c r="AI12" i="18"/>
  <c r="AH12" i="18"/>
  <c r="F12" i="18"/>
  <c r="B12" i="18" s="1"/>
  <c r="E12" i="18" s="1"/>
  <c r="AL11" i="18"/>
  <c r="AK11" i="18"/>
  <c r="AJ11" i="18"/>
  <c r="AI11" i="18"/>
  <c r="AH11" i="18"/>
  <c r="F11" i="18"/>
  <c r="B11" i="18" s="1"/>
  <c r="E11" i="18" s="1"/>
  <c r="AL10" i="18"/>
  <c r="AK10" i="18"/>
  <c r="AJ10" i="18"/>
  <c r="AI10" i="18"/>
  <c r="AH10" i="18"/>
  <c r="F10" i="18"/>
  <c r="B10" i="18" s="1"/>
  <c r="E10" i="18" s="1"/>
  <c r="AL9" i="18"/>
  <c r="AK9" i="18"/>
  <c r="AJ9" i="18"/>
  <c r="AI9" i="18"/>
  <c r="AH9" i="18"/>
  <c r="F9" i="18"/>
  <c r="B9" i="18" s="1"/>
  <c r="E9" i="18" s="1"/>
  <c r="AL8" i="18"/>
  <c r="AK8" i="18"/>
  <c r="AJ8" i="18"/>
  <c r="AI8" i="18"/>
  <c r="AH8" i="18"/>
  <c r="F8" i="18"/>
  <c r="B8" i="18" s="1"/>
  <c r="E8" i="18" s="1"/>
  <c r="AL7" i="18"/>
  <c r="AK7" i="18"/>
  <c r="AJ7" i="18"/>
  <c r="AI7" i="18"/>
  <c r="AH7" i="18"/>
  <c r="F7" i="18"/>
  <c r="B7" i="18" s="1"/>
  <c r="E7" i="18" s="1"/>
  <c r="AL6" i="18"/>
  <c r="AK6" i="18"/>
  <c r="AJ6" i="18"/>
  <c r="AI6" i="18"/>
  <c r="AH6" i="18"/>
  <c r="F6" i="18"/>
  <c r="B6" i="18" s="1"/>
  <c r="E6" i="18" s="1"/>
  <c r="AL5" i="18"/>
  <c r="AK5" i="18"/>
  <c r="AJ5" i="18"/>
  <c r="AI5" i="18"/>
  <c r="AH5" i="18"/>
  <c r="F5" i="18"/>
  <c r="B5" i="18" s="1"/>
  <c r="E5" i="18" s="1"/>
  <c r="AL4" i="18"/>
  <c r="AK4" i="18"/>
  <c r="AJ4" i="18"/>
  <c r="AI4" i="18"/>
  <c r="AH4" i="18"/>
  <c r="F4" i="18"/>
  <c r="B4" i="18" s="1"/>
  <c r="E4" i="18" s="1"/>
  <c r="AL3" i="18"/>
  <c r="AK3" i="18"/>
  <c r="AJ3" i="18"/>
  <c r="AI3" i="18"/>
  <c r="AH3" i="18"/>
  <c r="F3" i="18"/>
  <c r="B3" i="18" s="1"/>
  <c r="E3" i="18" s="1"/>
  <c r="AL2" i="18"/>
  <c r="AK2" i="18"/>
  <c r="AJ2" i="18"/>
  <c r="AI2" i="18"/>
  <c r="AH2" i="18"/>
  <c r="F2" i="18"/>
  <c r="B2" i="18" s="1"/>
  <c r="E2" i="18" s="1"/>
  <c r="G4" i="6"/>
  <c r="D2" i="8"/>
  <c r="D3" i="8"/>
  <c r="D4" i="8"/>
  <c r="D5" i="8"/>
  <c r="D6" i="8"/>
  <c r="E47" i="10"/>
  <c r="F47" i="10"/>
  <c r="G47" i="10"/>
  <c r="H47" i="10"/>
  <c r="I47" i="10"/>
  <c r="D47" i="10"/>
  <c r="E43" i="10"/>
  <c r="F43" i="10"/>
  <c r="G43" i="10"/>
  <c r="H43" i="10"/>
  <c r="I43" i="10"/>
  <c r="D43" i="10"/>
  <c r="I35" i="10"/>
  <c r="J35" i="10"/>
  <c r="K35" i="10"/>
  <c r="L35" i="10"/>
  <c r="M35" i="10"/>
  <c r="N35" i="10"/>
  <c r="O35" i="10"/>
  <c r="J34" i="10"/>
  <c r="K34" i="10"/>
  <c r="L34" i="10"/>
  <c r="M34" i="10"/>
  <c r="N34" i="10"/>
  <c r="O34" i="10"/>
  <c r="I34" i="10"/>
  <c r="K4" i="10"/>
  <c r="L4" i="10"/>
  <c r="M4" i="10"/>
  <c r="N4" i="10"/>
  <c r="O4" i="10"/>
  <c r="P4" i="10"/>
  <c r="K5" i="10"/>
  <c r="L5" i="10"/>
  <c r="M5" i="10"/>
  <c r="N5" i="10"/>
  <c r="O5" i="10"/>
  <c r="P5" i="10"/>
  <c r="K6" i="10"/>
  <c r="L6" i="10"/>
  <c r="M6" i="10"/>
  <c r="N6" i="10"/>
  <c r="O6" i="10"/>
  <c r="P6" i="10"/>
  <c r="K7" i="10"/>
  <c r="L7" i="10"/>
  <c r="M7" i="10"/>
  <c r="N7" i="10"/>
  <c r="O7" i="10"/>
  <c r="P7" i="10"/>
  <c r="K8" i="10"/>
  <c r="L8" i="10"/>
  <c r="M8" i="10"/>
  <c r="N8" i="10"/>
  <c r="O8" i="10"/>
  <c r="P8" i="10"/>
  <c r="K9" i="10"/>
  <c r="L9" i="10"/>
  <c r="M9" i="10"/>
  <c r="N9" i="10"/>
  <c r="O9" i="10"/>
  <c r="P9" i="10"/>
  <c r="K10" i="10"/>
  <c r="L10" i="10"/>
  <c r="M10" i="10"/>
  <c r="N10" i="10"/>
  <c r="O10" i="10"/>
  <c r="P10" i="10"/>
  <c r="K11" i="10"/>
  <c r="L11" i="10"/>
  <c r="M11" i="10"/>
  <c r="N11" i="10"/>
  <c r="O11" i="10"/>
  <c r="P11" i="10"/>
  <c r="K12" i="10"/>
  <c r="L12" i="10"/>
  <c r="M12" i="10"/>
  <c r="N12" i="10"/>
  <c r="O12" i="10"/>
  <c r="P12" i="10"/>
  <c r="K13" i="10"/>
  <c r="L13" i="10"/>
  <c r="M13" i="10"/>
  <c r="N13" i="10"/>
  <c r="O13" i="10"/>
  <c r="P13" i="10"/>
  <c r="K14" i="10"/>
  <c r="L14" i="10"/>
  <c r="M14" i="10"/>
  <c r="N14" i="10"/>
  <c r="O14" i="10"/>
  <c r="P14" i="10"/>
  <c r="K15" i="10"/>
  <c r="L15" i="10"/>
  <c r="M15" i="10"/>
  <c r="N15" i="10"/>
  <c r="O15" i="10"/>
  <c r="P15" i="10"/>
  <c r="K16" i="10"/>
  <c r="L16" i="10"/>
  <c r="M16" i="10"/>
  <c r="N16" i="10"/>
  <c r="O16" i="10"/>
  <c r="P16" i="10"/>
  <c r="K17" i="10"/>
  <c r="L17" i="10"/>
  <c r="M17" i="10"/>
  <c r="N17" i="10"/>
  <c r="O17" i="10"/>
  <c r="P17" i="10"/>
  <c r="K18" i="10"/>
  <c r="L18" i="10"/>
  <c r="M18" i="10"/>
  <c r="N18" i="10"/>
  <c r="O18" i="10"/>
  <c r="P18" i="10"/>
  <c r="K19" i="10"/>
  <c r="L19" i="10"/>
  <c r="M19" i="10"/>
  <c r="N19" i="10"/>
  <c r="O19" i="10"/>
  <c r="P19" i="10"/>
  <c r="K20" i="10"/>
  <c r="L20" i="10"/>
  <c r="M20" i="10"/>
  <c r="N20" i="10"/>
  <c r="O20" i="10"/>
  <c r="P20" i="10"/>
  <c r="K21" i="10"/>
  <c r="L21" i="10"/>
  <c r="M21" i="10"/>
  <c r="N21" i="10"/>
  <c r="O21" i="10"/>
  <c r="P21" i="10"/>
  <c r="K22" i="10"/>
  <c r="L22" i="10"/>
  <c r="M22" i="10"/>
  <c r="N22" i="10"/>
  <c r="O22" i="10"/>
  <c r="P22" i="10"/>
  <c r="K23" i="10"/>
  <c r="L23" i="10"/>
  <c r="M23" i="10"/>
  <c r="N23" i="10"/>
  <c r="O23" i="10"/>
  <c r="P23" i="10"/>
  <c r="K24" i="10"/>
  <c r="L24" i="10"/>
  <c r="M24" i="10"/>
  <c r="N24" i="10"/>
  <c r="O24" i="10"/>
  <c r="P24" i="10"/>
  <c r="K25" i="10"/>
  <c r="L25" i="10"/>
  <c r="M25" i="10"/>
  <c r="N25" i="10"/>
  <c r="O25" i="10"/>
  <c r="P25" i="10"/>
  <c r="K26" i="10"/>
  <c r="L26" i="10"/>
  <c r="M26" i="10"/>
  <c r="N26" i="10"/>
  <c r="O26" i="10"/>
  <c r="P26" i="10"/>
  <c r="K27" i="10"/>
  <c r="L27" i="10"/>
  <c r="M27" i="10"/>
  <c r="N27" i="10"/>
  <c r="O27" i="10"/>
  <c r="P27" i="10"/>
  <c r="K28" i="10"/>
  <c r="L28" i="10"/>
  <c r="M28" i="10"/>
  <c r="N28" i="10"/>
  <c r="O28" i="10"/>
  <c r="P28" i="10"/>
  <c r="J5" i="10"/>
  <c r="J6" i="10"/>
  <c r="J7" i="10"/>
  <c r="J8" i="10"/>
  <c r="J9" i="10"/>
  <c r="J10" i="10"/>
  <c r="J11" i="10"/>
  <c r="J12" i="10"/>
  <c r="J13" i="10"/>
  <c r="J14" i="10"/>
  <c r="J15" i="10"/>
  <c r="J16" i="10"/>
  <c r="J17" i="10"/>
  <c r="J18" i="10"/>
  <c r="J19" i="10"/>
  <c r="J20" i="10"/>
  <c r="J21" i="10"/>
  <c r="J22" i="10"/>
  <c r="J23" i="10"/>
  <c r="J24" i="10"/>
  <c r="J25" i="10"/>
  <c r="J26" i="10"/>
  <c r="J27" i="10"/>
  <c r="J28" i="10"/>
  <c r="J4" i="10"/>
  <c r="C35" i="10"/>
  <c r="C34" i="10"/>
  <c r="C33" i="10"/>
  <c r="D33" i="10"/>
  <c r="E33" i="10"/>
  <c r="F33" i="10"/>
  <c r="G33" i="10"/>
  <c r="H33" i="10"/>
  <c r="D34" i="10"/>
  <c r="E34" i="10"/>
  <c r="F34" i="10"/>
  <c r="G34" i="10"/>
  <c r="H34" i="10"/>
  <c r="D35" i="10"/>
  <c r="E35" i="10"/>
  <c r="F35" i="10"/>
  <c r="G35" i="10"/>
  <c r="H35" i="10"/>
  <c r="B34" i="10"/>
  <c r="B35" i="10"/>
  <c r="B33" i="10"/>
  <c r="A4" i="10"/>
  <c r="A5" i="10"/>
  <c r="A6" i="10"/>
  <c r="A7" i="10"/>
  <c r="A8" i="10"/>
  <c r="A9" i="10"/>
  <c r="A10" i="10"/>
  <c r="A11" i="10"/>
  <c r="A12" i="10"/>
  <c r="A13" i="10"/>
  <c r="A14" i="10"/>
  <c r="A15" i="10"/>
  <c r="A16" i="10"/>
  <c r="A17" i="10"/>
  <c r="A18" i="10"/>
  <c r="A19" i="10"/>
  <c r="A20" i="10"/>
  <c r="A21" i="10"/>
  <c r="A22" i="10"/>
  <c r="A23" i="10"/>
  <c r="A24" i="10"/>
  <c r="A25" i="10"/>
  <c r="A26" i="10"/>
  <c r="A27" i="10"/>
  <c r="A28" i="10"/>
  <c r="A3" i="10"/>
  <c r="C3" i="15"/>
  <c r="D3" i="15"/>
  <c r="E3" i="15"/>
  <c r="F3" i="15"/>
  <c r="G3" i="15"/>
  <c r="H3" i="15"/>
  <c r="C4" i="15"/>
  <c r="D4" i="15"/>
  <c r="E4" i="15"/>
  <c r="F4" i="15"/>
  <c r="G4" i="15"/>
  <c r="H4" i="15"/>
  <c r="C5" i="15"/>
  <c r="D5" i="15"/>
  <c r="E5" i="15"/>
  <c r="F5" i="15"/>
  <c r="G5" i="15"/>
  <c r="H5" i="15"/>
  <c r="C6" i="15"/>
  <c r="D6" i="15"/>
  <c r="E6" i="15"/>
  <c r="F6" i="15"/>
  <c r="G6" i="15"/>
  <c r="H6" i="15"/>
  <c r="C7" i="15"/>
  <c r="D7" i="15"/>
  <c r="E7" i="15"/>
  <c r="F7" i="15"/>
  <c r="G7" i="15"/>
  <c r="H7" i="15"/>
  <c r="C8" i="15"/>
  <c r="D8" i="15"/>
  <c r="E8" i="15"/>
  <c r="F8" i="15"/>
  <c r="G8" i="15"/>
  <c r="H8" i="15"/>
  <c r="C9" i="15"/>
  <c r="D9" i="15"/>
  <c r="E9" i="15"/>
  <c r="F9" i="15"/>
  <c r="G9" i="15"/>
  <c r="H9" i="15"/>
  <c r="C10" i="15"/>
  <c r="D10" i="15"/>
  <c r="E10" i="15"/>
  <c r="F10" i="15"/>
  <c r="G10" i="15"/>
  <c r="H10" i="15"/>
  <c r="C11" i="15"/>
  <c r="D11" i="15"/>
  <c r="E11" i="15"/>
  <c r="F11" i="15"/>
  <c r="G11" i="15"/>
  <c r="H11" i="15"/>
  <c r="C12" i="15"/>
  <c r="D12" i="15"/>
  <c r="E12" i="15"/>
  <c r="F12" i="15"/>
  <c r="G12" i="15"/>
  <c r="H12" i="15"/>
  <c r="C13" i="15"/>
  <c r="D13" i="15"/>
  <c r="E13" i="15"/>
  <c r="F13" i="15"/>
  <c r="G13" i="15"/>
  <c r="H13" i="15"/>
  <c r="C14" i="15"/>
  <c r="D14" i="15"/>
  <c r="E14" i="15"/>
  <c r="F14" i="15"/>
  <c r="G14" i="15"/>
  <c r="H14" i="15"/>
  <c r="C15" i="15"/>
  <c r="D15" i="15"/>
  <c r="E15" i="15"/>
  <c r="F15" i="15"/>
  <c r="G15" i="15"/>
  <c r="H15" i="15"/>
  <c r="C16" i="15"/>
  <c r="D16" i="15"/>
  <c r="E16" i="15"/>
  <c r="F16" i="15"/>
  <c r="G16" i="15"/>
  <c r="H16" i="15"/>
  <c r="C17" i="15"/>
  <c r="D17" i="15"/>
  <c r="E17" i="15"/>
  <c r="F17" i="15"/>
  <c r="G17" i="15"/>
  <c r="H17" i="15"/>
  <c r="C18" i="15"/>
  <c r="D18" i="15"/>
  <c r="E18" i="15"/>
  <c r="F18" i="15"/>
  <c r="G18" i="15"/>
  <c r="H18" i="15"/>
  <c r="C19" i="15"/>
  <c r="D19" i="15"/>
  <c r="E19" i="15"/>
  <c r="F19" i="15"/>
  <c r="G19" i="15"/>
  <c r="H19" i="15"/>
  <c r="C20" i="15"/>
  <c r="D20" i="15"/>
  <c r="E20" i="15"/>
  <c r="F20" i="15"/>
  <c r="G20" i="15"/>
  <c r="H20" i="15"/>
  <c r="C21" i="15"/>
  <c r="D21" i="15"/>
  <c r="E21" i="15"/>
  <c r="F21" i="15"/>
  <c r="G21" i="15"/>
  <c r="H21" i="15"/>
  <c r="C22" i="15"/>
  <c r="D22" i="15"/>
  <c r="E22" i="15"/>
  <c r="F22" i="15"/>
  <c r="G22" i="15"/>
  <c r="H22" i="15"/>
  <c r="C23" i="15"/>
  <c r="D23" i="15"/>
  <c r="E23" i="15"/>
  <c r="F23" i="15"/>
  <c r="G23" i="15"/>
  <c r="H23" i="15"/>
  <c r="C24" i="15"/>
  <c r="D24" i="15"/>
  <c r="E24" i="15"/>
  <c r="F24" i="15"/>
  <c r="G24" i="15"/>
  <c r="H24" i="15"/>
  <c r="C25" i="15"/>
  <c r="D25" i="15"/>
  <c r="E25" i="15"/>
  <c r="F25" i="15"/>
  <c r="G25" i="15"/>
  <c r="H25" i="15"/>
  <c r="C26" i="15"/>
  <c r="D26" i="15"/>
  <c r="E26" i="15"/>
  <c r="F26" i="15"/>
  <c r="G26" i="15"/>
  <c r="H26" i="15"/>
  <c r="C27" i="15"/>
  <c r="D27" i="15"/>
  <c r="E27" i="15"/>
  <c r="F27" i="15"/>
  <c r="G27" i="15"/>
  <c r="H27" i="15"/>
  <c r="D2" i="15"/>
  <c r="E2" i="15"/>
  <c r="F2" i="15"/>
  <c r="G2" i="15"/>
  <c r="H2" i="15"/>
  <c r="C2" i="15"/>
  <c r="H13" i="14"/>
  <c r="H15" i="14"/>
  <c r="H29" i="14"/>
  <c r="H31" i="14"/>
  <c r="H45" i="14"/>
  <c r="H47" i="14"/>
  <c r="H61" i="14"/>
  <c r="H63" i="14"/>
  <c r="H77" i="14"/>
  <c r="H79" i="14"/>
  <c r="H93" i="14"/>
  <c r="H95" i="14"/>
  <c r="H109" i="14"/>
  <c r="H111" i="14"/>
  <c r="H125" i="14"/>
  <c r="H127" i="14"/>
  <c r="H141" i="14"/>
  <c r="H143" i="14"/>
  <c r="H157" i="14"/>
  <c r="H162" i="14"/>
  <c r="H178" i="14"/>
  <c r="H226" i="14"/>
  <c r="H242" i="14"/>
  <c r="H290" i="14"/>
  <c r="H306" i="14"/>
  <c r="I315" i="14"/>
  <c r="I316" i="14"/>
  <c r="I317" i="14"/>
  <c r="I318" i="14"/>
  <c r="I319" i="14"/>
  <c r="I320" i="14"/>
  <c r="I321" i="14"/>
  <c r="I322" i="14"/>
  <c r="I323" i="14"/>
  <c r="I324" i="14"/>
  <c r="I325" i="14"/>
  <c r="I326" i="14"/>
  <c r="I327" i="14"/>
  <c r="I328" i="14"/>
  <c r="I329" i="14"/>
  <c r="I330" i="14"/>
  <c r="I331" i="14"/>
  <c r="I332" i="14"/>
  <c r="I333" i="14"/>
  <c r="I334" i="14"/>
  <c r="I335" i="14"/>
  <c r="I336" i="14"/>
  <c r="I337" i="14"/>
  <c r="I338" i="14"/>
  <c r="I339" i="14"/>
  <c r="I340" i="14"/>
  <c r="I341" i="14"/>
  <c r="I342" i="14"/>
  <c r="I343" i="14"/>
  <c r="I344" i="14"/>
  <c r="I345" i="14"/>
  <c r="I346" i="14"/>
  <c r="I347" i="14"/>
  <c r="I348" i="14"/>
  <c r="I349" i="14"/>
  <c r="I350" i="14"/>
  <c r="I351" i="14"/>
  <c r="I352" i="14"/>
  <c r="I353" i="14"/>
  <c r="I354" i="14"/>
  <c r="I355" i="14"/>
  <c r="I356" i="14"/>
  <c r="I357" i="14"/>
  <c r="I358" i="14"/>
  <c r="I359" i="14"/>
  <c r="I360" i="14"/>
  <c r="I361" i="14"/>
  <c r="I362" i="14"/>
  <c r="I363" i="14"/>
  <c r="I364" i="14"/>
  <c r="I365" i="14"/>
  <c r="I366" i="14"/>
  <c r="I367" i="14"/>
  <c r="I368" i="14"/>
  <c r="I369" i="14"/>
  <c r="I370" i="14"/>
  <c r="I371" i="14"/>
  <c r="I372" i="14"/>
  <c r="I373" i="14"/>
  <c r="I374" i="14"/>
  <c r="I375" i="14"/>
  <c r="I376" i="14"/>
  <c r="I377" i="14"/>
  <c r="I378" i="14"/>
  <c r="I379" i="14"/>
  <c r="I380" i="14"/>
  <c r="I381" i="14"/>
  <c r="I382" i="14"/>
  <c r="I383" i="14"/>
  <c r="I384" i="14"/>
  <c r="I385" i="14"/>
  <c r="I386" i="14"/>
  <c r="I387" i="14"/>
  <c r="I388" i="14"/>
  <c r="I389" i="14"/>
  <c r="I390" i="14"/>
  <c r="I391" i="14"/>
  <c r="I238" i="14"/>
  <c r="I239" i="14"/>
  <c r="I240" i="14"/>
  <c r="I241" i="14"/>
  <c r="I242" i="14"/>
  <c r="I243" i="14"/>
  <c r="I244" i="14"/>
  <c r="I245" i="14"/>
  <c r="I246" i="14"/>
  <c r="I247" i="14"/>
  <c r="I248" i="14"/>
  <c r="I249" i="14"/>
  <c r="I250" i="14"/>
  <c r="I251" i="14"/>
  <c r="I252" i="14"/>
  <c r="I253" i="14"/>
  <c r="I254" i="14"/>
  <c r="I255" i="14"/>
  <c r="I256" i="14"/>
  <c r="I257" i="14"/>
  <c r="I258" i="14"/>
  <c r="I259" i="14"/>
  <c r="I260" i="14"/>
  <c r="I261" i="14"/>
  <c r="I262" i="14"/>
  <c r="I263" i="14"/>
  <c r="I264" i="14"/>
  <c r="I265" i="14"/>
  <c r="I266" i="14"/>
  <c r="I267" i="14"/>
  <c r="I268" i="14"/>
  <c r="I269" i="14"/>
  <c r="I270" i="14"/>
  <c r="I271" i="14"/>
  <c r="I272" i="14"/>
  <c r="I273" i="14"/>
  <c r="I274" i="14"/>
  <c r="I275" i="14"/>
  <c r="I276" i="14"/>
  <c r="I277" i="14"/>
  <c r="I278" i="14"/>
  <c r="I279" i="14"/>
  <c r="I280" i="14"/>
  <c r="I281" i="14"/>
  <c r="I282" i="14"/>
  <c r="I283" i="14"/>
  <c r="I284" i="14"/>
  <c r="I285" i="14"/>
  <c r="I286" i="14"/>
  <c r="I287" i="14"/>
  <c r="I288" i="14"/>
  <c r="I289" i="14"/>
  <c r="I290" i="14"/>
  <c r="I291" i="14"/>
  <c r="I292" i="14"/>
  <c r="I293" i="14"/>
  <c r="I294" i="14"/>
  <c r="I295" i="14"/>
  <c r="I296" i="14"/>
  <c r="I297" i="14"/>
  <c r="I298" i="14"/>
  <c r="I299" i="14"/>
  <c r="I300" i="14"/>
  <c r="I301" i="14"/>
  <c r="I302" i="14"/>
  <c r="I303" i="14"/>
  <c r="I304" i="14"/>
  <c r="I305" i="14"/>
  <c r="I306" i="14"/>
  <c r="I307" i="14"/>
  <c r="I308" i="14"/>
  <c r="I309" i="14"/>
  <c r="I310" i="14"/>
  <c r="I311" i="14"/>
  <c r="I312" i="14"/>
  <c r="I313" i="14"/>
  <c r="I237" i="14"/>
  <c r="I160" i="14"/>
  <c r="I161" i="14"/>
  <c r="I162" i="14"/>
  <c r="I163" i="14"/>
  <c r="I164" i="14"/>
  <c r="I165" i="14"/>
  <c r="I166" i="14"/>
  <c r="I167" i="14"/>
  <c r="I168" i="14"/>
  <c r="I169" i="14"/>
  <c r="I170" i="14"/>
  <c r="I171" i="14"/>
  <c r="I172" i="14"/>
  <c r="I173" i="14"/>
  <c r="I174" i="14"/>
  <c r="I175" i="14"/>
  <c r="I176" i="14"/>
  <c r="I177" i="14"/>
  <c r="I178" i="14"/>
  <c r="I179" i="14"/>
  <c r="I180" i="14"/>
  <c r="I181" i="14"/>
  <c r="I182" i="14"/>
  <c r="I183" i="14"/>
  <c r="I184" i="14"/>
  <c r="I185" i="14"/>
  <c r="I186" i="14"/>
  <c r="I187" i="14"/>
  <c r="I188" i="14"/>
  <c r="I189" i="14"/>
  <c r="I190" i="14"/>
  <c r="I191" i="14"/>
  <c r="I192" i="14"/>
  <c r="I193" i="14"/>
  <c r="I194" i="14"/>
  <c r="I195" i="14"/>
  <c r="I196" i="14"/>
  <c r="I197" i="14"/>
  <c r="I198" i="14"/>
  <c r="I199" i="14"/>
  <c r="I200" i="14"/>
  <c r="I201" i="14"/>
  <c r="I202" i="14"/>
  <c r="I203" i="14"/>
  <c r="I204" i="14"/>
  <c r="I205" i="14"/>
  <c r="I206" i="14"/>
  <c r="I207" i="14"/>
  <c r="I208" i="14"/>
  <c r="I209" i="14"/>
  <c r="I210" i="14"/>
  <c r="I211" i="14"/>
  <c r="I212" i="14"/>
  <c r="I213" i="14"/>
  <c r="I214" i="14"/>
  <c r="I215" i="14"/>
  <c r="I216" i="14"/>
  <c r="I217" i="14"/>
  <c r="I218" i="14"/>
  <c r="I219" i="14"/>
  <c r="I220" i="14"/>
  <c r="I221" i="14"/>
  <c r="I222" i="14"/>
  <c r="I223" i="14"/>
  <c r="I224" i="14"/>
  <c r="I225" i="14"/>
  <c r="I226" i="14"/>
  <c r="I227" i="14"/>
  <c r="I228" i="14"/>
  <c r="I229" i="14"/>
  <c r="I230" i="14"/>
  <c r="I231" i="14"/>
  <c r="I232" i="14"/>
  <c r="I233" i="14"/>
  <c r="I234" i="14"/>
  <c r="I235" i="14"/>
  <c r="I159" i="14"/>
  <c r="I82" i="14"/>
  <c r="I83" i="14"/>
  <c r="I84" i="14"/>
  <c r="I85" i="14"/>
  <c r="I86" i="14"/>
  <c r="I87" i="14"/>
  <c r="I88" i="14"/>
  <c r="I89" i="14"/>
  <c r="I90" i="14"/>
  <c r="I91" i="14"/>
  <c r="I92" i="14"/>
  <c r="I93" i="14"/>
  <c r="I94" i="14"/>
  <c r="I95" i="14"/>
  <c r="I96" i="14"/>
  <c r="I97" i="14"/>
  <c r="I98" i="14"/>
  <c r="I99" i="14"/>
  <c r="I100" i="14"/>
  <c r="I101" i="14"/>
  <c r="I102" i="14"/>
  <c r="I103" i="14"/>
  <c r="I104" i="14"/>
  <c r="I105" i="14"/>
  <c r="I106" i="14"/>
  <c r="I107" i="14"/>
  <c r="I108" i="14"/>
  <c r="I109" i="14"/>
  <c r="I110" i="14"/>
  <c r="I111" i="14"/>
  <c r="I112" i="14"/>
  <c r="I113" i="14"/>
  <c r="I114" i="14"/>
  <c r="I115" i="14"/>
  <c r="I116" i="14"/>
  <c r="I117" i="14"/>
  <c r="I118" i="14"/>
  <c r="I119" i="14"/>
  <c r="I120" i="14"/>
  <c r="I121" i="14"/>
  <c r="I122" i="14"/>
  <c r="I123" i="14"/>
  <c r="I124" i="14"/>
  <c r="I125" i="14"/>
  <c r="I126" i="14"/>
  <c r="I127" i="14"/>
  <c r="I128" i="14"/>
  <c r="I129" i="14"/>
  <c r="I130" i="14"/>
  <c r="I131" i="14"/>
  <c r="I132" i="14"/>
  <c r="I133" i="14"/>
  <c r="I134" i="14"/>
  <c r="I135" i="14"/>
  <c r="I136" i="14"/>
  <c r="I137" i="14"/>
  <c r="I138" i="14"/>
  <c r="I139" i="14"/>
  <c r="I140" i="14"/>
  <c r="I141" i="14"/>
  <c r="I142" i="14"/>
  <c r="I143" i="14"/>
  <c r="I144" i="14"/>
  <c r="I145" i="14"/>
  <c r="I146" i="14"/>
  <c r="I147" i="14"/>
  <c r="I148" i="14"/>
  <c r="I149" i="14"/>
  <c r="I150" i="14"/>
  <c r="I151" i="14"/>
  <c r="I152" i="14"/>
  <c r="I153" i="14"/>
  <c r="I154" i="14"/>
  <c r="I155" i="14"/>
  <c r="I156" i="14"/>
  <c r="I157" i="14"/>
  <c r="I81" i="14"/>
  <c r="I4" i="14"/>
  <c r="I5" i="14"/>
  <c r="I6" i="14"/>
  <c r="I7" i="14"/>
  <c r="I8" i="14"/>
  <c r="I9" i="14"/>
  <c r="I10" i="14"/>
  <c r="I11" i="14"/>
  <c r="I12" i="14"/>
  <c r="I13" i="14"/>
  <c r="I14" i="14"/>
  <c r="I15" i="14"/>
  <c r="I16" i="14"/>
  <c r="I17" i="14"/>
  <c r="I18" i="14"/>
  <c r="I19" i="14"/>
  <c r="I20" i="14"/>
  <c r="I21" i="14"/>
  <c r="I22" i="14"/>
  <c r="I23" i="14"/>
  <c r="I24" i="14"/>
  <c r="I25" i="14"/>
  <c r="I26" i="14"/>
  <c r="I27" i="14"/>
  <c r="I28" i="14"/>
  <c r="I29" i="14"/>
  <c r="I30" i="14"/>
  <c r="I31" i="14"/>
  <c r="I32" i="14"/>
  <c r="I33" i="14"/>
  <c r="I34" i="14"/>
  <c r="I35" i="14"/>
  <c r="I36" i="14"/>
  <c r="I37" i="14"/>
  <c r="I38" i="14"/>
  <c r="I39" i="14"/>
  <c r="I40" i="14"/>
  <c r="I41" i="14"/>
  <c r="I42" i="14"/>
  <c r="I43" i="14"/>
  <c r="I44" i="14"/>
  <c r="I45" i="14"/>
  <c r="I46" i="14"/>
  <c r="I47" i="14"/>
  <c r="I48" i="14"/>
  <c r="I49" i="14"/>
  <c r="I50" i="14"/>
  <c r="I51" i="14"/>
  <c r="I52" i="14"/>
  <c r="I53" i="14"/>
  <c r="I54" i="14"/>
  <c r="I55" i="14"/>
  <c r="I56" i="14"/>
  <c r="I57" i="14"/>
  <c r="I58" i="14"/>
  <c r="I59" i="14"/>
  <c r="I60" i="14"/>
  <c r="I61" i="14"/>
  <c r="I62" i="14"/>
  <c r="I63" i="14"/>
  <c r="I64" i="14"/>
  <c r="I65" i="14"/>
  <c r="I66" i="14"/>
  <c r="I67" i="14"/>
  <c r="I68" i="14"/>
  <c r="I69" i="14"/>
  <c r="I70" i="14"/>
  <c r="I71" i="14"/>
  <c r="I72" i="14"/>
  <c r="I73" i="14"/>
  <c r="I74" i="14"/>
  <c r="I75" i="14"/>
  <c r="I76" i="14"/>
  <c r="I77" i="14"/>
  <c r="I78" i="14"/>
  <c r="I79" i="14"/>
  <c r="I3" i="14"/>
  <c r="E391" i="14"/>
  <c r="B391" i="14" s="1"/>
  <c r="H391" i="14" s="1"/>
  <c r="E390" i="14"/>
  <c r="B390" i="14" s="1"/>
  <c r="H390" i="14" s="1"/>
  <c r="E389" i="14"/>
  <c r="B389" i="14" s="1"/>
  <c r="H389" i="14" s="1"/>
  <c r="E388" i="14"/>
  <c r="B388" i="14" s="1"/>
  <c r="H388" i="14" s="1"/>
  <c r="E387" i="14"/>
  <c r="B387" i="14" s="1"/>
  <c r="H387" i="14" s="1"/>
  <c r="E386" i="14"/>
  <c r="B386" i="14" s="1"/>
  <c r="H386" i="14" s="1"/>
  <c r="E385" i="14"/>
  <c r="B385" i="14" s="1"/>
  <c r="H385" i="14" s="1"/>
  <c r="E384" i="14"/>
  <c r="B384" i="14" s="1"/>
  <c r="H384" i="14" s="1"/>
  <c r="E383" i="14"/>
  <c r="B383" i="14" s="1"/>
  <c r="H383" i="14" s="1"/>
  <c r="E382" i="14"/>
  <c r="B382" i="14" s="1"/>
  <c r="H382" i="14" s="1"/>
  <c r="E381" i="14"/>
  <c r="B381" i="14" s="1"/>
  <c r="H381" i="14" s="1"/>
  <c r="E380" i="14"/>
  <c r="B380" i="14" s="1"/>
  <c r="H380" i="14" s="1"/>
  <c r="E379" i="14"/>
  <c r="B379" i="14" s="1"/>
  <c r="H379" i="14" s="1"/>
  <c r="E378" i="14"/>
  <c r="B378" i="14" s="1"/>
  <c r="H378" i="14" s="1"/>
  <c r="E377" i="14"/>
  <c r="B377" i="14" s="1"/>
  <c r="H377" i="14" s="1"/>
  <c r="E376" i="14"/>
  <c r="B376" i="14" s="1"/>
  <c r="H376" i="14" s="1"/>
  <c r="E375" i="14"/>
  <c r="B375" i="14" s="1"/>
  <c r="H375" i="14" s="1"/>
  <c r="E374" i="14"/>
  <c r="B374" i="14" s="1"/>
  <c r="H374" i="14" s="1"/>
  <c r="E373" i="14"/>
  <c r="B373" i="14" s="1"/>
  <c r="H373" i="14" s="1"/>
  <c r="E372" i="14"/>
  <c r="B372" i="14" s="1"/>
  <c r="H372" i="14" s="1"/>
  <c r="E371" i="14"/>
  <c r="B371" i="14" s="1"/>
  <c r="H371" i="14" s="1"/>
  <c r="E370" i="14"/>
  <c r="B370" i="14" s="1"/>
  <c r="H370" i="14" s="1"/>
  <c r="E369" i="14"/>
  <c r="B369" i="14" s="1"/>
  <c r="H369" i="14" s="1"/>
  <c r="E368" i="14"/>
  <c r="B368" i="14" s="1"/>
  <c r="H368" i="14" s="1"/>
  <c r="E367" i="14"/>
  <c r="B367" i="14" s="1"/>
  <c r="H367" i="14" s="1"/>
  <c r="E366" i="14"/>
  <c r="B366" i="14" s="1"/>
  <c r="H366" i="14" s="1"/>
  <c r="E365" i="14"/>
  <c r="B365" i="14" s="1"/>
  <c r="H365" i="14" s="1"/>
  <c r="E364" i="14"/>
  <c r="B364" i="14" s="1"/>
  <c r="H364" i="14" s="1"/>
  <c r="E363" i="14"/>
  <c r="B363" i="14" s="1"/>
  <c r="H363" i="14" s="1"/>
  <c r="E362" i="14"/>
  <c r="B362" i="14" s="1"/>
  <c r="H362" i="14" s="1"/>
  <c r="E361" i="14"/>
  <c r="B361" i="14" s="1"/>
  <c r="H361" i="14" s="1"/>
  <c r="E360" i="14"/>
  <c r="B360" i="14" s="1"/>
  <c r="H360" i="14" s="1"/>
  <c r="E359" i="14"/>
  <c r="B359" i="14" s="1"/>
  <c r="H359" i="14" s="1"/>
  <c r="E358" i="14"/>
  <c r="B358" i="14" s="1"/>
  <c r="H358" i="14" s="1"/>
  <c r="E357" i="14"/>
  <c r="B357" i="14" s="1"/>
  <c r="H357" i="14" s="1"/>
  <c r="E356" i="14"/>
  <c r="B356" i="14" s="1"/>
  <c r="H356" i="14" s="1"/>
  <c r="E355" i="14"/>
  <c r="B355" i="14" s="1"/>
  <c r="H355" i="14" s="1"/>
  <c r="E354" i="14"/>
  <c r="B354" i="14" s="1"/>
  <c r="H354" i="14" s="1"/>
  <c r="E353" i="14"/>
  <c r="B353" i="14" s="1"/>
  <c r="H353" i="14" s="1"/>
  <c r="E352" i="14"/>
  <c r="B352" i="14" s="1"/>
  <c r="H352" i="14" s="1"/>
  <c r="E351" i="14"/>
  <c r="B351" i="14" s="1"/>
  <c r="H351" i="14" s="1"/>
  <c r="E350" i="14"/>
  <c r="B350" i="14" s="1"/>
  <c r="H350" i="14" s="1"/>
  <c r="E349" i="14"/>
  <c r="B349" i="14" s="1"/>
  <c r="H349" i="14" s="1"/>
  <c r="E348" i="14"/>
  <c r="B348" i="14" s="1"/>
  <c r="H348" i="14" s="1"/>
  <c r="E347" i="14"/>
  <c r="B347" i="14" s="1"/>
  <c r="H347" i="14" s="1"/>
  <c r="E346" i="14"/>
  <c r="B346" i="14" s="1"/>
  <c r="H346" i="14" s="1"/>
  <c r="E345" i="14"/>
  <c r="B345" i="14" s="1"/>
  <c r="H345" i="14" s="1"/>
  <c r="E344" i="14"/>
  <c r="B344" i="14" s="1"/>
  <c r="H344" i="14" s="1"/>
  <c r="E343" i="14"/>
  <c r="B343" i="14" s="1"/>
  <c r="H343" i="14" s="1"/>
  <c r="E342" i="14"/>
  <c r="B342" i="14" s="1"/>
  <c r="H342" i="14" s="1"/>
  <c r="E341" i="14"/>
  <c r="B341" i="14" s="1"/>
  <c r="H341" i="14" s="1"/>
  <c r="E340" i="14"/>
  <c r="B340" i="14" s="1"/>
  <c r="H340" i="14" s="1"/>
  <c r="E339" i="14"/>
  <c r="B339" i="14" s="1"/>
  <c r="H339" i="14" s="1"/>
  <c r="E338" i="14"/>
  <c r="B338" i="14" s="1"/>
  <c r="H338" i="14" s="1"/>
  <c r="E337" i="14"/>
  <c r="B337" i="14" s="1"/>
  <c r="H337" i="14" s="1"/>
  <c r="E336" i="14"/>
  <c r="B336" i="14" s="1"/>
  <c r="H336" i="14" s="1"/>
  <c r="E335" i="14"/>
  <c r="B335" i="14" s="1"/>
  <c r="H335" i="14" s="1"/>
  <c r="E334" i="14"/>
  <c r="B334" i="14" s="1"/>
  <c r="H334" i="14" s="1"/>
  <c r="E333" i="14"/>
  <c r="B333" i="14" s="1"/>
  <c r="H333" i="14" s="1"/>
  <c r="E332" i="14"/>
  <c r="B332" i="14" s="1"/>
  <c r="H332" i="14" s="1"/>
  <c r="E331" i="14"/>
  <c r="B331" i="14" s="1"/>
  <c r="H331" i="14" s="1"/>
  <c r="E330" i="14"/>
  <c r="B330" i="14" s="1"/>
  <c r="H330" i="14" s="1"/>
  <c r="E329" i="14"/>
  <c r="B329" i="14" s="1"/>
  <c r="H329" i="14" s="1"/>
  <c r="E328" i="14"/>
  <c r="B328" i="14" s="1"/>
  <c r="H328" i="14" s="1"/>
  <c r="E327" i="14"/>
  <c r="B327" i="14" s="1"/>
  <c r="H327" i="14" s="1"/>
  <c r="E326" i="14"/>
  <c r="B326" i="14" s="1"/>
  <c r="H326" i="14" s="1"/>
  <c r="E325" i="14"/>
  <c r="B325" i="14" s="1"/>
  <c r="H325" i="14" s="1"/>
  <c r="E324" i="14"/>
  <c r="B324" i="14" s="1"/>
  <c r="H324" i="14" s="1"/>
  <c r="E323" i="14"/>
  <c r="B323" i="14" s="1"/>
  <c r="H323" i="14" s="1"/>
  <c r="E322" i="14"/>
  <c r="B322" i="14" s="1"/>
  <c r="H322" i="14" s="1"/>
  <c r="E321" i="14"/>
  <c r="B321" i="14" s="1"/>
  <c r="H321" i="14" s="1"/>
  <c r="E320" i="14"/>
  <c r="B320" i="14" s="1"/>
  <c r="H320" i="14" s="1"/>
  <c r="E319" i="14"/>
  <c r="B319" i="14" s="1"/>
  <c r="H319" i="14" s="1"/>
  <c r="E318" i="14"/>
  <c r="B318" i="14" s="1"/>
  <c r="H318" i="14" s="1"/>
  <c r="E317" i="14"/>
  <c r="B317" i="14" s="1"/>
  <c r="H317" i="14" s="1"/>
  <c r="E316" i="14"/>
  <c r="B316" i="14" s="1"/>
  <c r="H316" i="14" s="1"/>
  <c r="E315" i="14"/>
  <c r="B315" i="14" s="1"/>
  <c r="H315" i="14" s="1"/>
  <c r="E314" i="14"/>
  <c r="B314" i="14" s="1"/>
  <c r="H314" i="14" s="1"/>
  <c r="E313" i="14"/>
  <c r="B313" i="14" s="1"/>
  <c r="H313" i="14" s="1"/>
  <c r="E312" i="14"/>
  <c r="B312" i="14" s="1"/>
  <c r="H312" i="14" s="1"/>
  <c r="E311" i="14"/>
  <c r="B311" i="14" s="1"/>
  <c r="H311" i="14" s="1"/>
  <c r="E310" i="14"/>
  <c r="B310" i="14" s="1"/>
  <c r="H310" i="14" s="1"/>
  <c r="E309" i="14"/>
  <c r="B309" i="14" s="1"/>
  <c r="H309" i="14" s="1"/>
  <c r="E308" i="14"/>
  <c r="B308" i="14" s="1"/>
  <c r="H308" i="14" s="1"/>
  <c r="E307" i="14"/>
  <c r="B307" i="14" s="1"/>
  <c r="H307" i="14" s="1"/>
  <c r="E306" i="14"/>
  <c r="B306" i="14" s="1"/>
  <c r="E305" i="14"/>
  <c r="B305" i="14" s="1"/>
  <c r="H305" i="14" s="1"/>
  <c r="E304" i="14"/>
  <c r="B304" i="14" s="1"/>
  <c r="H304" i="14" s="1"/>
  <c r="E303" i="14"/>
  <c r="B303" i="14" s="1"/>
  <c r="H303" i="14" s="1"/>
  <c r="E302" i="14"/>
  <c r="B302" i="14" s="1"/>
  <c r="H302" i="14" s="1"/>
  <c r="E301" i="14"/>
  <c r="B301" i="14" s="1"/>
  <c r="H301" i="14" s="1"/>
  <c r="E300" i="14"/>
  <c r="B300" i="14" s="1"/>
  <c r="H300" i="14" s="1"/>
  <c r="E299" i="14"/>
  <c r="B299" i="14" s="1"/>
  <c r="H299" i="14" s="1"/>
  <c r="E298" i="14"/>
  <c r="B298" i="14" s="1"/>
  <c r="H298" i="14" s="1"/>
  <c r="E297" i="14"/>
  <c r="B297" i="14" s="1"/>
  <c r="H297" i="14" s="1"/>
  <c r="E296" i="14"/>
  <c r="B296" i="14" s="1"/>
  <c r="H296" i="14" s="1"/>
  <c r="E295" i="14"/>
  <c r="B295" i="14" s="1"/>
  <c r="H295" i="14" s="1"/>
  <c r="E294" i="14"/>
  <c r="B294" i="14" s="1"/>
  <c r="H294" i="14" s="1"/>
  <c r="E293" i="14"/>
  <c r="B293" i="14" s="1"/>
  <c r="H293" i="14" s="1"/>
  <c r="E292" i="14"/>
  <c r="B292" i="14" s="1"/>
  <c r="H292" i="14" s="1"/>
  <c r="E291" i="14"/>
  <c r="B291" i="14" s="1"/>
  <c r="H291" i="14" s="1"/>
  <c r="E290" i="14"/>
  <c r="B290" i="14" s="1"/>
  <c r="E289" i="14"/>
  <c r="B289" i="14" s="1"/>
  <c r="H289" i="14" s="1"/>
  <c r="E288" i="14"/>
  <c r="B288" i="14" s="1"/>
  <c r="H288" i="14" s="1"/>
  <c r="E287" i="14"/>
  <c r="B287" i="14" s="1"/>
  <c r="H287" i="14" s="1"/>
  <c r="E286" i="14"/>
  <c r="B286" i="14" s="1"/>
  <c r="H286" i="14" s="1"/>
  <c r="E285" i="14"/>
  <c r="B285" i="14" s="1"/>
  <c r="H285" i="14" s="1"/>
  <c r="E284" i="14"/>
  <c r="B284" i="14" s="1"/>
  <c r="H284" i="14" s="1"/>
  <c r="E283" i="14"/>
  <c r="B283" i="14" s="1"/>
  <c r="H283" i="14" s="1"/>
  <c r="E282" i="14"/>
  <c r="B282" i="14" s="1"/>
  <c r="H282" i="14" s="1"/>
  <c r="E281" i="14"/>
  <c r="B281" i="14" s="1"/>
  <c r="H281" i="14" s="1"/>
  <c r="E280" i="14"/>
  <c r="B280" i="14" s="1"/>
  <c r="H280" i="14" s="1"/>
  <c r="E279" i="14"/>
  <c r="B279" i="14" s="1"/>
  <c r="H279" i="14" s="1"/>
  <c r="E278" i="14"/>
  <c r="B278" i="14" s="1"/>
  <c r="H278" i="14" s="1"/>
  <c r="E277" i="14"/>
  <c r="B277" i="14" s="1"/>
  <c r="H277" i="14" s="1"/>
  <c r="E276" i="14"/>
  <c r="B276" i="14" s="1"/>
  <c r="H276" i="14" s="1"/>
  <c r="E275" i="14"/>
  <c r="B275" i="14" s="1"/>
  <c r="H275" i="14" s="1"/>
  <c r="E274" i="14"/>
  <c r="B274" i="14" s="1"/>
  <c r="H274" i="14" s="1"/>
  <c r="E273" i="14"/>
  <c r="B273" i="14" s="1"/>
  <c r="H273" i="14" s="1"/>
  <c r="E272" i="14"/>
  <c r="B272" i="14" s="1"/>
  <c r="H272" i="14" s="1"/>
  <c r="E271" i="14"/>
  <c r="B271" i="14" s="1"/>
  <c r="H271" i="14" s="1"/>
  <c r="E270" i="14"/>
  <c r="B270" i="14" s="1"/>
  <c r="H270" i="14" s="1"/>
  <c r="E269" i="14"/>
  <c r="B269" i="14" s="1"/>
  <c r="H269" i="14" s="1"/>
  <c r="E268" i="14"/>
  <c r="B268" i="14" s="1"/>
  <c r="H268" i="14" s="1"/>
  <c r="E267" i="14"/>
  <c r="B267" i="14" s="1"/>
  <c r="H267" i="14" s="1"/>
  <c r="E266" i="14"/>
  <c r="B266" i="14" s="1"/>
  <c r="H266" i="14" s="1"/>
  <c r="E265" i="14"/>
  <c r="B265" i="14" s="1"/>
  <c r="H265" i="14" s="1"/>
  <c r="E264" i="14"/>
  <c r="B264" i="14" s="1"/>
  <c r="H264" i="14" s="1"/>
  <c r="E263" i="14"/>
  <c r="B263" i="14" s="1"/>
  <c r="H263" i="14" s="1"/>
  <c r="E262" i="14"/>
  <c r="B262" i="14" s="1"/>
  <c r="H262" i="14" s="1"/>
  <c r="E261" i="14"/>
  <c r="B261" i="14" s="1"/>
  <c r="H261" i="14" s="1"/>
  <c r="E260" i="14"/>
  <c r="B260" i="14" s="1"/>
  <c r="H260" i="14" s="1"/>
  <c r="E259" i="14"/>
  <c r="B259" i="14" s="1"/>
  <c r="H259" i="14" s="1"/>
  <c r="E258" i="14"/>
  <c r="B258" i="14" s="1"/>
  <c r="H258" i="14" s="1"/>
  <c r="E257" i="14"/>
  <c r="B257" i="14" s="1"/>
  <c r="H257" i="14" s="1"/>
  <c r="E256" i="14"/>
  <c r="B256" i="14" s="1"/>
  <c r="H256" i="14" s="1"/>
  <c r="E255" i="14"/>
  <c r="B255" i="14" s="1"/>
  <c r="H255" i="14" s="1"/>
  <c r="E254" i="14"/>
  <c r="B254" i="14" s="1"/>
  <c r="H254" i="14" s="1"/>
  <c r="E253" i="14"/>
  <c r="B253" i="14" s="1"/>
  <c r="H253" i="14" s="1"/>
  <c r="E252" i="14"/>
  <c r="B252" i="14" s="1"/>
  <c r="H252" i="14" s="1"/>
  <c r="E251" i="14"/>
  <c r="B251" i="14" s="1"/>
  <c r="H251" i="14" s="1"/>
  <c r="E250" i="14"/>
  <c r="B250" i="14" s="1"/>
  <c r="H250" i="14" s="1"/>
  <c r="E249" i="14"/>
  <c r="B249" i="14" s="1"/>
  <c r="H249" i="14" s="1"/>
  <c r="E248" i="14"/>
  <c r="B248" i="14" s="1"/>
  <c r="H248" i="14" s="1"/>
  <c r="E247" i="14"/>
  <c r="B247" i="14" s="1"/>
  <c r="H247" i="14" s="1"/>
  <c r="E246" i="14"/>
  <c r="B246" i="14" s="1"/>
  <c r="H246" i="14" s="1"/>
  <c r="E245" i="14"/>
  <c r="B245" i="14" s="1"/>
  <c r="H245" i="14" s="1"/>
  <c r="E244" i="14"/>
  <c r="B244" i="14" s="1"/>
  <c r="H244" i="14" s="1"/>
  <c r="E243" i="14"/>
  <c r="B243" i="14" s="1"/>
  <c r="H243" i="14" s="1"/>
  <c r="E242" i="14"/>
  <c r="B242" i="14" s="1"/>
  <c r="E241" i="14"/>
  <c r="B241" i="14" s="1"/>
  <c r="H241" i="14" s="1"/>
  <c r="E240" i="14"/>
  <c r="B240" i="14" s="1"/>
  <c r="H240" i="14" s="1"/>
  <c r="E239" i="14"/>
  <c r="B239" i="14" s="1"/>
  <c r="H239" i="14" s="1"/>
  <c r="E238" i="14"/>
  <c r="B238" i="14" s="1"/>
  <c r="H238" i="14" s="1"/>
  <c r="E237" i="14"/>
  <c r="B237" i="14" s="1"/>
  <c r="H237" i="14" s="1"/>
  <c r="E236" i="14"/>
  <c r="B236" i="14" s="1"/>
  <c r="H236" i="14" s="1"/>
  <c r="E235" i="14"/>
  <c r="B235" i="14" s="1"/>
  <c r="H235" i="14" s="1"/>
  <c r="E234" i="14"/>
  <c r="B234" i="14" s="1"/>
  <c r="H234" i="14" s="1"/>
  <c r="E233" i="14"/>
  <c r="B233" i="14" s="1"/>
  <c r="H233" i="14" s="1"/>
  <c r="E232" i="14"/>
  <c r="B232" i="14" s="1"/>
  <c r="H232" i="14" s="1"/>
  <c r="E231" i="14"/>
  <c r="B231" i="14" s="1"/>
  <c r="H231" i="14" s="1"/>
  <c r="E230" i="14"/>
  <c r="B230" i="14" s="1"/>
  <c r="H230" i="14" s="1"/>
  <c r="E229" i="14"/>
  <c r="B229" i="14" s="1"/>
  <c r="H229" i="14" s="1"/>
  <c r="E228" i="14"/>
  <c r="B228" i="14" s="1"/>
  <c r="H228" i="14" s="1"/>
  <c r="E227" i="14"/>
  <c r="B227" i="14" s="1"/>
  <c r="H227" i="14" s="1"/>
  <c r="E226" i="14"/>
  <c r="B226" i="14" s="1"/>
  <c r="E225" i="14"/>
  <c r="B225" i="14" s="1"/>
  <c r="H225" i="14" s="1"/>
  <c r="E224" i="14"/>
  <c r="B224" i="14" s="1"/>
  <c r="H224" i="14" s="1"/>
  <c r="E223" i="14"/>
  <c r="B223" i="14" s="1"/>
  <c r="H223" i="14" s="1"/>
  <c r="E222" i="14"/>
  <c r="B222" i="14" s="1"/>
  <c r="H222" i="14" s="1"/>
  <c r="E221" i="14"/>
  <c r="B221" i="14" s="1"/>
  <c r="H221" i="14" s="1"/>
  <c r="E220" i="14"/>
  <c r="B220" i="14" s="1"/>
  <c r="H220" i="14" s="1"/>
  <c r="E219" i="14"/>
  <c r="B219" i="14" s="1"/>
  <c r="H219" i="14" s="1"/>
  <c r="E218" i="14"/>
  <c r="B218" i="14" s="1"/>
  <c r="H218" i="14" s="1"/>
  <c r="E217" i="14"/>
  <c r="B217" i="14" s="1"/>
  <c r="H217" i="14" s="1"/>
  <c r="E216" i="14"/>
  <c r="B216" i="14" s="1"/>
  <c r="H216" i="14" s="1"/>
  <c r="E215" i="14"/>
  <c r="B215" i="14" s="1"/>
  <c r="H215" i="14" s="1"/>
  <c r="E214" i="14"/>
  <c r="B214" i="14" s="1"/>
  <c r="H214" i="14" s="1"/>
  <c r="E213" i="14"/>
  <c r="B213" i="14" s="1"/>
  <c r="H213" i="14" s="1"/>
  <c r="E212" i="14"/>
  <c r="B212" i="14" s="1"/>
  <c r="H212" i="14" s="1"/>
  <c r="E211" i="14"/>
  <c r="B211" i="14" s="1"/>
  <c r="H211" i="14" s="1"/>
  <c r="E210" i="14"/>
  <c r="B210" i="14" s="1"/>
  <c r="H210" i="14" s="1"/>
  <c r="E209" i="14"/>
  <c r="B209" i="14" s="1"/>
  <c r="H209" i="14" s="1"/>
  <c r="E208" i="14"/>
  <c r="B208" i="14" s="1"/>
  <c r="H208" i="14" s="1"/>
  <c r="E207" i="14"/>
  <c r="B207" i="14" s="1"/>
  <c r="H207" i="14" s="1"/>
  <c r="E206" i="14"/>
  <c r="B206" i="14" s="1"/>
  <c r="H206" i="14" s="1"/>
  <c r="E205" i="14"/>
  <c r="B205" i="14" s="1"/>
  <c r="H205" i="14" s="1"/>
  <c r="E204" i="14"/>
  <c r="B204" i="14" s="1"/>
  <c r="H204" i="14" s="1"/>
  <c r="E203" i="14"/>
  <c r="B203" i="14" s="1"/>
  <c r="H203" i="14" s="1"/>
  <c r="E202" i="14"/>
  <c r="B202" i="14" s="1"/>
  <c r="H202" i="14" s="1"/>
  <c r="E201" i="14"/>
  <c r="B201" i="14" s="1"/>
  <c r="H201" i="14" s="1"/>
  <c r="E200" i="14"/>
  <c r="B200" i="14" s="1"/>
  <c r="H200" i="14" s="1"/>
  <c r="E199" i="14"/>
  <c r="B199" i="14" s="1"/>
  <c r="H199" i="14" s="1"/>
  <c r="E198" i="14"/>
  <c r="B198" i="14" s="1"/>
  <c r="H198" i="14" s="1"/>
  <c r="E197" i="14"/>
  <c r="B197" i="14" s="1"/>
  <c r="H197" i="14" s="1"/>
  <c r="E196" i="14"/>
  <c r="B196" i="14" s="1"/>
  <c r="H196" i="14" s="1"/>
  <c r="E195" i="14"/>
  <c r="B195" i="14" s="1"/>
  <c r="H195" i="14" s="1"/>
  <c r="E194" i="14"/>
  <c r="B194" i="14" s="1"/>
  <c r="H194" i="14" s="1"/>
  <c r="E193" i="14"/>
  <c r="B193" i="14" s="1"/>
  <c r="H193" i="14" s="1"/>
  <c r="E192" i="14"/>
  <c r="B192" i="14" s="1"/>
  <c r="H192" i="14" s="1"/>
  <c r="E191" i="14"/>
  <c r="B191" i="14" s="1"/>
  <c r="H191" i="14" s="1"/>
  <c r="E190" i="14"/>
  <c r="B190" i="14" s="1"/>
  <c r="H190" i="14" s="1"/>
  <c r="E189" i="14"/>
  <c r="B189" i="14" s="1"/>
  <c r="H189" i="14" s="1"/>
  <c r="E188" i="14"/>
  <c r="B188" i="14" s="1"/>
  <c r="H188" i="14" s="1"/>
  <c r="E187" i="14"/>
  <c r="B187" i="14" s="1"/>
  <c r="H187" i="14" s="1"/>
  <c r="E186" i="14"/>
  <c r="B186" i="14" s="1"/>
  <c r="H186" i="14" s="1"/>
  <c r="E185" i="14"/>
  <c r="B185" i="14" s="1"/>
  <c r="H185" i="14" s="1"/>
  <c r="E184" i="14"/>
  <c r="B184" i="14" s="1"/>
  <c r="H184" i="14" s="1"/>
  <c r="E183" i="14"/>
  <c r="B183" i="14" s="1"/>
  <c r="H183" i="14" s="1"/>
  <c r="E182" i="14"/>
  <c r="B182" i="14" s="1"/>
  <c r="H182" i="14" s="1"/>
  <c r="E181" i="14"/>
  <c r="B181" i="14" s="1"/>
  <c r="H181" i="14" s="1"/>
  <c r="E180" i="14"/>
  <c r="B180" i="14" s="1"/>
  <c r="H180" i="14" s="1"/>
  <c r="E179" i="14"/>
  <c r="B179" i="14" s="1"/>
  <c r="H179" i="14" s="1"/>
  <c r="E178" i="14"/>
  <c r="B178" i="14" s="1"/>
  <c r="E177" i="14"/>
  <c r="B177" i="14" s="1"/>
  <c r="H177" i="14" s="1"/>
  <c r="E176" i="14"/>
  <c r="B176" i="14" s="1"/>
  <c r="H176" i="14" s="1"/>
  <c r="E175" i="14"/>
  <c r="B175" i="14" s="1"/>
  <c r="H175" i="14" s="1"/>
  <c r="E174" i="14"/>
  <c r="B174" i="14" s="1"/>
  <c r="H174" i="14" s="1"/>
  <c r="E173" i="14"/>
  <c r="B173" i="14" s="1"/>
  <c r="H173" i="14" s="1"/>
  <c r="E172" i="14"/>
  <c r="B172" i="14" s="1"/>
  <c r="H172" i="14" s="1"/>
  <c r="E171" i="14"/>
  <c r="B171" i="14" s="1"/>
  <c r="H171" i="14" s="1"/>
  <c r="E170" i="14"/>
  <c r="B170" i="14" s="1"/>
  <c r="H170" i="14" s="1"/>
  <c r="E169" i="14"/>
  <c r="B169" i="14" s="1"/>
  <c r="H169" i="14" s="1"/>
  <c r="E168" i="14"/>
  <c r="B168" i="14" s="1"/>
  <c r="H168" i="14" s="1"/>
  <c r="E167" i="14"/>
  <c r="B167" i="14" s="1"/>
  <c r="H167" i="14" s="1"/>
  <c r="E166" i="14"/>
  <c r="B166" i="14" s="1"/>
  <c r="H166" i="14" s="1"/>
  <c r="E165" i="14"/>
  <c r="B165" i="14" s="1"/>
  <c r="H165" i="14" s="1"/>
  <c r="E164" i="14"/>
  <c r="B164" i="14" s="1"/>
  <c r="H164" i="14" s="1"/>
  <c r="E163" i="14"/>
  <c r="B163" i="14" s="1"/>
  <c r="H163" i="14" s="1"/>
  <c r="E162" i="14"/>
  <c r="B162" i="14" s="1"/>
  <c r="E161" i="14"/>
  <c r="B161" i="14" s="1"/>
  <c r="H161" i="14" s="1"/>
  <c r="E160" i="14"/>
  <c r="B160" i="14" s="1"/>
  <c r="H160" i="14" s="1"/>
  <c r="E159" i="14"/>
  <c r="B159" i="14" s="1"/>
  <c r="H159" i="14" s="1"/>
  <c r="E158" i="14"/>
  <c r="B158" i="14" s="1"/>
  <c r="H158" i="14" s="1"/>
  <c r="E2" i="14"/>
  <c r="B2" i="14" s="1"/>
  <c r="H2" i="14" s="1"/>
  <c r="E3" i="14"/>
  <c r="B3" i="14" s="1"/>
  <c r="H3" i="14" s="1"/>
  <c r="E4" i="14"/>
  <c r="B4" i="14" s="1"/>
  <c r="H4" i="14" s="1"/>
  <c r="E5" i="14"/>
  <c r="B5" i="14" s="1"/>
  <c r="H5" i="14" s="1"/>
  <c r="E6" i="14"/>
  <c r="B6" i="14" s="1"/>
  <c r="H6" i="14" s="1"/>
  <c r="E7" i="14"/>
  <c r="B7" i="14" s="1"/>
  <c r="H7" i="14" s="1"/>
  <c r="E8" i="14"/>
  <c r="B8" i="14" s="1"/>
  <c r="H8" i="14" s="1"/>
  <c r="E9" i="14"/>
  <c r="B9" i="14" s="1"/>
  <c r="H9" i="14" s="1"/>
  <c r="E10" i="14"/>
  <c r="B10" i="14" s="1"/>
  <c r="H10" i="14" s="1"/>
  <c r="E11" i="14"/>
  <c r="B11" i="14" s="1"/>
  <c r="H11" i="14" s="1"/>
  <c r="E12" i="14"/>
  <c r="B12" i="14" s="1"/>
  <c r="H12" i="14" s="1"/>
  <c r="E13" i="14"/>
  <c r="B13" i="14" s="1"/>
  <c r="E14" i="14"/>
  <c r="B14" i="14" s="1"/>
  <c r="H14" i="14" s="1"/>
  <c r="E15" i="14"/>
  <c r="B15" i="14" s="1"/>
  <c r="E16" i="14"/>
  <c r="B16" i="14" s="1"/>
  <c r="H16" i="14" s="1"/>
  <c r="E17" i="14"/>
  <c r="B17" i="14" s="1"/>
  <c r="H17" i="14" s="1"/>
  <c r="E18" i="14"/>
  <c r="B18" i="14" s="1"/>
  <c r="H18" i="14" s="1"/>
  <c r="E19" i="14"/>
  <c r="B19" i="14" s="1"/>
  <c r="H19" i="14" s="1"/>
  <c r="E20" i="14"/>
  <c r="B20" i="14" s="1"/>
  <c r="H20" i="14" s="1"/>
  <c r="E21" i="14"/>
  <c r="B21" i="14" s="1"/>
  <c r="H21" i="14" s="1"/>
  <c r="E22" i="14"/>
  <c r="B22" i="14" s="1"/>
  <c r="H22" i="14" s="1"/>
  <c r="E23" i="14"/>
  <c r="B23" i="14" s="1"/>
  <c r="H23" i="14" s="1"/>
  <c r="E24" i="14"/>
  <c r="B24" i="14" s="1"/>
  <c r="H24" i="14" s="1"/>
  <c r="E25" i="14"/>
  <c r="B25" i="14" s="1"/>
  <c r="H25" i="14" s="1"/>
  <c r="E26" i="14"/>
  <c r="B26" i="14" s="1"/>
  <c r="H26" i="14" s="1"/>
  <c r="E27" i="14"/>
  <c r="B27" i="14" s="1"/>
  <c r="H27" i="14" s="1"/>
  <c r="E28" i="14"/>
  <c r="B28" i="14" s="1"/>
  <c r="H28" i="14" s="1"/>
  <c r="E29" i="14"/>
  <c r="B29" i="14" s="1"/>
  <c r="E30" i="14"/>
  <c r="B30" i="14" s="1"/>
  <c r="H30" i="14" s="1"/>
  <c r="E31" i="14"/>
  <c r="B31" i="14" s="1"/>
  <c r="E32" i="14"/>
  <c r="B32" i="14" s="1"/>
  <c r="H32" i="14" s="1"/>
  <c r="E33" i="14"/>
  <c r="B33" i="14" s="1"/>
  <c r="H33" i="14" s="1"/>
  <c r="E34" i="14"/>
  <c r="B34" i="14" s="1"/>
  <c r="H34" i="14" s="1"/>
  <c r="E35" i="14"/>
  <c r="B35" i="14" s="1"/>
  <c r="H35" i="14" s="1"/>
  <c r="E36" i="14"/>
  <c r="B36" i="14" s="1"/>
  <c r="H36" i="14" s="1"/>
  <c r="E37" i="14"/>
  <c r="B37" i="14" s="1"/>
  <c r="H37" i="14" s="1"/>
  <c r="E38" i="14"/>
  <c r="B38" i="14" s="1"/>
  <c r="H38" i="14" s="1"/>
  <c r="E39" i="14"/>
  <c r="B39" i="14" s="1"/>
  <c r="H39" i="14" s="1"/>
  <c r="E40" i="14"/>
  <c r="B40" i="14" s="1"/>
  <c r="H40" i="14" s="1"/>
  <c r="E41" i="14"/>
  <c r="B41" i="14" s="1"/>
  <c r="H41" i="14" s="1"/>
  <c r="E42" i="14"/>
  <c r="B42" i="14" s="1"/>
  <c r="H42" i="14" s="1"/>
  <c r="E43" i="14"/>
  <c r="B43" i="14" s="1"/>
  <c r="H43" i="14" s="1"/>
  <c r="E44" i="14"/>
  <c r="B44" i="14" s="1"/>
  <c r="H44" i="14" s="1"/>
  <c r="E45" i="14"/>
  <c r="B45" i="14" s="1"/>
  <c r="E46" i="14"/>
  <c r="B46" i="14" s="1"/>
  <c r="H46" i="14" s="1"/>
  <c r="E47" i="14"/>
  <c r="B47" i="14" s="1"/>
  <c r="E48" i="14"/>
  <c r="B48" i="14" s="1"/>
  <c r="H48" i="14" s="1"/>
  <c r="E49" i="14"/>
  <c r="B49" i="14" s="1"/>
  <c r="H49" i="14" s="1"/>
  <c r="E50" i="14"/>
  <c r="B50" i="14" s="1"/>
  <c r="H50" i="14" s="1"/>
  <c r="E51" i="14"/>
  <c r="B51" i="14" s="1"/>
  <c r="H51" i="14" s="1"/>
  <c r="E52" i="14"/>
  <c r="B52" i="14" s="1"/>
  <c r="H52" i="14" s="1"/>
  <c r="E53" i="14"/>
  <c r="B53" i="14" s="1"/>
  <c r="H53" i="14" s="1"/>
  <c r="E54" i="14"/>
  <c r="B54" i="14" s="1"/>
  <c r="H54" i="14" s="1"/>
  <c r="E55" i="14"/>
  <c r="B55" i="14" s="1"/>
  <c r="H55" i="14" s="1"/>
  <c r="E56" i="14"/>
  <c r="B56" i="14" s="1"/>
  <c r="H56" i="14" s="1"/>
  <c r="E57" i="14"/>
  <c r="B57" i="14" s="1"/>
  <c r="H57" i="14" s="1"/>
  <c r="E58" i="14"/>
  <c r="B58" i="14" s="1"/>
  <c r="H58" i="14" s="1"/>
  <c r="E59" i="14"/>
  <c r="B59" i="14" s="1"/>
  <c r="H59" i="14" s="1"/>
  <c r="E60" i="14"/>
  <c r="B60" i="14" s="1"/>
  <c r="H60" i="14" s="1"/>
  <c r="E61" i="14"/>
  <c r="B61" i="14" s="1"/>
  <c r="E62" i="14"/>
  <c r="B62" i="14" s="1"/>
  <c r="H62" i="14" s="1"/>
  <c r="E63" i="14"/>
  <c r="B63" i="14" s="1"/>
  <c r="E64" i="14"/>
  <c r="B64" i="14" s="1"/>
  <c r="H64" i="14" s="1"/>
  <c r="E65" i="14"/>
  <c r="B65" i="14" s="1"/>
  <c r="H65" i="14" s="1"/>
  <c r="E66" i="14"/>
  <c r="B66" i="14" s="1"/>
  <c r="H66" i="14" s="1"/>
  <c r="E67" i="14"/>
  <c r="B67" i="14" s="1"/>
  <c r="H67" i="14" s="1"/>
  <c r="E68" i="14"/>
  <c r="B68" i="14" s="1"/>
  <c r="H68" i="14" s="1"/>
  <c r="E69" i="14"/>
  <c r="B69" i="14" s="1"/>
  <c r="H69" i="14" s="1"/>
  <c r="E70" i="14"/>
  <c r="B70" i="14" s="1"/>
  <c r="H70" i="14" s="1"/>
  <c r="E71" i="14"/>
  <c r="B71" i="14" s="1"/>
  <c r="H71" i="14" s="1"/>
  <c r="E72" i="14"/>
  <c r="B72" i="14" s="1"/>
  <c r="H72" i="14" s="1"/>
  <c r="E73" i="14"/>
  <c r="B73" i="14" s="1"/>
  <c r="H73" i="14" s="1"/>
  <c r="E74" i="14"/>
  <c r="B74" i="14" s="1"/>
  <c r="H74" i="14" s="1"/>
  <c r="E75" i="14"/>
  <c r="B75" i="14" s="1"/>
  <c r="H75" i="14" s="1"/>
  <c r="E76" i="14"/>
  <c r="B76" i="14" s="1"/>
  <c r="H76" i="14" s="1"/>
  <c r="E77" i="14"/>
  <c r="B77" i="14" s="1"/>
  <c r="E78" i="14"/>
  <c r="B78" i="14" s="1"/>
  <c r="H78" i="14" s="1"/>
  <c r="E79" i="14"/>
  <c r="B79" i="14" s="1"/>
  <c r="E80" i="14"/>
  <c r="B80" i="14" s="1"/>
  <c r="H80" i="14" s="1"/>
  <c r="E81" i="14"/>
  <c r="B81" i="14" s="1"/>
  <c r="H81" i="14" s="1"/>
  <c r="E82" i="14"/>
  <c r="B82" i="14" s="1"/>
  <c r="H82" i="14" s="1"/>
  <c r="E83" i="14"/>
  <c r="B83" i="14" s="1"/>
  <c r="H83" i="14" s="1"/>
  <c r="E84" i="14"/>
  <c r="B84" i="14" s="1"/>
  <c r="H84" i="14" s="1"/>
  <c r="E85" i="14"/>
  <c r="B85" i="14" s="1"/>
  <c r="H85" i="14" s="1"/>
  <c r="E86" i="14"/>
  <c r="B86" i="14" s="1"/>
  <c r="H86" i="14" s="1"/>
  <c r="E87" i="14"/>
  <c r="B87" i="14" s="1"/>
  <c r="H87" i="14" s="1"/>
  <c r="E88" i="14"/>
  <c r="B88" i="14" s="1"/>
  <c r="H88" i="14" s="1"/>
  <c r="E89" i="14"/>
  <c r="B89" i="14" s="1"/>
  <c r="H89" i="14" s="1"/>
  <c r="E90" i="14"/>
  <c r="B90" i="14" s="1"/>
  <c r="H90" i="14" s="1"/>
  <c r="E91" i="14"/>
  <c r="B91" i="14" s="1"/>
  <c r="H91" i="14" s="1"/>
  <c r="E92" i="14"/>
  <c r="B92" i="14" s="1"/>
  <c r="H92" i="14" s="1"/>
  <c r="E93" i="14"/>
  <c r="B93" i="14" s="1"/>
  <c r="E94" i="14"/>
  <c r="B94" i="14" s="1"/>
  <c r="H94" i="14" s="1"/>
  <c r="E95" i="14"/>
  <c r="B95" i="14" s="1"/>
  <c r="E96" i="14"/>
  <c r="B96" i="14" s="1"/>
  <c r="H96" i="14" s="1"/>
  <c r="E97" i="14"/>
  <c r="B97" i="14" s="1"/>
  <c r="H97" i="14" s="1"/>
  <c r="E98" i="14"/>
  <c r="B98" i="14" s="1"/>
  <c r="H98" i="14" s="1"/>
  <c r="E99" i="14"/>
  <c r="B99" i="14" s="1"/>
  <c r="H99" i="14" s="1"/>
  <c r="E100" i="14"/>
  <c r="B100" i="14" s="1"/>
  <c r="H100" i="14" s="1"/>
  <c r="E101" i="14"/>
  <c r="B101" i="14" s="1"/>
  <c r="H101" i="14" s="1"/>
  <c r="E102" i="14"/>
  <c r="B102" i="14" s="1"/>
  <c r="H102" i="14" s="1"/>
  <c r="E103" i="14"/>
  <c r="B103" i="14" s="1"/>
  <c r="H103" i="14" s="1"/>
  <c r="E104" i="14"/>
  <c r="B104" i="14" s="1"/>
  <c r="H104" i="14" s="1"/>
  <c r="E105" i="14"/>
  <c r="B105" i="14" s="1"/>
  <c r="H105" i="14" s="1"/>
  <c r="E106" i="14"/>
  <c r="B106" i="14" s="1"/>
  <c r="H106" i="14" s="1"/>
  <c r="E107" i="14"/>
  <c r="B107" i="14" s="1"/>
  <c r="H107" i="14" s="1"/>
  <c r="E108" i="14"/>
  <c r="B108" i="14" s="1"/>
  <c r="H108" i="14" s="1"/>
  <c r="E109" i="14"/>
  <c r="B109" i="14" s="1"/>
  <c r="E110" i="14"/>
  <c r="B110" i="14" s="1"/>
  <c r="H110" i="14" s="1"/>
  <c r="E111" i="14"/>
  <c r="B111" i="14" s="1"/>
  <c r="E112" i="14"/>
  <c r="B112" i="14" s="1"/>
  <c r="H112" i="14" s="1"/>
  <c r="E113" i="14"/>
  <c r="B113" i="14" s="1"/>
  <c r="H113" i="14" s="1"/>
  <c r="E114" i="14"/>
  <c r="B114" i="14" s="1"/>
  <c r="H114" i="14" s="1"/>
  <c r="E115" i="14"/>
  <c r="B115" i="14" s="1"/>
  <c r="H115" i="14" s="1"/>
  <c r="E116" i="14"/>
  <c r="B116" i="14" s="1"/>
  <c r="H116" i="14" s="1"/>
  <c r="E117" i="14"/>
  <c r="B117" i="14" s="1"/>
  <c r="H117" i="14" s="1"/>
  <c r="E118" i="14"/>
  <c r="B118" i="14" s="1"/>
  <c r="H118" i="14" s="1"/>
  <c r="E119" i="14"/>
  <c r="B119" i="14" s="1"/>
  <c r="H119" i="14" s="1"/>
  <c r="E120" i="14"/>
  <c r="B120" i="14" s="1"/>
  <c r="H120" i="14" s="1"/>
  <c r="E121" i="14"/>
  <c r="B121" i="14" s="1"/>
  <c r="H121" i="14" s="1"/>
  <c r="E122" i="14"/>
  <c r="B122" i="14" s="1"/>
  <c r="H122" i="14" s="1"/>
  <c r="E123" i="14"/>
  <c r="B123" i="14" s="1"/>
  <c r="H123" i="14" s="1"/>
  <c r="E124" i="14"/>
  <c r="B124" i="14" s="1"/>
  <c r="H124" i="14" s="1"/>
  <c r="E125" i="14"/>
  <c r="B125" i="14" s="1"/>
  <c r="E126" i="14"/>
  <c r="B126" i="14" s="1"/>
  <c r="H126" i="14" s="1"/>
  <c r="E127" i="14"/>
  <c r="B127" i="14" s="1"/>
  <c r="E128" i="14"/>
  <c r="B128" i="14" s="1"/>
  <c r="H128" i="14" s="1"/>
  <c r="E129" i="14"/>
  <c r="B129" i="14" s="1"/>
  <c r="H129" i="14" s="1"/>
  <c r="E130" i="14"/>
  <c r="B130" i="14" s="1"/>
  <c r="H130" i="14" s="1"/>
  <c r="E131" i="14"/>
  <c r="B131" i="14" s="1"/>
  <c r="H131" i="14" s="1"/>
  <c r="E132" i="14"/>
  <c r="B132" i="14" s="1"/>
  <c r="H132" i="14" s="1"/>
  <c r="E133" i="14"/>
  <c r="B133" i="14" s="1"/>
  <c r="H133" i="14" s="1"/>
  <c r="E134" i="14"/>
  <c r="B134" i="14" s="1"/>
  <c r="H134" i="14" s="1"/>
  <c r="E135" i="14"/>
  <c r="B135" i="14" s="1"/>
  <c r="H135" i="14" s="1"/>
  <c r="E136" i="14"/>
  <c r="B136" i="14" s="1"/>
  <c r="H136" i="14" s="1"/>
  <c r="E137" i="14"/>
  <c r="B137" i="14" s="1"/>
  <c r="H137" i="14" s="1"/>
  <c r="E138" i="14"/>
  <c r="B138" i="14" s="1"/>
  <c r="H138" i="14" s="1"/>
  <c r="E139" i="14"/>
  <c r="B139" i="14" s="1"/>
  <c r="H139" i="14" s="1"/>
  <c r="E140" i="14"/>
  <c r="B140" i="14" s="1"/>
  <c r="H140" i="14" s="1"/>
  <c r="E141" i="14"/>
  <c r="B141" i="14" s="1"/>
  <c r="E142" i="14"/>
  <c r="B142" i="14" s="1"/>
  <c r="H142" i="14" s="1"/>
  <c r="E143" i="14"/>
  <c r="B143" i="14" s="1"/>
  <c r="E144" i="14"/>
  <c r="B144" i="14" s="1"/>
  <c r="H144" i="14" s="1"/>
  <c r="E145" i="14"/>
  <c r="B145" i="14" s="1"/>
  <c r="H145" i="14" s="1"/>
  <c r="E146" i="14"/>
  <c r="B146" i="14" s="1"/>
  <c r="H146" i="14" s="1"/>
  <c r="E147" i="14"/>
  <c r="B147" i="14" s="1"/>
  <c r="H147" i="14" s="1"/>
  <c r="E148" i="14"/>
  <c r="B148" i="14" s="1"/>
  <c r="H148" i="14" s="1"/>
  <c r="E149" i="14"/>
  <c r="B149" i="14" s="1"/>
  <c r="H149" i="14" s="1"/>
  <c r="E150" i="14"/>
  <c r="B150" i="14" s="1"/>
  <c r="H150" i="14" s="1"/>
  <c r="E151" i="14"/>
  <c r="B151" i="14" s="1"/>
  <c r="H151" i="14" s="1"/>
  <c r="E152" i="14"/>
  <c r="B152" i="14" s="1"/>
  <c r="H152" i="14" s="1"/>
  <c r="E153" i="14"/>
  <c r="B153" i="14" s="1"/>
  <c r="H153" i="14" s="1"/>
  <c r="E154" i="14"/>
  <c r="B154" i="14" s="1"/>
  <c r="H154" i="14" s="1"/>
  <c r="E155" i="14"/>
  <c r="B155" i="14" s="1"/>
  <c r="H155" i="14" s="1"/>
  <c r="E156" i="14"/>
  <c r="B156" i="14" s="1"/>
  <c r="H156" i="14" s="1"/>
  <c r="E157" i="14"/>
  <c r="B157" i="14" s="1"/>
  <c r="C66" i="12"/>
  <c r="C67" i="12"/>
  <c r="C68" i="12"/>
  <c r="C69" i="12"/>
  <c r="C70" i="12"/>
  <c r="C71" i="12"/>
  <c r="C72" i="12"/>
  <c r="C73" i="12"/>
  <c r="C74" i="12"/>
  <c r="C65" i="12"/>
  <c r="C49" i="12"/>
  <c r="C50" i="12"/>
  <c r="C51" i="12"/>
  <c r="C52" i="12"/>
  <c r="C53" i="12"/>
  <c r="C54" i="12"/>
  <c r="C55" i="12"/>
  <c r="C56" i="12"/>
  <c r="C57" i="12"/>
  <c r="C48" i="12"/>
  <c r="C35" i="12"/>
  <c r="C36" i="12"/>
  <c r="C37" i="12"/>
  <c r="C38" i="12"/>
  <c r="C39" i="12"/>
  <c r="C40" i="12"/>
  <c r="C41" i="12"/>
  <c r="C42" i="12"/>
  <c r="C43" i="12"/>
  <c r="C34" i="12"/>
  <c r="C20" i="12"/>
  <c r="C21" i="12"/>
  <c r="C22" i="12"/>
  <c r="C23" i="12"/>
  <c r="C24" i="12"/>
  <c r="C25" i="12"/>
  <c r="C26" i="12"/>
  <c r="C27" i="12"/>
  <c r="C28" i="12"/>
  <c r="C19" i="12"/>
  <c r="F3" i="3"/>
  <c r="B3" i="3" s="1"/>
  <c r="E3" i="3" s="1"/>
  <c r="F4" i="3"/>
  <c r="B4" i="3" s="1"/>
  <c r="E4" i="3" s="1"/>
  <c r="F5" i="3"/>
  <c r="B5" i="3" s="1"/>
  <c r="E5" i="3" s="1"/>
  <c r="F6" i="3"/>
  <c r="B6" i="3" s="1"/>
  <c r="E6" i="3" s="1"/>
  <c r="F7" i="3"/>
  <c r="B7" i="3" s="1"/>
  <c r="E7" i="3" s="1"/>
  <c r="F8" i="3"/>
  <c r="B8" i="3" s="1"/>
  <c r="E8" i="3" s="1"/>
  <c r="F9" i="3"/>
  <c r="B9" i="3" s="1"/>
  <c r="E9" i="3" s="1"/>
  <c r="F10" i="3"/>
  <c r="B10" i="3" s="1"/>
  <c r="E10" i="3" s="1"/>
  <c r="F11" i="3"/>
  <c r="B11" i="3" s="1"/>
  <c r="E11" i="3" s="1"/>
  <c r="F12" i="3"/>
  <c r="B12" i="3" s="1"/>
  <c r="E12" i="3" s="1"/>
  <c r="F13" i="3"/>
  <c r="B13" i="3" s="1"/>
  <c r="E13" i="3" s="1"/>
  <c r="F14" i="3"/>
  <c r="B14" i="3" s="1"/>
  <c r="E14" i="3" s="1"/>
  <c r="F15" i="3"/>
  <c r="B15" i="3" s="1"/>
  <c r="E15" i="3" s="1"/>
  <c r="F16" i="3"/>
  <c r="B16" i="3" s="1"/>
  <c r="E16" i="3" s="1"/>
  <c r="F17" i="3"/>
  <c r="B17" i="3" s="1"/>
  <c r="E17" i="3" s="1"/>
  <c r="F18" i="3"/>
  <c r="B18" i="3" s="1"/>
  <c r="E18" i="3" s="1"/>
  <c r="F19" i="3"/>
  <c r="B19" i="3" s="1"/>
  <c r="E19" i="3" s="1"/>
  <c r="F20" i="3"/>
  <c r="B20" i="3" s="1"/>
  <c r="E20" i="3" s="1"/>
  <c r="F21" i="3"/>
  <c r="B21" i="3" s="1"/>
  <c r="E21" i="3" s="1"/>
  <c r="F22" i="3"/>
  <c r="B22" i="3" s="1"/>
  <c r="E22" i="3" s="1"/>
  <c r="F23" i="3"/>
  <c r="B23" i="3" s="1"/>
  <c r="E23" i="3" s="1"/>
  <c r="F24" i="3"/>
  <c r="B24" i="3" s="1"/>
  <c r="E24" i="3" s="1"/>
  <c r="F25" i="3"/>
  <c r="B25" i="3" s="1"/>
  <c r="E25" i="3" s="1"/>
  <c r="F26" i="3"/>
  <c r="B26" i="3" s="1"/>
  <c r="E26" i="3" s="1"/>
  <c r="F27" i="3"/>
  <c r="B27" i="3" s="1"/>
  <c r="E27" i="3" s="1"/>
  <c r="F28" i="3"/>
  <c r="B28" i="3" s="1"/>
  <c r="E28" i="3" s="1"/>
  <c r="F29" i="3"/>
  <c r="B29" i="3" s="1"/>
  <c r="E29" i="3" s="1"/>
  <c r="F30" i="3"/>
  <c r="B30" i="3" s="1"/>
  <c r="E30" i="3" s="1"/>
  <c r="F31" i="3"/>
  <c r="B31" i="3" s="1"/>
  <c r="E31" i="3" s="1"/>
  <c r="F32" i="3"/>
  <c r="B32" i="3" s="1"/>
  <c r="E32" i="3" s="1"/>
  <c r="F33" i="3"/>
  <c r="B33" i="3" s="1"/>
  <c r="E33" i="3" s="1"/>
  <c r="F34" i="3"/>
  <c r="B34" i="3" s="1"/>
  <c r="E34" i="3" s="1"/>
  <c r="F35" i="3"/>
  <c r="B35" i="3" s="1"/>
  <c r="E35" i="3" s="1"/>
  <c r="F36" i="3"/>
  <c r="B36" i="3" s="1"/>
  <c r="E36" i="3" s="1"/>
  <c r="F37" i="3"/>
  <c r="B37" i="3" s="1"/>
  <c r="E37" i="3" s="1"/>
  <c r="F38" i="3"/>
  <c r="B38" i="3" s="1"/>
  <c r="E38" i="3" s="1"/>
  <c r="F39" i="3"/>
  <c r="B39" i="3" s="1"/>
  <c r="E39" i="3" s="1"/>
  <c r="F40" i="3"/>
  <c r="B40" i="3" s="1"/>
  <c r="E40" i="3" s="1"/>
  <c r="F41" i="3"/>
  <c r="B41" i="3" s="1"/>
  <c r="E41" i="3" s="1"/>
  <c r="F42" i="3"/>
  <c r="B42" i="3" s="1"/>
  <c r="E42" i="3" s="1"/>
  <c r="F43" i="3"/>
  <c r="B43" i="3" s="1"/>
  <c r="E43" i="3" s="1"/>
  <c r="F44" i="3"/>
  <c r="B44" i="3" s="1"/>
  <c r="E44" i="3" s="1"/>
  <c r="F45" i="3"/>
  <c r="B45" i="3" s="1"/>
  <c r="E45" i="3" s="1"/>
  <c r="F46" i="3"/>
  <c r="B46" i="3" s="1"/>
  <c r="E46" i="3" s="1"/>
  <c r="F47" i="3"/>
  <c r="B47" i="3" s="1"/>
  <c r="E47" i="3" s="1"/>
  <c r="F48" i="3"/>
  <c r="B48" i="3" s="1"/>
  <c r="E48" i="3" s="1"/>
  <c r="F49" i="3"/>
  <c r="B49" i="3" s="1"/>
  <c r="E49" i="3" s="1"/>
  <c r="F50" i="3"/>
  <c r="B50" i="3" s="1"/>
  <c r="E50" i="3" s="1"/>
  <c r="F51" i="3"/>
  <c r="B51" i="3" s="1"/>
  <c r="E51" i="3" s="1"/>
  <c r="F52" i="3"/>
  <c r="B52" i="3" s="1"/>
  <c r="E52" i="3" s="1"/>
  <c r="F53" i="3"/>
  <c r="B53" i="3" s="1"/>
  <c r="E53" i="3" s="1"/>
  <c r="F54" i="3"/>
  <c r="B54" i="3" s="1"/>
  <c r="E54" i="3" s="1"/>
  <c r="F55" i="3"/>
  <c r="B55" i="3" s="1"/>
  <c r="E55" i="3" s="1"/>
  <c r="F56" i="3"/>
  <c r="B56" i="3" s="1"/>
  <c r="E56" i="3" s="1"/>
  <c r="F57" i="3"/>
  <c r="B57" i="3" s="1"/>
  <c r="E57" i="3" s="1"/>
  <c r="F58" i="3"/>
  <c r="B58" i="3" s="1"/>
  <c r="E58" i="3" s="1"/>
  <c r="F59" i="3"/>
  <c r="B59" i="3" s="1"/>
  <c r="E59" i="3" s="1"/>
  <c r="F60" i="3"/>
  <c r="B60" i="3" s="1"/>
  <c r="E60" i="3" s="1"/>
  <c r="F61" i="3"/>
  <c r="B61" i="3" s="1"/>
  <c r="E61" i="3" s="1"/>
  <c r="F62" i="3"/>
  <c r="B62" i="3" s="1"/>
  <c r="E62" i="3" s="1"/>
  <c r="F63" i="3"/>
  <c r="B63" i="3" s="1"/>
  <c r="E63" i="3" s="1"/>
  <c r="F64" i="3"/>
  <c r="B64" i="3" s="1"/>
  <c r="E64" i="3" s="1"/>
  <c r="F65" i="3"/>
  <c r="B65" i="3" s="1"/>
  <c r="E65" i="3" s="1"/>
  <c r="F66" i="3"/>
  <c r="B66" i="3" s="1"/>
  <c r="E66" i="3" s="1"/>
  <c r="F67" i="3"/>
  <c r="B67" i="3" s="1"/>
  <c r="E67" i="3" s="1"/>
  <c r="F68" i="3"/>
  <c r="B68" i="3" s="1"/>
  <c r="E68" i="3" s="1"/>
  <c r="F69" i="3"/>
  <c r="B69" i="3" s="1"/>
  <c r="E69" i="3" s="1"/>
  <c r="F70" i="3"/>
  <c r="B70" i="3" s="1"/>
  <c r="E70" i="3" s="1"/>
  <c r="F71" i="3"/>
  <c r="B71" i="3" s="1"/>
  <c r="E71" i="3" s="1"/>
  <c r="F72" i="3"/>
  <c r="B72" i="3" s="1"/>
  <c r="E72" i="3" s="1"/>
  <c r="F73" i="3"/>
  <c r="B73" i="3" s="1"/>
  <c r="E73" i="3" s="1"/>
  <c r="F74" i="3"/>
  <c r="B74" i="3" s="1"/>
  <c r="E74" i="3" s="1"/>
  <c r="F75" i="3"/>
  <c r="B75" i="3" s="1"/>
  <c r="E75" i="3" s="1"/>
  <c r="F76" i="3"/>
  <c r="B76" i="3" s="1"/>
  <c r="E76" i="3" s="1"/>
  <c r="F77" i="3"/>
  <c r="B77" i="3" s="1"/>
  <c r="E77" i="3" s="1"/>
  <c r="F78" i="3"/>
  <c r="B78" i="3" s="1"/>
  <c r="E78" i="3" s="1"/>
  <c r="F79" i="3"/>
  <c r="B79" i="3" s="1"/>
  <c r="E79" i="3" s="1"/>
  <c r="F80" i="3"/>
  <c r="B80" i="3" s="1"/>
  <c r="E80" i="3" s="1"/>
  <c r="F81" i="3"/>
  <c r="B81" i="3" s="1"/>
  <c r="E81" i="3" s="1"/>
  <c r="F82" i="3"/>
  <c r="B82" i="3" s="1"/>
  <c r="E82" i="3" s="1"/>
  <c r="F83" i="3"/>
  <c r="B83" i="3" s="1"/>
  <c r="E83" i="3" s="1"/>
  <c r="F84" i="3"/>
  <c r="B84" i="3" s="1"/>
  <c r="E84" i="3" s="1"/>
  <c r="F85" i="3"/>
  <c r="B85" i="3" s="1"/>
  <c r="E85" i="3" s="1"/>
  <c r="F86" i="3"/>
  <c r="B86" i="3" s="1"/>
  <c r="E86" i="3" s="1"/>
  <c r="F87" i="3"/>
  <c r="B87" i="3" s="1"/>
  <c r="E87" i="3" s="1"/>
  <c r="F88" i="3"/>
  <c r="B88" i="3" s="1"/>
  <c r="E88" i="3" s="1"/>
  <c r="F89" i="3"/>
  <c r="B89" i="3" s="1"/>
  <c r="E89" i="3" s="1"/>
  <c r="F90" i="3"/>
  <c r="B90" i="3" s="1"/>
  <c r="E90" i="3" s="1"/>
  <c r="F91" i="3"/>
  <c r="B91" i="3" s="1"/>
  <c r="E91" i="3" s="1"/>
  <c r="F92" i="3"/>
  <c r="B92" i="3" s="1"/>
  <c r="E92" i="3" s="1"/>
  <c r="F93" i="3"/>
  <c r="B93" i="3" s="1"/>
  <c r="E93" i="3" s="1"/>
  <c r="F94" i="3"/>
  <c r="B94" i="3" s="1"/>
  <c r="E94" i="3" s="1"/>
  <c r="F95" i="3"/>
  <c r="B95" i="3" s="1"/>
  <c r="E95" i="3" s="1"/>
  <c r="F96" i="3"/>
  <c r="B96" i="3" s="1"/>
  <c r="E96" i="3" s="1"/>
  <c r="F97" i="3"/>
  <c r="B97" i="3" s="1"/>
  <c r="E97" i="3" s="1"/>
  <c r="F98" i="3"/>
  <c r="B98" i="3" s="1"/>
  <c r="E98" i="3" s="1"/>
  <c r="F99" i="3"/>
  <c r="B99" i="3" s="1"/>
  <c r="E99" i="3" s="1"/>
  <c r="F100" i="3"/>
  <c r="B100" i="3" s="1"/>
  <c r="E100" i="3" s="1"/>
  <c r="F101" i="3"/>
  <c r="B101" i="3" s="1"/>
  <c r="E101" i="3" s="1"/>
  <c r="F102" i="3"/>
  <c r="B102" i="3" s="1"/>
  <c r="E102" i="3" s="1"/>
  <c r="F103" i="3"/>
  <c r="B103" i="3" s="1"/>
  <c r="E103" i="3" s="1"/>
  <c r="F104" i="3"/>
  <c r="B104" i="3" s="1"/>
  <c r="E104" i="3" s="1"/>
  <c r="F105" i="3"/>
  <c r="B105" i="3" s="1"/>
  <c r="E105" i="3" s="1"/>
  <c r="F106" i="3"/>
  <c r="B106" i="3" s="1"/>
  <c r="E106" i="3" s="1"/>
  <c r="F107" i="3"/>
  <c r="B107" i="3" s="1"/>
  <c r="E107" i="3" s="1"/>
  <c r="F108" i="3"/>
  <c r="B108" i="3" s="1"/>
  <c r="E108" i="3" s="1"/>
  <c r="F109" i="3"/>
  <c r="B109" i="3" s="1"/>
  <c r="E109" i="3" s="1"/>
  <c r="F110" i="3"/>
  <c r="B110" i="3" s="1"/>
  <c r="E110" i="3" s="1"/>
  <c r="F111" i="3"/>
  <c r="B111" i="3" s="1"/>
  <c r="E111" i="3" s="1"/>
  <c r="F112" i="3"/>
  <c r="B112" i="3" s="1"/>
  <c r="E112" i="3" s="1"/>
  <c r="F113" i="3"/>
  <c r="B113" i="3" s="1"/>
  <c r="E113" i="3" s="1"/>
  <c r="F114" i="3"/>
  <c r="B114" i="3" s="1"/>
  <c r="E114" i="3" s="1"/>
  <c r="F115" i="3"/>
  <c r="B115" i="3" s="1"/>
  <c r="E115" i="3" s="1"/>
  <c r="F116" i="3"/>
  <c r="B116" i="3" s="1"/>
  <c r="E116" i="3" s="1"/>
  <c r="F117" i="3"/>
  <c r="B117" i="3" s="1"/>
  <c r="E117" i="3" s="1"/>
  <c r="F118" i="3"/>
  <c r="B118" i="3" s="1"/>
  <c r="E118" i="3" s="1"/>
  <c r="F119" i="3"/>
  <c r="B119" i="3" s="1"/>
  <c r="E119" i="3" s="1"/>
  <c r="F120" i="3"/>
  <c r="B120" i="3" s="1"/>
  <c r="E120" i="3" s="1"/>
  <c r="F121" i="3"/>
  <c r="B121" i="3" s="1"/>
  <c r="E121" i="3" s="1"/>
  <c r="F122" i="3"/>
  <c r="B122" i="3" s="1"/>
  <c r="E122" i="3" s="1"/>
  <c r="F123" i="3"/>
  <c r="B123" i="3" s="1"/>
  <c r="E123" i="3" s="1"/>
  <c r="F124" i="3"/>
  <c r="B124" i="3" s="1"/>
  <c r="E124" i="3" s="1"/>
  <c r="F125" i="3"/>
  <c r="B125" i="3" s="1"/>
  <c r="E125" i="3" s="1"/>
  <c r="F126" i="3"/>
  <c r="B126" i="3" s="1"/>
  <c r="E126" i="3" s="1"/>
  <c r="F127" i="3"/>
  <c r="B127" i="3" s="1"/>
  <c r="E127" i="3" s="1"/>
  <c r="F128" i="3"/>
  <c r="B128" i="3" s="1"/>
  <c r="E128" i="3" s="1"/>
  <c r="F129" i="3"/>
  <c r="B129" i="3" s="1"/>
  <c r="E129" i="3" s="1"/>
  <c r="F130" i="3"/>
  <c r="B130" i="3" s="1"/>
  <c r="E130" i="3" s="1"/>
  <c r="F131" i="3"/>
  <c r="B131" i="3" s="1"/>
  <c r="E131" i="3" s="1"/>
  <c r="F132" i="3"/>
  <c r="B132" i="3" s="1"/>
  <c r="E132" i="3" s="1"/>
  <c r="F133" i="3"/>
  <c r="B133" i="3" s="1"/>
  <c r="E133" i="3" s="1"/>
  <c r="F134" i="3"/>
  <c r="B134" i="3" s="1"/>
  <c r="E134" i="3" s="1"/>
  <c r="F135" i="3"/>
  <c r="B135" i="3" s="1"/>
  <c r="E135" i="3" s="1"/>
  <c r="F136" i="3"/>
  <c r="B136" i="3" s="1"/>
  <c r="E136" i="3" s="1"/>
  <c r="F137" i="3"/>
  <c r="B137" i="3" s="1"/>
  <c r="E137" i="3" s="1"/>
  <c r="F138" i="3"/>
  <c r="B138" i="3" s="1"/>
  <c r="E138" i="3" s="1"/>
  <c r="F139" i="3"/>
  <c r="B139" i="3" s="1"/>
  <c r="E139" i="3" s="1"/>
  <c r="F140" i="3"/>
  <c r="B140" i="3" s="1"/>
  <c r="E140" i="3" s="1"/>
  <c r="F141" i="3"/>
  <c r="B141" i="3" s="1"/>
  <c r="E141" i="3" s="1"/>
  <c r="F142" i="3"/>
  <c r="B142" i="3" s="1"/>
  <c r="E142" i="3" s="1"/>
  <c r="F143" i="3"/>
  <c r="B143" i="3" s="1"/>
  <c r="E143" i="3" s="1"/>
  <c r="F144" i="3"/>
  <c r="B144" i="3" s="1"/>
  <c r="E144" i="3" s="1"/>
  <c r="F145" i="3"/>
  <c r="B145" i="3" s="1"/>
  <c r="E145" i="3" s="1"/>
  <c r="F146" i="3"/>
  <c r="B146" i="3" s="1"/>
  <c r="E146" i="3" s="1"/>
  <c r="F147" i="3"/>
  <c r="B147" i="3" s="1"/>
  <c r="E147" i="3" s="1"/>
  <c r="F148" i="3"/>
  <c r="B148" i="3" s="1"/>
  <c r="E148" i="3" s="1"/>
  <c r="F149" i="3"/>
  <c r="B149" i="3" s="1"/>
  <c r="E149" i="3" s="1"/>
  <c r="F150" i="3"/>
  <c r="B150" i="3" s="1"/>
  <c r="E150" i="3" s="1"/>
  <c r="F151" i="3"/>
  <c r="B151" i="3" s="1"/>
  <c r="E151" i="3" s="1"/>
  <c r="F152" i="3"/>
  <c r="B152" i="3" s="1"/>
  <c r="E152" i="3" s="1"/>
  <c r="F153" i="3"/>
  <c r="B153" i="3" s="1"/>
  <c r="E153" i="3" s="1"/>
  <c r="F154" i="3"/>
  <c r="B154" i="3" s="1"/>
  <c r="E154" i="3" s="1"/>
  <c r="F155" i="3"/>
  <c r="B155" i="3" s="1"/>
  <c r="E155" i="3" s="1"/>
  <c r="F156" i="3"/>
  <c r="B156" i="3" s="1"/>
  <c r="E156" i="3" s="1"/>
  <c r="F157" i="3"/>
  <c r="B157" i="3" s="1"/>
  <c r="E157" i="3" s="1"/>
  <c r="F158" i="3"/>
  <c r="B158" i="3" s="1"/>
  <c r="E158" i="3" s="1"/>
  <c r="F159" i="3"/>
  <c r="B159" i="3" s="1"/>
  <c r="E159" i="3" s="1"/>
  <c r="F160" i="3"/>
  <c r="B160" i="3" s="1"/>
  <c r="E160" i="3" s="1"/>
  <c r="F161" i="3"/>
  <c r="B161" i="3" s="1"/>
  <c r="E161" i="3" s="1"/>
  <c r="F162" i="3"/>
  <c r="B162" i="3" s="1"/>
  <c r="E162" i="3" s="1"/>
  <c r="F163" i="3"/>
  <c r="B163" i="3" s="1"/>
  <c r="E163" i="3" s="1"/>
  <c r="F164" i="3"/>
  <c r="B164" i="3" s="1"/>
  <c r="E164" i="3" s="1"/>
  <c r="F165" i="3"/>
  <c r="B165" i="3" s="1"/>
  <c r="E165" i="3" s="1"/>
  <c r="F166" i="3"/>
  <c r="B166" i="3" s="1"/>
  <c r="E166" i="3" s="1"/>
  <c r="F167" i="3"/>
  <c r="B167" i="3" s="1"/>
  <c r="E167" i="3" s="1"/>
  <c r="F168" i="3"/>
  <c r="B168" i="3" s="1"/>
  <c r="E168" i="3" s="1"/>
  <c r="F169" i="3"/>
  <c r="B169" i="3" s="1"/>
  <c r="E169" i="3" s="1"/>
  <c r="F170" i="3"/>
  <c r="B170" i="3" s="1"/>
  <c r="E170" i="3" s="1"/>
  <c r="F171" i="3"/>
  <c r="B171" i="3" s="1"/>
  <c r="E171" i="3" s="1"/>
  <c r="F172" i="3"/>
  <c r="B172" i="3" s="1"/>
  <c r="E172" i="3" s="1"/>
  <c r="F173" i="3"/>
  <c r="B173" i="3" s="1"/>
  <c r="E173" i="3" s="1"/>
  <c r="F174" i="3"/>
  <c r="B174" i="3" s="1"/>
  <c r="E174" i="3" s="1"/>
  <c r="F175" i="3"/>
  <c r="B175" i="3" s="1"/>
  <c r="E175" i="3" s="1"/>
  <c r="F176" i="3"/>
  <c r="B176" i="3" s="1"/>
  <c r="E176" i="3" s="1"/>
  <c r="F177" i="3"/>
  <c r="B177" i="3" s="1"/>
  <c r="E177" i="3" s="1"/>
  <c r="F178" i="3"/>
  <c r="B178" i="3" s="1"/>
  <c r="E178" i="3" s="1"/>
  <c r="F179" i="3"/>
  <c r="B179" i="3" s="1"/>
  <c r="E179" i="3" s="1"/>
  <c r="F180" i="3"/>
  <c r="B180" i="3" s="1"/>
  <c r="E180" i="3" s="1"/>
  <c r="F181" i="3"/>
  <c r="B181" i="3" s="1"/>
  <c r="E181" i="3" s="1"/>
  <c r="F182" i="3"/>
  <c r="B182" i="3" s="1"/>
  <c r="E182" i="3" s="1"/>
  <c r="F183" i="3"/>
  <c r="B183" i="3" s="1"/>
  <c r="E183" i="3" s="1"/>
  <c r="F184" i="3"/>
  <c r="B184" i="3" s="1"/>
  <c r="E184" i="3" s="1"/>
  <c r="F185" i="3"/>
  <c r="B185" i="3" s="1"/>
  <c r="E185" i="3" s="1"/>
  <c r="F186" i="3"/>
  <c r="B186" i="3" s="1"/>
  <c r="E186" i="3" s="1"/>
  <c r="F187" i="3"/>
  <c r="B187" i="3" s="1"/>
  <c r="E187" i="3" s="1"/>
  <c r="F188" i="3"/>
  <c r="B188" i="3" s="1"/>
  <c r="E188" i="3" s="1"/>
  <c r="F189" i="3"/>
  <c r="B189" i="3" s="1"/>
  <c r="E189" i="3" s="1"/>
  <c r="F190" i="3"/>
  <c r="B190" i="3" s="1"/>
  <c r="E190" i="3" s="1"/>
  <c r="F191" i="3"/>
  <c r="B191" i="3" s="1"/>
  <c r="E191" i="3" s="1"/>
  <c r="F192" i="3"/>
  <c r="B192" i="3" s="1"/>
  <c r="E192" i="3" s="1"/>
  <c r="F193" i="3"/>
  <c r="B193" i="3" s="1"/>
  <c r="E193" i="3" s="1"/>
  <c r="F194" i="3"/>
  <c r="B194" i="3" s="1"/>
  <c r="E194" i="3" s="1"/>
  <c r="F195" i="3"/>
  <c r="B195" i="3" s="1"/>
  <c r="E195" i="3" s="1"/>
  <c r="F196" i="3"/>
  <c r="B196" i="3" s="1"/>
  <c r="E196" i="3" s="1"/>
  <c r="F197" i="3"/>
  <c r="B197" i="3" s="1"/>
  <c r="E197" i="3" s="1"/>
  <c r="F198" i="3"/>
  <c r="B198" i="3" s="1"/>
  <c r="E198" i="3" s="1"/>
  <c r="F199" i="3"/>
  <c r="B199" i="3" s="1"/>
  <c r="E199" i="3" s="1"/>
  <c r="F200" i="3"/>
  <c r="B200" i="3" s="1"/>
  <c r="E200" i="3" s="1"/>
  <c r="F201" i="3"/>
  <c r="B201" i="3" s="1"/>
  <c r="E201" i="3" s="1"/>
  <c r="F202" i="3"/>
  <c r="B202" i="3" s="1"/>
  <c r="E202" i="3" s="1"/>
  <c r="F203" i="3"/>
  <c r="B203" i="3" s="1"/>
  <c r="E203" i="3" s="1"/>
  <c r="F204" i="3"/>
  <c r="B204" i="3" s="1"/>
  <c r="E204" i="3" s="1"/>
  <c r="F205" i="3"/>
  <c r="B205" i="3" s="1"/>
  <c r="E205" i="3" s="1"/>
  <c r="F206" i="3"/>
  <c r="B206" i="3" s="1"/>
  <c r="E206" i="3" s="1"/>
  <c r="F207" i="3"/>
  <c r="B207" i="3" s="1"/>
  <c r="E207" i="3" s="1"/>
  <c r="F208" i="3"/>
  <c r="B208" i="3" s="1"/>
  <c r="E208" i="3" s="1"/>
  <c r="F209" i="3"/>
  <c r="B209" i="3" s="1"/>
  <c r="E209" i="3" s="1"/>
  <c r="F210" i="3"/>
  <c r="B210" i="3" s="1"/>
  <c r="E210" i="3" s="1"/>
  <c r="F211" i="3"/>
  <c r="B211" i="3" s="1"/>
  <c r="E211" i="3" s="1"/>
  <c r="F212" i="3"/>
  <c r="B212" i="3" s="1"/>
  <c r="E212" i="3" s="1"/>
  <c r="F213" i="3"/>
  <c r="B213" i="3" s="1"/>
  <c r="E213" i="3" s="1"/>
  <c r="F214" i="3"/>
  <c r="B214" i="3" s="1"/>
  <c r="E214" i="3" s="1"/>
  <c r="F215" i="3"/>
  <c r="B215" i="3" s="1"/>
  <c r="E215" i="3" s="1"/>
  <c r="F216" i="3"/>
  <c r="B216" i="3" s="1"/>
  <c r="E216" i="3" s="1"/>
  <c r="F217" i="3"/>
  <c r="B217" i="3" s="1"/>
  <c r="E217" i="3" s="1"/>
  <c r="F218" i="3"/>
  <c r="B218" i="3" s="1"/>
  <c r="E218" i="3" s="1"/>
  <c r="F219" i="3"/>
  <c r="B219" i="3" s="1"/>
  <c r="E219" i="3" s="1"/>
  <c r="F220" i="3"/>
  <c r="B220" i="3" s="1"/>
  <c r="E220" i="3" s="1"/>
  <c r="F221" i="3"/>
  <c r="B221" i="3" s="1"/>
  <c r="E221" i="3" s="1"/>
  <c r="F222" i="3"/>
  <c r="B222" i="3" s="1"/>
  <c r="E222" i="3" s="1"/>
  <c r="F223" i="3"/>
  <c r="B223" i="3" s="1"/>
  <c r="E223" i="3" s="1"/>
  <c r="F224" i="3"/>
  <c r="B224" i="3" s="1"/>
  <c r="E224" i="3" s="1"/>
  <c r="F225" i="3"/>
  <c r="B225" i="3" s="1"/>
  <c r="E225" i="3" s="1"/>
  <c r="F226" i="3"/>
  <c r="B226" i="3" s="1"/>
  <c r="E226" i="3" s="1"/>
  <c r="F227" i="3"/>
  <c r="B227" i="3" s="1"/>
  <c r="E227" i="3" s="1"/>
  <c r="F228" i="3"/>
  <c r="B228" i="3" s="1"/>
  <c r="E228" i="3" s="1"/>
  <c r="F229" i="3"/>
  <c r="B229" i="3" s="1"/>
  <c r="E229" i="3" s="1"/>
  <c r="F230" i="3"/>
  <c r="B230" i="3" s="1"/>
  <c r="E230" i="3" s="1"/>
  <c r="F231" i="3"/>
  <c r="B231" i="3" s="1"/>
  <c r="E231" i="3" s="1"/>
  <c r="F232" i="3"/>
  <c r="B232" i="3" s="1"/>
  <c r="E232" i="3" s="1"/>
  <c r="F233" i="3"/>
  <c r="B233" i="3" s="1"/>
  <c r="E233" i="3" s="1"/>
  <c r="F234" i="3"/>
  <c r="B234" i="3" s="1"/>
  <c r="E234" i="3" s="1"/>
  <c r="F235" i="3"/>
  <c r="B235" i="3" s="1"/>
  <c r="E235" i="3" s="1"/>
  <c r="F236" i="3"/>
  <c r="B236" i="3" s="1"/>
  <c r="E236" i="3" s="1"/>
  <c r="F237" i="3"/>
  <c r="B237" i="3" s="1"/>
  <c r="E237" i="3" s="1"/>
  <c r="F238" i="3"/>
  <c r="B238" i="3" s="1"/>
  <c r="E238" i="3" s="1"/>
  <c r="F239" i="3"/>
  <c r="B239" i="3" s="1"/>
  <c r="E239" i="3" s="1"/>
  <c r="F240" i="3"/>
  <c r="B240" i="3" s="1"/>
  <c r="E240" i="3" s="1"/>
  <c r="F241" i="3"/>
  <c r="B241" i="3" s="1"/>
  <c r="E241" i="3" s="1"/>
  <c r="F242" i="3"/>
  <c r="B242" i="3" s="1"/>
  <c r="E242" i="3" s="1"/>
  <c r="F243" i="3"/>
  <c r="B243" i="3" s="1"/>
  <c r="E243" i="3" s="1"/>
  <c r="F244" i="3"/>
  <c r="B244" i="3" s="1"/>
  <c r="E244" i="3" s="1"/>
  <c r="F245" i="3"/>
  <c r="B245" i="3" s="1"/>
  <c r="E245" i="3" s="1"/>
  <c r="F246" i="3"/>
  <c r="B246" i="3" s="1"/>
  <c r="E246" i="3" s="1"/>
  <c r="F247" i="3"/>
  <c r="B247" i="3" s="1"/>
  <c r="E247" i="3" s="1"/>
  <c r="F248" i="3"/>
  <c r="B248" i="3" s="1"/>
  <c r="E248" i="3" s="1"/>
  <c r="F249" i="3"/>
  <c r="B249" i="3" s="1"/>
  <c r="E249" i="3" s="1"/>
  <c r="F250" i="3"/>
  <c r="B250" i="3" s="1"/>
  <c r="E250" i="3" s="1"/>
  <c r="F251" i="3"/>
  <c r="B251" i="3" s="1"/>
  <c r="E251" i="3" s="1"/>
  <c r="F252" i="3"/>
  <c r="B252" i="3" s="1"/>
  <c r="E252" i="3" s="1"/>
  <c r="F253" i="3"/>
  <c r="B253" i="3" s="1"/>
  <c r="E253" i="3" s="1"/>
  <c r="F254" i="3"/>
  <c r="B254" i="3" s="1"/>
  <c r="E254" i="3" s="1"/>
  <c r="F255" i="3"/>
  <c r="B255" i="3" s="1"/>
  <c r="E255" i="3" s="1"/>
  <c r="F256" i="3"/>
  <c r="B256" i="3" s="1"/>
  <c r="E256" i="3" s="1"/>
  <c r="F257" i="3"/>
  <c r="B257" i="3" s="1"/>
  <c r="E257" i="3" s="1"/>
  <c r="F258" i="3"/>
  <c r="B258" i="3" s="1"/>
  <c r="E258" i="3" s="1"/>
  <c r="F259" i="3"/>
  <c r="B259" i="3" s="1"/>
  <c r="E259" i="3" s="1"/>
  <c r="F260" i="3"/>
  <c r="B260" i="3" s="1"/>
  <c r="E260" i="3" s="1"/>
  <c r="F261" i="3"/>
  <c r="B261" i="3" s="1"/>
  <c r="E261" i="3" s="1"/>
  <c r="F262" i="3"/>
  <c r="B262" i="3" s="1"/>
  <c r="E262" i="3" s="1"/>
  <c r="F263" i="3"/>
  <c r="B263" i="3" s="1"/>
  <c r="E263" i="3" s="1"/>
  <c r="F264" i="3"/>
  <c r="B264" i="3" s="1"/>
  <c r="E264" i="3" s="1"/>
  <c r="F265" i="3"/>
  <c r="B265" i="3" s="1"/>
  <c r="E265" i="3" s="1"/>
  <c r="F266" i="3"/>
  <c r="B266" i="3" s="1"/>
  <c r="E266" i="3" s="1"/>
  <c r="F267" i="3"/>
  <c r="B267" i="3" s="1"/>
  <c r="E267" i="3" s="1"/>
  <c r="F268" i="3"/>
  <c r="B268" i="3" s="1"/>
  <c r="E268" i="3" s="1"/>
  <c r="F269" i="3"/>
  <c r="B269" i="3" s="1"/>
  <c r="E269" i="3" s="1"/>
  <c r="F270" i="3"/>
  <c r="B270" i="3" s="1"/>
  <c r="E270" i="3" s="1"/>
  <c r="F271" i="3"/>
  <c r="B271" i="3" s="1"/>
  <c r="E271" i="3" s="1"/>
  <c r="F272" i="3"/>
  <c r="B272" i="3" s="1"/>
  <c r="E272" i="3" s="1"/>
  <c r="F273" i="3"/>
  <c r="B273" i="3" s="1"/>
  <c r="E273" i="3" s="1"/>
  <c r="F274" i="3"/>
  <c r="B274" i="3" s="1"/>
  <c r="E274" i="3" s="1"/>
  <c r="F275" i="3"/>
  <c r="B275" i="3" s="1"/>
  <c r="E275" i="3" s="1"/>
  <c r="F276" i="3"/>
  <c r="B276" i="3" s="1"/>
  <c r="E276" i="3" s="1"/>
  <c r="F277" i="3"/>
  <c r="B277" i="3" s="1"/>
  <c r="E277" i="3" s="1"/>
  <c r="F278" i="3"/>
  <c r="B278" i="3" s="1"/>
  <c r="E278" i="3" s="1"/>
  <c r="F279" i="3"/>
  <c r="B279" i="3" s="1"/>
  <c r="E279" i="3" s="1"/>
  <c r="F280" i="3"/>
  <c r="B280" i="3" s="1"/>
  <c r="E280" i="3" s="1"/>
  <c r="F281" i="3"/>
  <c r="B281" i="3" s="1"/>
  <c r="E281" i="3" s="1"/>
  <c r="F282" i="3"/>
  <c r="B282" i="3" s="1"/>
  <c r="E282" i="3" s="1"/>
  <c r="F283" i="3"/>
  <c r="B283" i="3" s="1"/>
  <c r="E283" i="3" s="1"/>
  <c r="F284" i="3"/>
  <c r="B284" i="3" s="1"/>
  <c r="E284" i="3" s="1"/>
  <c r="F285" i="3"/>
  <c r="B285" i="3" s="1"/>
  <c r="E285" i="3" s="1"/>
  <c r="F286" i="3"/>
  <c r="B286" i="3" s="1"/>
  <c r="E286" i="3" s="1"/>
  <c r="F287" i="3"/>
  <c r="B287" i="3" s="1"/>
  <c r="E287" i="3" s="1"/>
  <c r="F288" i="3"/>
  <c r="B288" i="3" s="1"/>
  <c r="E288" i="3" s="1"/>
  <c r="F289" i="3"/>
  <c r="B289" i="3" s="1"/>
  <c r="E289" i="3" s="1"/>
  <c r="F290" i="3"/>
  <c r="B290" i="3" s="1"/>
  <c r="E290" i="3" s="1"/>
  <c r="F291" i="3"/>
  <c r="B291" i="3" s="1"/>
  <c r="E291" i="3" s="1"/>
  <c r="F292" i="3"/>
  <c r="B292" i="3" s="1"/>
  <c r="E292" i="3" s="1"/>
  <c r="F293" i="3"/>
  <c r="B293" i="3" s="1"/>
  <c r="E293" i="3" s="1"/>
  <c r="F294" i="3"/>
  <c r="B294" i="3" s="1"/>
  <c r="E294" i="3" s="1"/>
  <c r="F295" i="3"/>
  <c r="B295" i="3" s="1"/>
  <c r="E295" i="3" s="1"/>
  <c r="F296" i="3"/>
  <c r="B296" i="3" s="1"/>
  <c r="E296" i="3" s="1"/>
  <c r="F297" i="3"/>
  <c r="B297" i="3" s="1"/>
  <c r="E297" i="3" s="1"/>
  <c r="F298" i="3"/>
  <c r="B298" i="3" s="1"/>
  <c r="E298" i="3" s="1"/>
  <c r="F299" i="3"/>
  <c r="B299" i="3" s="1"/>
  <c r="E299" i="3" s="1"/>
  <c r="F300" i="3"/>
  <c r="B300" i="3" s="1"/>
  <c r="E300" i="3" s="1"/>
  <c r="F301" i="3"/>
  <c r="B301" i="3" s="1"/>
  <c r="E301" i="3" s="1"/>
  <c r="F302" i="3"/>
  <c r="B302" i="3" s="1"/>
  <c r="E302" i="3" s="1"/>
  <c r="F303" i="3"/>
  <c r="B303" i="3" s="1"/>
  <c r="E303" i="3" s="1"/>
  <c r="F304" i="3"/>
  <c r="B304" i="3" s="1"/>
  <c r="E304" i="3" s="1"/>
  <c r="F305" i="3"/>
  <c r="B305" i="3" s="1"/>
  <c r="E305" i="3" s="1"/>
  <c r="F306" i="3"/>
  <c r="B306" i="3" s="1"/>
  <c r="E306" i="3" s="1"/>
  <c r="F307" i="3"/>
  <c r="B307" i="3" s="1"/>
  <c r="E307" i="3" s="1"/>
  <c r="F308" i="3"/>
  <c r="B308" i="3" s="1"/>
  <c r="E308" i="3" s="1"/>
  <c r="F309" i="3"/>
  <c r="B309" i="3" s="1"/>
  <c r="E309" i="3" s="1"/>
  <c r="F310" i="3"/>
  <c r="B310" i="3" s="1"/>
  <c r="E310" i="3" s="1"/>
  <c r="F311" i="3"/>
  <c r="B311" i="3" s="1"/>
  <c r="E311" i="3" s="1"/>
  <c r="F312" i="3"/>
  <c r="B312" i="3" s="1"/>
  <c r="E312" i="3" s="1"/>
  <c r="F313" i="3"/>
  <c r="B313" i="3" s="1"/>
  <c r="E313" i="3" s="1"/>
  <c r="F314" i="3"/>
  <c r="B314" i="3" s="1"/>
  <c r="E314" i="3" s="1"/>
  <c r="F315" i="3"/>
  <c r="B315" i="3" s="1"/>
  <c r="E315" i="3" s="1"/>
  <c r="F316" i="3"/>
  <c r="B316" i="3" s="1"/>
  <c r="E316" i="3" s="1"/>
  <c r="F317" i="3"/>
  <c r="B317" i="3" s="1"/>
  <c r="E317" i="3" s="1"/>
  <c r="F318" i="3"/>
  <c r="B318" i="3" s="1"/>
  <c r="E318" i="3" s="1"/>
  <c r="F319" i="3"/>
  <c r="B319" i="3" s="1"/>
  <c r="E319" i="3" s="1"/>
  <c r="F320" i="3"/>
  <c r="B320" i="3" s="1"/>
  <c r="E320" i="3" s="1"/>
  <c r="F321" i="3"/>
  <c r="B321" i="3" s="1"/>
  <c r="E321" i="3" s="1"/>
  <c r="F322" i="3"/>
  <c r="B322" i="3" s="1"/>
  <c r="E322" i="3" s="1"/>
  <c r="F323" i="3"/>
  <c r="B323" i="3" s="1"/>
  <c r="E323" i="3" s="1"/>
  <c r="F324" i="3"/>
  <c r="B324" i="3" s="1"/>
  <c r="E324" i="3" s="1"/>
  <c r="F325" i="3"/>
  <c r="B325" i="3" s="1"/>
  <c r="E325" i="3" s="1"/>
  <c r="F326" i="3"/>
  <c r="B326" i="3" s="1"/>
  <c r="E326" i="3" s="1"/>
  <c r="F327" i="3"/>
  <c r="B327" i="3" s="1"/>
  <c r="E327" i="3" s="1"/>
  <c r="F328" i="3"/>
  <c r="B328" i="3" s="1"/>
  <c r="E328" i="3" s="1"/>
  <c r="F329" i="3"/>
  <c r="B329" i="3" s="1"/>
  <c r="E329" i="3" s="1"/>
  <c r="F330" i="3"/>
  <c r="B330" i="3" s="1"/>
  <c r="E330" i="3" s="1"/>
  <c r="F331" i="3"/>
  <c r="B331" i="3" s="1"/>
  <c r="E331" i="3" s="1"/>
  <c r="F332" i="3"/>
  <c r="B332" i="3" s="1"/>
  <c r="E332" i="3" s="1"/>
  <c r="F333" i="3"/>
  <c r="B333" i="3" s="1"/>
  <c r="E333" i="3" s="1"/>
  <c r="F334" i="3"/>
  <c r="B334" i="3" s="1"/>
  <c r="E334" i="3" s="1"/>
  <c r="F335" i="3"/>
  <c r="B335" i="3" s="1"/>
  <c r="E335" i="3" s="1"/>
  <c r="F336" i="3"/>
  <c r="B336" i="3" s="1"/>
  <c r="E336" i="3" s="1"/>
  <c r="F337" i="3"/>
  <c r="B337" i="3" s="1"/>
  <c r="E337" i="3" s="1"/>
  <c r="F338" i="3"/>
  <c r="B338" i="3" s="1"/>
  <c r="E338" i="3" s="1"/>
  <c r="F339" i="3"/>
  <c r="B339" i="3" s="1"/>
  <c r="E339" i="3" s="1"/>
  <c r="F340" i="3"/>
  <c r="B340" i="3" s="1"/>
  <c r="E340" i="3" s="1"/>
  <c r="F341" i="3"/>
  <c r="B341" i="3" s="1"/>
  <c r="E341" i="3" s="1"/>
  <c r="F342" i="3"/>
  <c r="B342" i="3" s="1"/>
  <c r="E342" i="3" s="1"/>
  <c r="F343" i="3"/>
  <c r="B343" i="3" s="1"/>
  <c r="E343" i="3" s="1"/>
  <c r="F344" i="3"/>
  <c r="B344" i="3" s="1"/>
  <c r="E344" i="3" s="1"/>
  <c r="F345" i="3"/>
  <c r="B345" i="3" s="1"/>
  <c r="E345" i="3" s="1"/>
  <c r="F346" i="3"/>
  <c r="B346" i="3" s="1"/>
  <c r="E346" i="3" s="1"/>
  <c r="F347" i="3"/>
  <c r="B347" i="3" s="1"/>
  <c r="E347" i="3" s="1"/>
  <c r="F348" i="3"/>
  <c r="B348" i="3" s="1"/>
  <c r="E348" i="3" s="1"/>
  <c r="F349" i="3"/>
  <c r="B349" i="3" s="1"/>
  <c r="E349" i="3" s="1"/>
  <c r="F350" i="3"/>
  <c r="B350" i="3" s="1"/>
  <c r="E350" i="3" s="1"/>
  <c r="F351" i="3"/>
  <c r="B351" i="3" s="1"/>
  <c r="E351" i="3" s="1"/>
  <c r="F352" i="3"/>
  <c r="B352" i="3" s="1"/>
  <c r="E352" i="3" s="1"/>
  <c r="F353" i="3"/>
  <c r="B353" i="3" s="1"/>
  <c r="E353" i="3" s="1"/>
  <c r="F354" i="3"/>
  <c r="B354" i="3" s="1"/>
  <c r="E354" i="3" s="1"/>
  <c r="F355" i="3"/>
  <c r="B355" i="3" s="1"/>
  <c r="E355" i="3" s="1"/>
  <c r="F356" i="3"/>
  <c r="B356" i="3" s="1"/>
  <c r="E356" i="3" s="1"/>
  <c r="F357" i="3"/>
  <c r="B357" i="3" s="1"/>
  <c r="E357" i="3" s="1"/>
  <c r="F358" i="3"/>
  <c r="B358" i="3" s="1"/>
  <c r="E358" i="3" s="1"/>
  <c r="F359" i="3"/>
  <c r="B359" i="3" s="1"/>
  <c r="E359" i="3" s="1"/>
  <c r="F360" i="3"/>
  <c r="B360" i="3" s="1"/>
  <c r="E360" i="3" s="1"/>
  <c r="F361" i="3"/>
  <c r="B361" i="3" s="1"/>
  <c r="E361" i="3" s="1"/>
  <c r="F362" i="3"/>
  <c r="B362" i="3" s="1"/>
  <c r="E362" i="3" s="1"/>
  <c r="F363" i="3"/>
  <c r="B363" i="3" s="1"/>
  <c r="E363" i="3" s="1"/>
  <c r="F364" i="3"/>
  <c r="B364" i="3" s="1"/>
  <c r="E364" i="3" s="1"/>
  <c r="F365" i="3"/>
  <c r="B365" i="3" s="1"/>
  <c r="E365" i="3" s="1"/>
  <c r="F366" i="3"/>
  <c r="B366" i="3" s="1"/>
  <c r="E366" i="3" s="1"/>
  <c r="F367" i="3"/>
  <c r="B367" i="3" s="1"/>
  <c r="E367" i="3" s="1"/>
  <c r="F368" i="3"/>
  <c r="B368" i="3" s="1"/>
  <c r="E368" i="3" s="1"/>
  <c r="F369" i="3"/>
  <c r="B369" i="3" s="1"/>
  <c r="E369" i="3" s="1"/>
  <c r="F370" i="3"/>
  <c r="B370" i="3" s="1"/>
  <c r="E370" i="3" s="1"/>
  <c r="F371" i="3"/>
  <c r="B371" i="3" s="1"/>
  <c r="E371" i="3" s="1"/>
  <c r="F372" i="3"/>
  <c r="B372" i="3" s="1"/>
  <c r="E372" i="3" s="1"/>
  <c r="F373" i="3"/>
  <c r="B373" i="3" s="1"/>
  <c r="E373" i="3" s="1"/>
  <c r="F2" i="3"/>
  <c r="B2" i="3" s="1"/>
  <c r="E2" i="3" s="1"/>
  <c r="AL2" i="3"/>
  <c r="B8" i="5"/>
  <c r="C8" i="5"/>
  <c r="D8" i="5"/>
  <c r="G8" i="5" s="1"/>
  <c r="H8" i="5" s="1"/>
  <c r="E8" i="5"/>
  <c r="F8" i="5"/>
  <c r="B3" i="5"/>
  <c r="G3" i="5" s="1"/>
  <c r="F7" i="5"/>
  <c r="E7" i="5"/>
  <c r="D7" i="5"/>
  <c r="C7" i="5"/>
  <c r="B7" i="5"/>
  <c r="G7" i="5" s="1"/>
  <c r="F6" i="5"/>
  <c r="E6" i="5"/>
  <c r="D6" i="5"/>
  <c r="C6" i="5"/>
  <c r="B6" i="5"/>
  <c r="G6" i="5" s="1"/>
  <c r="F5" i="5"/>
  <c r="E5" i="5"/>
  <c r="D5" i="5"/>
  <c r="C5" i="5"/>
  <c r="B5" i="5"/>
  <c r="G5" i="5" s="1"/>
  <c r="F4" i="5"/>
  <c r="E4" i="5"/>
  <c r="D4" i="5"/>
  <c r="C4" i="5"/>
  <c r="G4" i="5" s="1"/>
  <c r="B4" i="5"/>
  <c r="F3" i="5"/>
  <c r="E3" i="5"/>
  <c r="D3" i="5"/>
  <c r="C3" i="5"/>
  <c r="AL373" i="3"/>
  <c r="AK373" i="3"/>
  <c r="AJ373" i="3"/>
  <c r="AI373" i="3"/>
  <c r="AH373" i="3"/>
  <c r="AL372" i="3"/>
  <c r="AK372" i="3"/>
  <c r="AJ372" i="3"/>
  <c r="AI372" i="3"/>
  <c r="AH372" i="3"/>
  <c r="AL371" i="3"/>
  <c r="AK371" i="3"/>
  <c r="AJ371" i="3"/>
  <c r="AI371" i="3"/>
  <c r="AH371" i="3"/>
  <c r="AL370" i="3"/>
  <c r="AK370" i="3"/>
  <c r="AJ370" i="3"/>
  <c r="AI370" i="3"/>
  <c r="AH370" i="3"/>
  <c r="AL369" i="3"/>
  <c r="AK369" i="3"/>
  <c r="AJ369" i="3"/>
  <c r="AI369" i="3"/>
  <c r="AH369" i="3"/>
  <c r="AL368" i="3"/>
  <c r="AK368" i="3"/>
  <c r="AJ368" i="3"/>
  <c r="AI368" i="3"/>
  <c r="AH368" i="3"/>
  <c r="AL367" i="3"/>
  <c r="AK367" i="3"/>
  <c r="AJ367" i="3"/>
  <c r="AI367" i="3"/>
  <c r="AH367" i="3"/>
  <c r="AL366" i="3"/>
  <c r="AK366" i="3"/>
  <c r="AJ366" i="3"/>
  <c r="AI366" i="3"/>
  <c r="AH366" i="3"/>
  <c r="AL365" i="3"/>
  <c r="AK365" i="3"/>
  <c r="AJ365" i="3"/>
  <c r="AI365" i="3"/>
  <c r="AH365" i="3"/>
  <c r="AL364" i="3"/>
  <c r="AK364" i="3"/>
  <c r="AJ364" i="3"/>
  <c r="AI364" i="3"/>
  <c r="AH364" i="3"/>
  <c r="AL363" i="3"/>
  <c r="AK363" i="3"/>
  <c r="AJ363" i="3"/>
  <c r="AI363" i="3"/>
  <c r="AH363" i="3"/>
  <c r="AL362" i="3"/>
  <c r="AK362" i="3"/>
  <c r="AJ362" i="3"/>
  <c r="AI362" i="3"/>
  <c r="AH362" i="3"/>
  <c r="AL361" i="3"/>
  <c r="AK361" i="3"/>
  <c r="AJ361" i="3"/>
  <c r="AI361" i="3"/>
  <c r="AH361" i="3"/>
  <c r="AL360" i="3"/>
  <c r="AK360" i="3"/>
  <c r="AJ360" i="3"/>
  <c r="AI360" i="3"/>
  <c r="AH360" i="3"/>
  <c r="AL359" i="3"/>
  <c r="AK359" i="3"/>
  <c r="AJ359" i="3"/>
  <c r="AI359" i="3"/>
  <c r="AH359" i="3"/>
  <c r="AL358" i="3"/>
  <c r="AK358" i="3"/>
  <c r="AJ358" i="3"/>
  <c r="AI358" i="3"/>
  <c r="AH358" i="3"/>
  <c r="AL357" i="3"/>
  <c r="AK357" i="3"/>
  <c r="AJ357" i="3"/>
  <c r="AI357" i="3"/>
  <c r="AH357" i="3"/>
  <c r="AL356" i="3"/>
  <c r="AK356" i="3"/>
  <c r="AJ356" i="3"/>
  <c r="AI356" i="3"/>
  <c r="AH356" i="3"/>
  <c r="AL355" i="3"/>
  <c r="AK355" i="3"/>
  <c r="AJ355" i="3"/>
  <c r="AI355" i="3"/>
  <c r="AH355" i="3"/>
  <c r="AL354" i="3"/>
  <c r="AK354" i="3"/>
  <c r="AJ354" i="3"/>
  <c r="AI354" i="3"/>
  <c r="AH354" i="3"/>
  <c r="AL353" i="3"/>
  <c r="AK353" i="3"/>
  <c r="AJ353" i="3"/>
  <c r="AI353" i="3"/>
  <c r="AH353" i="3"/>
  <c r="AL352" i="3"/>
  <c r="AK352" i="3"/>
  <c r="AJ352" i="3"/>
  <c r="AI352" i="3"/>
  <c r="AH352" i="3"/>
  <c r="AL351" i="3"/>
  <c r="AK351" i="3"/>
  <c r="AJ351" i="3"/>
  <c r="AI351" i="3"/>
  <c r="AH351" i="3"/>
  <c r="AL350" i="3"/>
  <c r="AK350" i="3"/>
  <c r="AJ350" i="3"/>
  <c r="AI350" i="3"/>
  <c r="AH350" i="3"/>
  <c r="AL349" i="3"/>
  <c r="AK349" i="3"/>
  <c r="AJ349" i="3"/>
  <c r="AI349" i="3"/>
  <c r="AH349" i="3"/>
  <c r="AL348" i="3"/>
  <c r="AK348" i="3"/>
  <c r="AJ348" i="3"/>
  <c r="AI348" i="3"/>
  <c r="AH348" i="3"/>
  <c r="AL347" i="3"/>
  <c r="AK347" i="3"/>
  <c r="AJ347" i="3"/>
  <c r="AI347" i="3"/>
  <c r="AH347" i="3"/>
  <c r="AL346" i="3"/>
  <c r="AK346" i="3"/>
  <c r="AJ346" i="3"/>
  <c r="AI346" i="3"/>
  <c r="AH346" i="3"/>
  <c r="AL345" i="3"/>
  <c r="AK345" i="3"/>
  <c r="AJ345" i="3"/>
  <c r="AI345" i="3"/>
  <c r="AH345" i="3"/>
  <c r="AL344" i="3"/>
  <c r="AK344" i="3"/>
  <c r="AJ344" i="3"/>
  <c r="AI344" i="3"/>
  <c r="AH344" i="3"/>
  <c r="AL343" i="3"/>
  <c r="AK343" i="3"/>
  <c r="AJ343" i="3"/>
  <c r="AI343" i="3"/>
  <c r="AH343" i="3"/>
  <c r="AL342" i="3"/>
  <c r="AK342" i="3"/>
  <c r="AJ342" i="3"/>
  <c r="AI342" i="3"/>
  <c r="AH342" i="3"/>
  <c r="AL341" i="3"/>
  <c r="AK341" i="3"/>
  <c r="AJ341" i="3"/>
  <c r="AI341" i="3"/>
  <c r="AH341" i="3"/>
  <c r="AL340" i="3"/>
  <c r="AK340" i="3"/>
  <c r="AJ340" i="3"/>
  <c r="AI340" i="3"/>
  <c r="AH340" i="3"/>
  <c r="AL339" i="3"/>
  <c r="AK339" i="3"/>
  <c r="AJ339" i="3"/>
  <c r="AI339" i="3"/>
  <c r="AH339" i="3"/>
  <c r="AL338" i="3"/>
  <c r="AK338" i="3"/>
  <c r="AJ338" i="3"/>
  <c r="AI338" i="3"/>
  <c r="AH338" i="3"/>
  <c r="AL337" i="3"/>
  <c r="AK337" i="3"/>
  <c r="AJ337" i="3"/>
  <c r="AI337" i="3"/>
  <c r="AH337" i="3"/>
  <c r="AL336" i="3"/>
  <c r="AK336" i="3"/>
  <c r="AJ336" i="3"/>
  <c r="AI336" i="3"/>
  <c r="AH336" i="3"/>
  <c r="AL335" i="3"/>
  <c r="AK335" i="3"/>
  <c r="AJ335" i="3"/>
  <c r="AI335" i="3"/>
  <c r="AH335" i="3"/>
  <c r="AL334" i="3"/>
  <c r="AK334" i="3"/>
  <c r="AJ334" i="3"/>
  <c r="AI334" i="3"/>
  <c r="AH334" i="3"/>
  <c r="AL333" i="3"/>
  <c r="AK333" i="3"/>
  <c r="AJ333" i="3"/>
  <c r="AI333" i="3"/>
  <c r="AH333" i="3"/>
  <c r="AL332" i="3"/>
  <c r="AK332" i="3"/>
  <c r="AJ332" i="3"/>
  <c r="AI332" i="3"/>
  <c r="AH332" i="3"/>
  <c r="AL331" i="3"/>
  <c r="AK331" i="3"/>
  <c r="AJ331" i="3"/>
  <c r="AI331" i="3"/>
  <c r="AH331" i="3"/>
  <c r="AL330" i="3"/>
  <c r="AK330" i="3"/>
  <c r="AJ330" i="3"/>
  <c r="AI330" i="3"/>
  <c r="AH330" i="3"/>
  <c r="AL329" i="3"/>
  <c r="AK329" i="3"/>
  <c r="AJ329" i="3"/>
  <c r="AI329" i="3"/>
  <c r="AH329" i="3"/>
  <c r="AL328" i="3"/>
  <c r="AK328" i="3"/>
  <c r="AJ328" i="3"/>
  <c r="AI328" i="3"/>
  <c r="AH328" i="3"/>
  <c r="AL327" i="3"/>
  <c r="AK327" i="3"/>
  <c r="AJ327" i="3"/>
  <c r="AI327" i="3"/>
  <c r="AH327" i="3"/>
  <c r="AL326" i="3"/>
  <c r="AK326" i="3"/>
  <c r="AJ326" i="3"/>
  <c r="AI326" i="3"/>
  <c r="AH326" i="3"/>
  <c r="AL325" i="3"/>
  <c r="AK325" i="3"/>
  <c r="AJ325" i="3"/>
  <c r="AI325" i="3"/>
  <c r="AH325" i="3"/>
  <c r="AL324" i="3"/>
  <c r="AK324" i="3"/>
  <c r="AJ324" i="3"/>
  <c r="AI324" i="3"/>
  <c r="AH324" i="3"/>
  <c r="AL323" i="3"/>
  <c r="AK323" i="3"/>
  <c r="AJ323" i="3"/>
  <c r="AI323" i="3"/>
  <c r="AH323" i="3"/>
  <c r="AL322" i="3"/>
  <c r="AK322" i="3"/>
  <c r="AJ322" i="3"/>
  <c r="AI322" i="3"/>
  <c r="AH322" i="3"/>
  <c r="AL321" i="3"/>
  <c r="AK321" i="3"/>
  <c r="AJ321" i="3"/>
  <c r="AI321" i="3"/>
  <c r="AH321" i="3"/>
  <c r="AL320" i="3"/>
  <c r="AK320" i="3"/>
  <c r="AJ320" i="3"/>
  <c r="AI320" i="3"/>
  <c r="AH320" i="3"/>
  <c r="AL319" i="3"/>
  <c r="AK319" i="3"/>
  <c r="AJ319" i="3"/>
  <c r="AI319" i="3"/>
  <c r="AH319" i="3"/>
  <c r="AL318" i="3"/>
  <c r="AK318" i="3"/>
  <c r="AJ318" i="3"/>
  <c r="AI318" i="3"/>
  <c r="AH318" i="3"/>
  <c r="AL317" i="3"/>
  <c r="AK317" i="3"/>
  <c r="AJ317" i="3"/>
  <c r="AI317" i="3"/>
  <c r="AH317" i="3"/>
  <c r="AL316" i="3"/>
  <c r="AK316" i="3"/>
  <c r="AJ316" i="3"/>
  <c r="AI316" i="3"/>
  <c r="AH316" i="3"/>
  <c r="AL315" i="3"/>
  <c r="AK315" i="3"/>
  <c r="AJ315" i="3"/>
  <c r="AI315" i="3"/>
  <c r="AH315" i="3"/>
  <c r="AL314" i="3"/>
  <c r="AK314" i="3"/>
  <c r="AJ314" i="3"/>
  <c r="AI314" i="3"/>
  <c r="AH314" i="3"/>
  <c r="AL313" i="3"/>
  <c r="AK313" i="3"/>
  <c r="AJ313" i="3"/>
  <c r="AI313" i="3"/>
  <c r="AH313" i="3"/>
  <c r="AL312" i="3"/>
  <c r="AK312" i="3"/>
  <c r="AJ312" i="3"/>
  <c r="AI312" i="3"/>
  <c r="AH312" i="3"/>
  <c r="AL311" i="3"/>
  <c r="AK311" i="3"/>
  <c r="AJ311" i="3"/>
  <c r="AI311" i="3"/>
  <c r="AH311" i="3"/>
  <c r="AL310" i="3"/>
  <c r="AK310" i="3"/>
  <c r="AJ310" i="3"/>
  <c r="AI310" i="3"/>
  <c r="AH310" i="3"/>
  <c r="AL309" i="3"/>
  <c r="AK309" i="3"/>
  <c r="AJ309" i="3"/>
  <c r="AI309" i="3"/>
  <c r="AH309" i="3"/>
  <c r="AL308" i="3"/>
  <c r="AK308" i="3"/>
  <c r="AJ308" i="3"/>
  <c r="AI308" i="3"/>
  <c r="AH308" i="3"/>
  <c r="AL307" i="3"/>
  <c r="AK307" i="3"/>
  <c r="AJ307" i="3"/>
  <c r="AI307" i="3"/>
  <c r="AH307" i="3"/>
  <c r="AL306" i="3"/>
  <c r="AK306" i="3"/>
  <c r="AJ306" i="3"/>
  <c r="AI306" i="3"/>
  <c r="AH306" i="3"/>
  <c r="AL305" i="3"/>
  <c r="AK305" i="3"/>
  <c r="AJ305" i="3"/>
  <c r="AI305" i="3"/>
  <c r="AH305" i="3"/>
  <c r="AL304" i="3"/>
  <c r="AK304" i="3"/>
  <c r="AJ304" i="3"/>
  <c r="AI304" i="3"/>
  <c r="AH304" i="3"/>
  <c r="AL303" i="3"/>
  <c r="AK303" i="3"/>
  <c r="AJ303" i="3"/>
  <c r="AI303" i="3"/>
  <c r="AH303" i="3"/>
  <c r="AL302" i="3"/>
  <c r="AK302" i="3"/>
  <c r="AJ302" i="3"/>
  <c r="AI302" i="3"/>
  <c r="AH302" i="3"/>
  <c r="AL301" i="3"/>
  <c r="AK301" i="3"/>
  <c r="AJ301" i="3"/>
  <c r="AI301" i="3"/>
  <c r="AH301" i="3"/>
  <c r="AL300" i="3"/>
  <c r="AK300" i="3"/>
  <c r="AJ300" i="3"/>
  <c r="AI300" i="3"/>
  <c r="AH300" i="3"/>
  <c r="AL299" i="3"/>
  <c r="AK299" i="3"/>
  <c r="AJ299" i="3"/>
  <c r="AI299" i="3"/>
  <c r="AH299" i="3"/>
  <c r="AL298" i="3"/>
  <c r="AK298" i="3"/>
  <c r="AJ298" i="3"/>
  <c r="AI298" i="3"/>
  <c r="AH298" i="3"/>
  <c r="AL297" i="3"/>
  <c r="AK297" i="3"/>
  <c r="AJ297" i="3"/>
  <c r="AI297" i="3"/>
  <c r="AH297" i="3"/>
  <c r="AL296" i="3"/>
  <c r="AK296" i="3"/>
  <c r="AJ296" i="3"/>
  <c r="AI296" i="3"/>
  <c r="AH296" i="3"/>
  <c r="AL295" i="3"/>
  <c r="AK295" i="3"/>
  <c r="AJ295" i="3"/>
  <c r="AI295" i="3"/>
  <c r="AH295" i="3"/>
  <c r="AL294" i="3"/>
  <c r="AK294" i="3"/>
  <c r="AJ294" i="3"/>
  <c r="AI294" i="3"/>
  <c r="AH294" i="3"/>
  <c r="AL293" i="3"/>
  <c r="AK293" i="3"/>
  <c r="AJ293" i="3"/>
  <c r="AI293" i="3"/>
  <c r="AH293" i="3"/>
  <c r="AL292" i="3"/>
  <c r="AK292" i="3"/>
  <c r="AJ292" i="3"/>
  <c r="AI292" i="3"/>
  <c r="AH292" i="3"/>
  <c r="AL291" i="3"/>
  <c r="AK291" i="3"/>
  <c r="AJ291" i="3"/>
  <c r="AI291" i="3"/>
  <c r="AH291" i="3"/>
  <c r="AL290" i="3"/>
  <c r="AK290" i="3"/>
  <c r="AJ290" i="3"/>
  <c r="AI290" i="3"/>
  <c r="AH290" i="3"/>
  <c r="AL289" i="3"/>
  <c r="AK289" i="3"/>
  <c r="AJ289" i="3"/>
  <c r="AI289" i="3"/>
  <c r="AH289" i="3"/>
  <c r="AL288" i="3"/>
  <c r="AK288" i="3"/>
  <c r="AJ288" i="3"/>
  <c r="AI288" i="3"/>
  <c r="AH288" i="3"/>
  <c r="AL287" i="3"/>
  <c r="AK287" i="3"/>
  <c r="AJ287" i="3"/>
  <c r="AI287" i="3"/>
  <c r="AH287" i="3"/>
  <c r="AL286" i="3"/>
  <c r="AK286" i="3"/>
  <c r="AJ286" i="3"/>
  <c r="AI286" i="3"/>
  <c r="AH286" i="3"/>
  <c r="AL285" i="3"/>
  <c r="AK285" i="3"/>
  <c r="AJ285" i="3"/>
  <c r="AI285" i="3"/>
  <c r="AH285" i="3"/>
  <c r="AL284" i="3"/>
  <c r="AK284" i="3"/>
  <c r="AJ284" i="3"/>
  <c r="AI284" i="3"/>
  <c r="AH284" i="3"/>
  <c r="AL283" i="3"/>
  <c r="AK283" i="3"/>
  <c r="AJ283" i="3"/>
  <c r="AI283" i="3"/>
  <c r="AH283" i="3"/>
  <c r="AL282" i="3"/>
  <c r="AK282" i="3"/>
  <c r="AJ282" i="3"/>
  <c r="AI282" i="3"/>
  <c r="AH282" i="3"/>
  <c r="AL281" i="3"/>
  <c r="AK281" i="3"/>
  <c r="AJ281" i="3"/>
  <c r="AI281" i="3"/>
  <c r="AH281" i="3"/>
  <c r="AL280" i="3"/>
  <c r="AK280" i="3"/>
  <c r="AJ280" i="3"/>
  <c r="AI280" i="3"/>
  <c r="AH280" i="3"/>
  <c r="AL279" i="3"/>
  <c r="AK279" i="3"/>
  <c r="AJ279" i="3"/>
  <c r="AI279" i="3"/>
  <c r="AH279" i="3"/>
  <c r="AL278" i="3"/>
  <c r="AK278" i="3"/>
  <c r="AJ278" i="3"/>
  <c r="AI278" i="3"/>
  <c r="AH278" i="3"/>
  <c r="AL277" i="3"/>
  <c r="AK277" i="3"/>
  <c r="AJ277" i="3"/>
  <c r="AI277" i="3"/>
  <c r="AH277" i="3"/>
  <c r="AL276" i="3"/>
  <c r="AK276" i="3"/>
  <c r="AJ276" i="3"/>
  <c r="AI276" i="3"/>
  <c r="AH276" i="3"/>
  <c r="AL275" i="3"/>
  <c r="AK275" i="3"/>
  <c r="AJ275" i="3"/>
  <c r="AI275" i="3"/>
  <c r="AH275" i="3"/>
  <c r="AL274" i="3"/>
  <c r="AK274" i="3"/>
  <c r="AJ274" i="3"/>
  <c r="AI274" i="3"/>
  <c r="AH274" i="3"/>
  <c r="AL273" i="3"/>
  <c r="AK273" i="3"/>
  <c r="AJ273" i="3"/>
  <c r="AI273" i="3"/>
  <c r="AH273" i="3"/>
  <c r="AL272" i="3"/>
  <c r="AK272" i="3"/>
  <c r="AJ272" i="3"/>
  <c r="AI272" i="3"/>
  <c r="AH272" i="3"/>
  <c r="AL271" i="3"/>
  <c r="AK271" i="3"/>
  <c r="AJ271" i="3"/>
  <c r="AI271" i="3"/>
  <c r="AH271" i="3"/>
  <c r="AL270" i="3"/>
  <c r="AK270" i="3"/>
  <c r="AJ270" i="3"/>
  <c r="AI270" i="3"/>
  <c r="AH270" i="3"/>
  <c r="AL269" i="3"/>
  <c r="AK269" i="3"/>
  <c r="AJ269" i="3"/>
  <c r="AI269" i="3"/>
  <c r="AH269" i="3"/>
  <c r="AL268" i="3"/>
  <c r="AK268" i="3"/>
  <c r="AJ268" i="3"/>
  <c r="AI268" i="3"/>
  <c r="AH268" i="3"/>
  <c r="AL267" i="3"/>
  <c r="AK267" i="3"/>
  <c r="AJ267" i="3"/>
  <c r="AI267" i="3"/>
  <c r="AH267" i="3"/>
  <c r="AL266" i="3"/>
  <c r="AK266" i="3"/>
  <c r="AJ266" i="3"/>
  <c r="AI266" i="3"/>
  <c r="AH266" i="3"/>
  <c r="AL265" i="3"/>
  <c r="AK265" i="3"/>
  <c r="AJ265" i="3"/>
  <c r="AI265" i="3"/>
  <c r="AH265" i="3"/>
  <c r="AL264" i="3"/>
  <c r="AK264" i="3"/>
  <c r="AJ264" i="3"/>
  <c r="AI264" i="3"/>
  <c r="AH264" i="3"/>
  <c r="AL263" i="3"/>
  <c r="AK263" i="3"/>
  <c r="AJ263" i="3"/>
  <c r="AI263" i="3"/>
  <c r="AH263" i="3"/>
  <c r="AL262" i="3"/>
  <c r="AK262" i="3"/>
  <c r="AJ262" i="3"/>
  <c r="AI262" i="3"/>
  <c r="AH262" i="3"/>
  <c r="AL261" i="3"/>
  <c r="AK261" i="3"/>
  <c r="AJ261" i="3"/>
  <c r="AI261" i="3"/>
  <c r="AH261" i="3"/>
  <c r="AL260" i="3"/>
  <c r="AK260" i="3"/>
  <c r="AJ260" i="3"/>
  <c r="AI260" i="3"/>
  <c r="AH260" i="3"/>
  <c r="AL259" i="3"/>
  <c r="AK259" i="3"/>
  <c r="AJ259" i="3"/>
  <c r="AI259" i="3"/>
  <c r="AH259" i="3"/>
  <c r="AL258" i="3"/>
  <c r="AK258" i="3"/>
  <c r="AJ258" i="3"/>
  <c r="AI258" i="3"/>
  <c r="AH258" i="3"/>
  <c r="AL257" i="3"/>
  <c r="AK257" i="3"/>
  <c r="AJ257" i="3"/>
  <c r="AI257" i="3"/>
  <c r="AH257" i="3"/>
  <c r="AL256" i="3"/>
  <c r="AK256" i="3"/>
  <c r="AJ256" i="3"/>
  <c r="AI256" i="3"/>
  <c r="AH256" i="3"/>
  <c r="AL255" i="3"/>
  <c r="AK255" i="3"/>
  <c r="AJ255" i="3"/>
  <c r="AI255" i="3"/>
  <c r="AH255" i="3"/>
  <c r="AL254" i="3"/>
  <c r="AK254" i="3"/>
  <c r="AJ254" i="3"/>
  <c r="AI254" i="3"/>
  <c r="AH254" i="3"/>
  <c r="AL253" i="3"/>
  <c r="AK253" i="3"/>
  <c r="AJ253" i="3"/>
  <c r="AI253" i="3"/>
  <c r="AH253" i="3"/>
  <c r="AL252" i="3"/>
  <c r="AK252" i="3"/>
  <c r="AJ252" i="3"/>
  <c r="AI252" i="3"/>
  <c r="AH252" i="3"/>
  <c r="AL251" i="3"/>
  <c r="AK251" i="3"/>
  <c r="AJ251" i="3"/>
  <c r="AI251" i="3"/>
  <c r="AH251" i="3"/>
  <c r="AL250" i="3"/>
  <c r="AK250" i="3"/>
  <c r="AJ250" i="3"/>
  <c r="AI250" i="3"/>
  <c r="AH250" i="3"/>
  <c r="AL249" i="3"/>
  <c r="AK249" i="3"/>
  <c r="AJ249" i="3"/>
  <c r="AI249" i="3"/>
  <c r="AH249" i="3"/>
  <c r="AL248" i="3"/>
  <c r="AK248" i="3"/>
  <c r="AJ248" i="3"/>
  <c r="AI248" i="3"/>
  <c r="AH248" i="3"/>
  <c r="AL247" i="3"/>
  <c r="AK247" i="3"/>
  <c r="AJ247" i="3"/>
  <c r="AI247" i="3"/>
  <c r="AH247" i="3"/>
  <c r="AL246" i="3"/>
  <c r="AK246" i="3"/>
  <c r="AJ246" i="3"/>
  <c r="AI246" i="3"/>
  <c r="AH246" i="3"/>
  <c r="AL245" i="3"/>
  <c r="AK245" i="3"/>
  <c r="AJ245" i="3"/>
  <c r="AI245" i="3"/>
  <c r="AH245" i="3"/>
  <c r="AL244" i="3"/>
  <c r="AK244" i="3"/>
  <c r="AJ244" i="3"/>
  <c r="AI244" i="3"/>
  <c r="AH244" i="3"/>
  <c r="AL243" i="3"/>
  <c r="AK243" i="3"/>
  <c r="AJ243" i="3"/>
  <c r="AI243" i="3"/>
  <c r="AH243" i="3"/>
  <c r="AL242" i="3"/>
  <c r="AK242" i="3"/>
  <c r="AJ242" i="3"/>
  <c r="AI242" i="3"/>
  <c r="AH242" i="3"/>
  <c r="AL241" i="3"/>
  <c r="AK241" i="3"/>
  <c r="AJ241" i="3"/>
  <c r="AI241" i="3"/>
  <c r="AH241" i="3"/>
  <c r="AL240" i="3"/>
  <c r="AK240" i="3"/>
  <c r="AJ240" i="3"/>
  <c r="AI240" i="3"/>
  <c r="AH240" i="3"/>
  <c r="AL239" i="3"/>
  <c r="AK239" i="3"/>
  <c r="AJ239" i="3"/>
  <c r="AI239" i="3"/>
  <c r="AH239" i="3"/>
  <c r="AL238" i="3"/>
  <c r="AK238" i="3"/>
  <c r="AJ238" i="3"/>
  <c r="AI238" i="3"/>
  <c r="AH238" i="3"/>
  <c r="AL237" i="3"/>
  <c r="AK237" i="3"/>
  <c r="AJ237" i="3"/>
  <c r="AI237" i="3"/>
  <c r="AH237" i="3"/>
  <c r="AL236" i="3"/>
  <c r="AK236" i="3"/>
  <c r="AJ236" i="3"/>
  <c r="AI236" i="3"/>
  <c r="AH236" i="3"/>
  <c r="AL235" i="3"/>
  <c r="AK235" i="3"/>
  <c r="AJ235" i="3"/>
  <c r="AI235" i="3"/>
  <c r="AH235" i="3"/>
  <c r="AL234" i="3"/>
  <c r="AK234" i="3"/>
  <c r="AJ234" i="3"/>
  <c r="AI234" i="3"/>
  <c r="AH234" i="3"/>
  <c r="AL233" i="3"/>
  <c r="AK233" i="3"/>
  <c r="AJ233" i="3"/>
  <c r="AI233" i="3"/>
  <c r="AH233" i="3"/>
  <c r="AL232" i="3"/>
  <c r="AK232" i="3"/>
  <c r="AJ232" i="3"/>
  <c r="AI232" i="3"/>
  <c r="AH232" i="3"/>
  <c r="AL231" i="3"/>
  <c r="AK231" i="3"/>
  <c r="AJ231" i="3"/>
  <c r="AI231" i="3"/>
  <c r="AH231" i="3"/>
  <c r="AL230" i="3"/>
  <c r="AK230" i="3"/>
  <c r="AJ230" i="3"/>
  <c r="AI230" i="3"/>
  <c r="AH230" i="3"/>
  <c r="AL229" i="3"/>
  <c r="AK229" i="3"/>
  <c r="AJ229" i="3"/>
  <c r="AI229" i="3"/>
  <c r="AH229" i="3"/>
  <c r="AL228" i="3"/>
  <c r="AK228" i="3"/>
  <c r="AJ228" i="3"/>
  <c r="AI228" i="3"/>
  <c r="AH228" i="3"/>
  <c r="AL227" i="3"/>
  <c r="AK227" i="3"/>
  <c r="AJ227" i="3"/>
  <c r="AI227" i="3"/>
  <c r="AH227" i="3"/>
  <c r="AL226" i="3"/>
  <c r="AK226" i="3"/>
  <c r="AJ226" i="3"/>
  <c r="AI226" i="3"/>
  <c r="AH226" i="3"/>
  <c r="AL225" i="3"/>
  <c r="AK225" i="3"/>
  <c r="AJ225" i="3"/>
  <c r="AI225" i="3"/>
  <c r="AH225" i="3"/>
  <c r="AL224" i="3"/>
  <c r="AK224" i="3"/>
  <c r="AJ224" i="3"/>
  <c r="AI224" i="3"/>
  <c r="AH224" i="3"/>
  <c r="AL223" i="3"/>
  <c r="AK223" i="3"/>
  <c r="AJ223" i="3"/>
  <c r="AI223" i="3"/>
  <c r="AH223" i="3"/>
  <c r="AL222" i="3"/>
  <c r="AK222" i="3"/>
  <c r="AJ222" i="3"/>
  <c r="AI222" i="3"/>
  <c r="AH222" i="3"/>
  <c r="AL221" i="3"/>
  <c r="AK221" i="3"/>
  <c r="AJ221" i="3"/>
  <c r="AI221" i="3"/>
  <c r="AH221" i="3"/>
  <c r="AL220" i="3"/>
  <c r="AK220" i="3"/>
  <c r="AJ220" i="3"/>
  <c r="AI220" i="3"/>
  <c r="AH220" i="3"/>
  <c r="AL219" i="3"/>
  <c r="AK219" i="3"/>
  <c r="AJ219" i="3"/>
  <c r="AI219" i="3"/>
  <c r="AH219" i="3"/>
  <c r="AL218" i="3"/>
  <c r="AK218" i="3"/>
  <c r="AJ218" i="3"/>
  <c r="AI218" i="3"/>
  <c r="AH218" i="3"/>
  <c r="AL217" i="3"/>
  <c r="AK217" i="3"/>
  <c r="AJ217" i="3"/>
  <c r="AI217" i="3"/>
  <c r="AH217" i="3"/>
  <c r="AL216" i="3"/>
  <c r="AK216" i="3"/>
  <c r="AJ216" i="3"/>
  <c r="AI216" i="3"/>
  <c r="AH216" i="3"/>
  <c r="AL215" i="3"/>
  <c r="AK215" i="3"/>
  <c r="AJ215" i="3"/>
  <c r="AI215" i="3"/>
  <c r="AH215" i="3"/>
  <c r="AL214" i="3"/>
  <c r="AK214" i="3"/>
  <c r="AJ214" i="3"/>
  <c r="AI214" i="3"/>
  <c r="AH214" i="3"/>
  <c r="AL213" i="3"/>
  <c r="AK213" i="3"/>
  <c r="AJ213" i="3"/>
  <c r="AI213" i="3"/>
  <c r="AH213" i="3"/>
  <c r="AL212" i="3"/>
  <c r="AK212" i="3"/>
  <c r="AJ212" i="3"/>
  <c r="AI212" i="3"/>
  <c r="AH212" i="3"/>
  <c r="AL211" i="3"/>
  <c r="AK211" i="3"/>
  <c r="AJ211" i="3"/>
  <c r="AI211" i="3"/>
  <c r="AH211" i="3"/>
  <c r="AL210" i="3"/>
  <c r="AK210" i="3"/>
  <c r="AJ210" i="3"/>
  <c r="AI210" i="3"/>
  <c r="AH210" i="3"/>
  <c r="AL209" i="3"/>
  <c r="AK209" i="3"/>
  <c r="AJ209" i="3"/>
  <c r="AI209" i="3"/>
  <c r="AH209" i="3"/>
  <c r="AL208" i="3"/>
  <c r="AK208" i="3"/>
  <c r="AJ208" i="3"/>
  <c r="AI208" i="3"/>
  <c r="AH208" i="3"/>
  <c r="AL207" i="3"/>
  <c r="AK207" i="3"/>
  <c r="AJ207" i="3"/>
  <c r="AI207" i="3"/>
  <c r="AH207" i="3"/>
  <c r="AL206" i="3"/>
  <c r="AK206" i="3"/>
  <c r="AJ206" i="3"/>
  <c r="AI206" i="3"/>
  <c r="AH206" i="3"/>
  <c r="AL205" i="3"/>
  <c r="AK205" i="3"/>
  <c r="AJ205" i="3"/>
  <c r="AI205" i="3"/>
  <c r="AH205" i="3"/>
  <c r="AL204" i="3"/>
  <c r="AK204" i="3"/>
  <c r="AJ204" i="3"/>
  <c r="AI204" i="3"/>
  <c r="AH204" i="3"/>
  <c r="AL203" i="3"/>
  <c r="AK203" i="3"/>
  <c r="AJ203" i="3"/>
  <c r="AI203" i="3"/>
  <c r="AH203" i="3"/>
  <c r="AL202" i="3"/>
  <c r="AK202" i="3"/>
  <c r="AJ202" i="3"/>
  <c r="AI202" i="3"/>
  <c r="AH202" i="3"/>
  <c r="AL201" i="3"/>
  <c r="AK201" i="3"/>
  <c r="AJ201" i="3"/>
  <c r="AI201" i="3"/>
  <c r="AH201" i="3"/>
  <c r="AL200" i="3"/>
  <c r="AK200" i="3"/>
  <c r="AJ200" i="3"/>
  <c r="AI200" i="3"/>
  <c r="AH200" i="3"/>
  <c r="AL199" i="3"/>
  <c r="AK199" i="3"/>
  <c r="AJ199" i="3"/>
  <c r="AI199" i="3"/>
  <c r="AH199" i="3"/>
  <c r="AL198" i="3"/>
  <c r="AK198" i="3"/>
  <c r="AJ198" i="3"/>
  <c r="AI198" i="3"/>
  <c r="AH198" i="3"/>
  <c r="AL197" i="3"/>
  <c r="AK197" i="3"/>
  <c r="AJ197" i="3"/>
  <c r="AI197" i="3"/>
  <c r="AH197" i="3"/>
  <c r="AL196" i="3"/>
  <c r="AK196" i="3"/>
  <c r="AJ196" i="3"/>
  <c r="AI196" i="3"/>
  <c r="AH196" i="3"/>
  <c r="AL195" i="3"/>
  <c r="AK195" i="3"/>
  <c r="AJ195" i="3"/>
  <c r="AI195" i="3"/>
  <c r="AH195" i="3"/>
  <c r="AL194" i="3"/>
  <c r="AK194" i="3"/>
  <c r="AJ194" i="3"/>
  <c r="AI194" i="3"/>
  <c r="AH194" i="3"/>
  <c r="AL193" i="3"/>
  <c r="AK193" i="3"/>
  <c r="AJ193" i="3"/>
  <c r="AI193" i="3"/>
  <c r="AH193" i="3"/>
  <c r="AL192" i="3"/>
  <c r="AK192" i="3"/>
  <c r="AJ192" i="3"/>
  <c r="AI192" i="3"/>
  <c r="AH192" i="3"/>
  <c r="AL191" i="3"/>
  <c r="AK191" i="3"/>
  <c r="AJ191" i="3"/>
  <c r="AI191" i="3"/>
  <c r="AH191" i="3"/>
  <c r="AL190" i="3"/>
  <c r="AK190" i="3"/>
  <c r="AJ190" i="3"/>
  <c r="AI190" i="3"/>
  <c r="AH190" i="3"/>
  <c r="AL189" i="3"/>
  <c r="AK189" i="3"/>
  <c r="AJ189" i="3"/>
  <c r="AI189" i="3"/>
  <c r="AH189" i="3"/>
  <c r="AL188" i="3"/>
  <c r="AK188" i="3"/>
  <c r="AJ188" i="3"/>
  <c r="AI188" i="3"/>
  <c r="AH188" i="3"/>
  <c r="AL187" i="3"/>
  <c r="AK187" i="3"/>
  <c r="AJ187" i="3"/>
  <c r="AI187" i="3"/>
  <c r="AH187" i="3"/>
  <c r="AL186" i="3"/>
  <c r="AK186" i="3"/>
  <c r="AJ186" i="3"/>
  <c r="AI186" i="3"/>
  <c r="AH186" i="3"/>
  <c r="AL185" i="3"/>
  <c r="AK185" i="3"/>
  <c r="AJ185" i="3"/>
  <c r="AI185" i="3"/>
  <c r="AH185" i="3"/>
  <c r="AL184" i="3"/>
  <c r="AK184" i="3"/>
  <c r="AJ184" i="3"/>
  <c r="AI184" i="3"/>
  <c r="AH184" i="3"/>
  <c r="AL183" i="3"/>
  <c r="AK183" i="3"/>
  <c r="AJ183" i="3"/>
  <c r="AI183" i="3"/>
  <c r="AH183" i="3"/>
  <c r="AL182" i="3"/>
  <c r="AK182" i="3"/>
  <c r="AJ182" i="3"/>
  <c r="AI182" i="3"/>
  <c r="AH182" i="3"/>
  <c r="AL181" i="3"/>
  <c r="AK181" i="3"/>
  <c r="AJ181" i="3"/>
  <c r="AI181" i="3"/>
  <c r="AH181" i="3"/>
  <c r="AL180" i="3"/>
  <c r="AK180" i="3"/>
  <c r="AJ180" i="3"/>
  <c r="AI180" i="3"/>
  <c r="AH180" i="3"/>
  <c r="AL179" i="3"/>
  <c r="AK179" i="3"/>
  <c r="AJ179" i="3"/>
  <c r="AI179" i="3"/>
  <c r="AH179" i="3"/>
  <c r="AL178" i="3"/>
  <c r="AK178" i="3"/>
  <c r="AJ178" i="3"/>
  <c r="AI178" i="3"/>
  <c r="AH178" i="3"/>
  <c r="AL177" i="3"/>
  <c r="AK177" i="3"/>
  <c r="AJ177" i="3"/>
  <c r="AI177" i="3"/>
  <c r="AH177" i="3"/>
  <c r="AL176" i="3"/>
  <c r="AK176" i="3"/>
  <c r="AJ176" i="3"/>
  <c r="AI176" i="3"/>
  <c r="AH176" i="3"/>
  <c r="AL175" i="3"/>
  <c r="AK175" i="3"/>
  <c r="AJ175" i="3"/>
  <c r="AI175" i="3"/>
  <c r="AH175" i="3"/>
  <c r="AL174" i="3"/>
  <c r="AK174" i="3"/>
  <c r="AJ174" i="3"/>
  <c r="AI174" i="3"/>
  <c r="AH174" i="3"/>
  <c r="AL173" i="3"/>
  <c r="AK173" i="3"/>
  <c r="AJ173" i="3"/>
  <c r="AI173" i="3"/>
  <c r="AH173" i="3"/>
  <c r="AL172" i="3"/>
  <c r="AK172" i="3"/>
  <c r="AJ172" i="3"/>
  <c r="AI172" i="3"/>
  <c r="AH172" i="3"/>
  <c r="AL171" i="3"/>
  <c r="AK171" i="3"/>
  <c r="AJ171" i="3"/>
  <c r="AI171" i="3"/>
  <c r="AH171" i="3"/>
  <c r="AL170" i="3"/>
  <c r="AK170" i="3"/>
  <c r="AJ170" i="3"/>
  <c r="AI170" i="3"/>
  <c r="AH170" i="3"/>
  <c r="AL169" i="3"/>
  <c r="AK169" i="3"/>
  <c r="AJ169" i="3"/>
  <c r="AI169" i="3"/>
  <c r="AH169" i="3"/>
  <c r="AL168" i="3"/>
  <c r="AK168" i="3"/>
  <c r="AJ168" i="3"/>
  <c r="AI168" i="3"/>
  <c r="AH168" i="3"/>
  <c r="AL167" i="3"/>
  <c r="AK167" i="3"/>
  <c r="AJ167" i="3"/>
  <c r="AI167" i="3"/>
  <c r="AH167" i="3"/>
  <c r="AL166" i="3"/>
  <c r="AK166" i="3"/>
  <c r="AJ166" i="3"/>
  <c r="AI166" i="3"/>
  <c r="AH166" i="3"/>
  <c r="AL165" i="3"/>
  <c r="AK165" i="3"/>
  <c r="AJ165" i="3"/>
  <c r="AI165" i="3"/>
  <c r="AH165" i="3"/>
  <c r="AL164" i="3"/>
  <c r="AK164" i="3"/>
  <c r="AJ164" i="3"/>
  <c r="AI164" i="3"/>
  <c r="AH164" i="3"/>
  <c r="AL163" i="3"/>
  <c r="AK163" i="3"/>
  <c r="AJ163" i="3"/>
  <c r="AI163" i="3"/>
  <c r="AH163" i="3"/>
  <c r="AL162" i="3"/>
  <c r="AK162" i="3"/>
  <c r="AJ162" i="3"/>
  <c r="AI162" i="3"/>
  <c r="AH162" i="3"/>
  <c r="AL161" i="3"/>
  <c r="AK161" i="3"/>
  <c r="AJ161" i="3"/>
  <c r="AI161" i="3"/>
  <c r="AH161" i="3"/>
  <c r="AL160" i="3"/>
  <c r="AK160" i="3"/>
  <c r="AJ160" i="3"/>
  <c r="AI160" i="3"/>
  <c r="AH160" i="3"/>
  <c r="AL159" i="3"/>
  <c r="AK159" i="3"/>
  <c r="AJ159" i="3"/>
  <c r="AI159" i="3"/>
  <c r="AH159" i="3"/>
  <c r="AL158" i="3"/>
  <c r="AK158" i="3"/>
  <c r="AJ158" i="3"/>
  <c r="AI158" i="3"/>
  <c r="AH158" i="3"/>
  <c r="AL157" i="3"/>
  <c r="AK157" i="3"/>
  <c r="AJ157" i="3"/>
  <c r="AI157" i="3"/>
  <c r="AH157" i="3"/>
  <c r="AL156" i="3"/>
  <c r="AK156" i="3"/>
  <c r="AJ156" i="3"/>
  <c r="AI156" i="3"/>
  <c r="AH156" i="3"/>
  <c r="AL155" i="3"/>
  <c r="AK155" i="3"/>
  <c r="AJ155" i="3"/>
  <c r="AI155" i="3"/>
  <c r="AH155" i="3"/>
  <c r="AL154" i="3"/>
  <c r="AK154" i="3"/>
  <c r="AJ154" i="3"/>
  <c r="AI154" i="3"/>
  <c r="AH154" i="3"/>
  <c r="AL153" i="3"/>
  <c r="AK153" i="3"/>
  <c r="AJ153" i="3"/>
  <c r="AI153" i="3"/>
  <c r="AH153" i="3"/>
  <c r="AL152" i="3"/>
  <c r="AK152" i="3"/>
  <c r="AJ152" i="3"/>
  <c r="AI152" i="3"/>
  <c r="AH152" i="3"/>
  <c r="AL151" i="3"/>
  <c r="AK151" i="3"/>
  <c r="AJ151" i="3"/>
  <c r="AI151" i="3"/>
  <c r="AH151" i="3"/>
  <c r="AL150" i="3"/>
  <c r="AK150" i="3"/>
  <c r="AJ150" i="3"/>
  <c r="AI150" i="3"/>
  <c r="AH150" i="3"/>
  <c r="AL149" i="3"/>
  <c r="AK149" i="3"/>
  <c r="AJ149" i="3"/>
  <c r="AI149" i="3"/>
  <c r="AH149" i="3"/>
  <c r="AL148" i="3"/>
  <c r="AK148" i="3"/>
  <c r="AJ148" i="3"/>
  <c r="AI148" i="3"/>
  <c r="AH148" i="3"/>
  <c r="AL147" i="3"/>
  <c r="AK147" i="3"/>
  <c r="AJ147" i="3"/>
  <c r="AI147" i="3"/>
  <c r="AH147" i="3"/>
  <c r="AL146" i="3"/>
  <c r="AK146" i="3"/>
  <c r="AJ146" i="3"/>
  <c r="AI146" i="3"/>
  <c r="AH146" i="3"/>
  <c r="AL145" i="3"/>
  <c r="AK145" i="3"/>
  <c r="AJ145" i="3"/>
  <c r="AI145" i="3"/>
  <c r="AH145" i="3"/>
  <c r="AL144" i="3"/>
  <c r="AK144" i="3"/>
  <c r="AJ144" i="3"/>
  <c r="AI144" i="3"/>
  <c r="AH144" i="3"/>
  <c r="AL143" i="3"/>
  <c r="AK143" i="3"/>
  <c r="AJ143" i="3"/>
  <c r="AI143" i="3"/>
  <c r="AH143" i="3"/>
  <c r="AL142" i="3"/>
  <c r="AK142" i="3"/>
  <c r="AJ142" i="3"/>
  <c r="AI142" i="3"/>
  <c r="AH142" i="3"/>
  <c r="AL141" i="3"/>
  <c r="AK141" i="3"/>
  <c r="AJ141" i="3"/>
  <c r="AI141" i="3"/>
  <c r="AH141" i="3"/>
  <c r="AL140" i="3"/>
  <c r="AK140" i="3"/>
  <c r="AJ140" i="3"/>
  <c r="AI140" i="3"/>
  <c r="AH140" i="3"/>
  <c r="AL139" i="3"/>
  <c r="AK139" i="3"/>
  <c r="AJ139" i="3"/>
  <c r="AI139" i="3"/>
  <c r="AH139" i="3"/>
  <c r="AL138" i="3"/>
  <c r="AK138" i="3"/>
  <c r="AJ138" i="3"/>
  <c r="AI138" i="3"/>
  <c r="AH138" i="3"/>
  <c r="AL137" i="3"/>
  <c r="AK137" i="3"/>
  <c r="AJ137" i="3"/>
  <c r="AI137" i="3"/>
  <c r="AH137" i="3"/>
  <c r="AL136" i="3"/>
  <c r="AK136" i="3"/>
  <c r="AJ136" i="3"/>
  <c r="AI136" i="3"/>
  <c r="AH136" i="3"/>
  <c r="AL135" i="3"/>
  <c r="AK135" i="3"/>
  <c r="AJ135" i="3"/>
  <c r="AI135" i="3"/>
  <c r="AH135" i="3"/>
  <c r="AL134" i="3"/>
  <c r="AK134" i="3"/>
  <c r="AJ134" i="3"/>
  <c r="AI134" i="3"/>
  <c r="AH134" i="3"/>
  <c r="AL133" i="3"/>
  <c r="AK133" i="3"/>
  <c r="AJ133" i="3"/>
  <c r="AI133" i="3"/>
  <c r="AH133" i="3"/>
  <c r="AL132" i="3"/>
  <c r="AK132" i="3"/>
  <c r="AJ132" i="3"/>
  <c r="AI132" i="3"/>
  <c r="AH132" i="3"/>
  <c r="AL131" i="3"/>
  <c r="AK131" i="3"/>
  <c r="AJ131" i="3"/>
  <c r="AI131" i="3"/>
  <c r="AH131" i="3"/>
  <c r="AL130" i="3"/>
  <c r="AK130" i="3"/>
  <c r="AJ130" i="3"/>
  <c r="AI130" i="3"/>
  <c r="AH130" i="3"/>
  <c r="AL129" i="3"/>
  <c r="AK129" i="3"/>
  <c r="AJ129" i="3"/>
  <c r="AI129" i="3"/>
  <c r="AH129" i="3"/>
  <c r="AL128" i="3"/>
  <c r="AK128" i="3"/>
  <c r="AJ128" i="3"/>
  <c r="AI128" i="3"/>
  <c r="AH128" i="3"/>
  <c r="AL127" i="3"/>
  <c r="AK127" i="3"/>
  <c r="AJ127" i="3"/>
  <c r="AI127" i="3"/>
  <c r="AH127" i="3"/>
  <c r="AL126" i="3"/>
  <c r="AK126" i="3"/>
  <c r="AJ126" i="3"/>
  <c r="AI126" i="3"/>
  <c r="AH126" i="3"/>
  <c r="AL125" i="3"/>
  <c r="AK125" i="3"/>
  <c r="AJ125" i="3"/>
  <c r="AI125" i="3"/>
  <c r="AH125" i="3"/>
  <c r="AL124" i="3"/>
  <c r="AK124" i="3"/>
  <c r="AJ124" i="3"/>
  <c r="AI124" i="3"/>
  <c r="AH124" i="3"/>
  <c r="AL123" i="3"/>
  <c r="AK123" i="3"/>
  <c r="AJ123" i="3"/>
  <c r="AI123" i="3"/>
  <c r="AH123" i="3"/>
  <c r="AL122" i="3"/>
  <c r="AK122" i="3"/>
  <c r="AJ122" i="3"/>
  <c r="AI122" i="3"/>
  <c r="AH122" i="3"/>
  <c r="AL121" i="3"/>
  <c r="AK121" i="3"/>
  <c r="AJ121" i="3"/>
  <c r="AI121" i="3"/>
  <c r="AH121" i="3"/>
  <c r="AL120" i="3"/>
  <c r="AK120" i="3"/>
  <c r="AJ120" i="3"/>
  <c r="AI120" i="3"/>
  <c r="AH120" i="3"/>
  <c r="AL119" i="3"/>
  <c r="AK119" i="3"/>
  <c r="AJ119" i="3"/>
  <c r="AI119" i="3"/>
  <c r="AH119" i="3"/>
  <c r="AL118" i="3"/>
  <c r="AK118" i="3"/>
  <c r="AJ118" i="3"/>
  <c r="AI118" i="3"/>
  <c r="AH118" i="3"/>
  <c r="AL117" i="3"/>
  <c r="AK117" i="3"/>
  <c r="AJ117" i="3"/>
  <c r="AI117" i="3"/>
  <c r="AH117" i="3"/>
  <c r="AL116" i="3"/>
  <c r="AK116" i="3"/>
  <c r="AJ116" i="3"/>
  <c r="AI116" i="3"/>
  <c r="AH116" i="3"/>
  <c r="AL115" i="3"/>
  <c r="AK115" i="3"/>
  <c r="AJ115" i="3"/>
  <c r="AI115" i="3"/>
  <c r="AH115" i="3"/>
  <c r="AL114" i="3"/>
  <c r="AK114" i="3"/>
  <c r="AJ114" i="3"/>
  <c r="AI114" i="3"/>
  <c r="AH114" i="3"/>
  <c r="AL113" i="3"/>
  <c r="AK113" i="3"/>
  <c r="AJ113" i="3"/>
  <c r="AI113" i="3"/>
  <c r="AH113" i="3"/>
  <c r="AL112" i="3"/>
  <c r="AK112" i="3"/>
  <c r="AJ112" i="3"/>
  <c r="AI112" i="3"/>
  <c r="AH112" i="3"/>
  <c r="AL111" i="3"/>
  <c r="AK111" i="3"/>
  <c r="AJ111" i="3"/>
  <c r="AI111" i="3"/>
  <c r="AH111" i="3"/>
  <c r="AL110" i="3"/>
  <c r="AK110" i="3"/>
  <c r="AJ110" i="3"/>
  <c r="AI110" i="3"/>
  <c r="AH110" i="3"/>
  <c r="AL109" i="3"/>
  <c r="AK109" i="3"/>
  <c r="AJ109" i="3"/>
  <c r="AI109" i="3"/>
  <c r="AH109" i="3"/>
  <c r="AL108" i="3"/>
  <c r="AK108" i="3"/>
  <c r="AJ108" i="3"/>
  <c r="AI108" i="3"/>
  <c r="AH108" i="3"/>
  <c r="AL107" i="3"/>
  <c r="AK107" i="3"/>
  <c r="AJ107" i="3"/>
  <c r="AI107" i="3"/>
  <c r="AH107" i="3"/>
  <c r="AL106" i="3"/>
  <c r="AK106" i="3"/>
  <c r="AJ106" i="3"/>
  <c r="AI106" i="3"/>
  <c r="AH106" i="3"/>
  <c r="AL105" i="3"/>
  <c r="AK105" i="3"/>
  <c r="AJ105" i="3"/>
  <c r="AI105" i="3"/>
  <c r="AH105" i="3"/>
  <c r="AL104" i="3"/>
  <c r="AK104" i="3"/>
  <c r="AJ104" i="3"/>
  <c r="AI104" i="3"/>
  <c r="AH104" i="3"/>
  <c r="AL103" i="3"/>
  <c r="AK103" i="3"/>
  <c r="AJ103" i="3"/>
  <c r="AI103" i="3"/>
  <c r="AH103" i="3"/>
  <c r="AL102" i="3"/>
  <c r="AK102" i="3"/>
  <c r="AJ102" i="3"/>
  <c r="AI102" i="3"/>
  <c r="AH102" i="3"/>
  <c r="AL101" i="3"/>
  <c r="AK101" i="3"/>
  <c r="AJ101" i="3"/>
  <c r="AI101" i="3"/>
  <c r="AH101" i="3"/>
  <c r="AL100" i="3"/>
  <c r="AK100" i="3"/>
  <c r="AJ100" i="3"/>
  <c r="AI100" i="3"/>
  <c r="AH100" i="3"/>
  <c r="AL99" i="3"/>
  <c r="AK99" i="3"/>
  <c r="AJ99" i="3"/>
  <c r="AI99" i="3"/>
  <c r="AH99" i="3"/>
  <c r="AL98" i="3"/>
  <c r="AK98" i="3"/>
  <c r="AJ98" i="3"/>
  <c r="AI98" i="3"/>
  <c r="AH98" i="3"/>
  <c r="AL97" i="3"/>
  <c r="AK97" i="3"/>
  <c r="AJ97" i="3"/>
  <c r="AI97" i="3"/>
  <c r="AH97" i="3"/>
  <c r="AL96" i="3"/>
  <c r="AK96" i="3"/>
  <c r="AJ96" i="3"/>
  <c r="AI96" i="3"/>
  <c r="AH96" i="3"/>
  <c r="AL95" i="3"/>
  <c r="AK95" i="3"/>
  <c r="AJ95" i="3"/>
  <c r="AI95" i="3"/>
  <c r="AH95" i="3"/>
  <c r="AL94" i="3"/>
  <c r="AK94" i="3"/>
  <c r="AJ94" i="3"/>
  <c r="AI94" i="3"/>
  <c r="AH94" i="3"/>
  <c r="AL93" i="3"/>
  <c r="AK93" i="3"/>
  <c r="AJ93" i="3"/>
  <c r="AI93" i="3"/>
  <c r="AH93" i="3"/>
  <c r="AL92" i="3"/>
  <c r="AK92" i="3"/>
  <c r="AJ92" i="3"/>
  <c r="AI92" i="3"/>
  <c r="AH92" i="3"/>
  <c r="AL91" i="3"/>
  <c r="AK91" i="3"/>
  <c r="AJ91" i="3"/>
  <c r="AI91" i="3"/>
  <c r="AH91" i="3"/>
  <c r="AL90" i="3"/>
  <c r="AK90" i="3"/>
  <c r="AJ90" i="3"/>
  <c r="AI90" i="3"/>
  <c r="AH90" i="3"/>
  <c r="AL89" i="3"/>
  <c r="AK89" i="3"/>
  <c r="AJ89" i="3"/>
  <c r="AI89" i="3"/>
  <c r="AH89" i="3"/>
  <c r="AL88" i="3"/>
  <c r="AK88" i="3"/>
  <c r="AJ88" i="3"/>
  <c r="AI88" i="3"/>
  <c r="AH88" i="3"/>
  <c r="AL87" i="3"/>
  <c r="AK87" i="3"/>
  <c r="AJ87" i="3"/>
  <c r="AI87" i="3"/>
  <c r="AH87" i="3"/>
  <c r="AL86" i="3"/>
  <c r="AK86" i="3"/>
  <c r="AJ86" i="3"/>
  <c r="AI86" i="3"/>
  <c r="AH86" i="3"/>
  <c r="AL85" i="3"/>
  <c r="AK85" i="3"/>
  <c r="AJ85" i="3"/>
  <c r="AI85" i="3"/>
  <c r="AH85" i="3"/>
  <c r="AL84" i="3"/>
  <c r="AK84" i="3"/>
  <c r="AJ84" i="3"/>
  <c r="AI84" i="3"/>
  <c r="AH84" i="3"/>
  <c r="AL83" i="3"/>
  <c r="AK83" i="3"/>
  <c r="AJ83" i="3"/>
  <c r="AI83" i="3"/>
  <c r="AH83" i="3"/>
  <c r="AL82" i="3"/>
  <c r="AK82" i="3"/>
  <c r="AJ82" i="3"/>
  <c r="AI82" i="3"/>
  <c r="AH82" i="3"/>
  <c r="AL81" i="3"/>
  <c r="AK81" i="3"/>
  <c r="AJ81" i="3"/>
  <c r="AI81" i="3"/>
  <c r="AH81" i="3"/>
  <c r="AL80" i="3"/>
  <c r="AK80" i="3"/>
  <c r="AJ80" i="3"/>
  <c r="AI80" i="3"/>
  <c r="AH80" i="3"/>
  <c r="AL79" i="3"/>
  <c r="AK79" i="3"/>
  <c r="AJ79" i="3"/>
  <c r="AI79" i="3"/>
  <c r="AH79" i="3"/>
  <c r="AL78" i="3"/>
  <c r="AK78" i="3"/>
  <c r="AJ78" i="3"/>
  <c r="AI78" i="3"/>
  <c r="AH78" i="3"/>
  <c r="AL77" i="3"/>
  <c r="AK77" i="3"/>
  <c r="AJ77" i="3"/>
  <c r="AI77" i="3"/>
  <c r="AH77" i="3"/>
  <c r="AL76" i="3"/>
  <c r="AK76" i="3"/>
  <c r="AJ76" i="3"/>
  <c r="AI76" i="3"/>
  <c r="AH76" i="3"/>
  <c r="AL75" i="3"/>
  <c r="AK75" i="3"/>
  <c r="AJ75" i="3"/>
  <c r="AI75" i="3"/>
  <c r="AH75" i="3"/>
  <c r="AL74" i="3"/>
  <c r="AK74" i="3"/>
  <c r="AJ74" i="3"/>
  <c r="AI74" i="3"/>
  <c r="AH74" i="3"/>
  <c r="AL73" i="3"/>
  <c r="AK73" i="3"/>
  <c r="AJ73" i="3"/>
  <c r="AI73" i="3"/>
  <c r="AH73" i="3"/>
  <c r="AL72" i="3"/>
  <c r="AK72" i="3"/>
  <c r="AJ72" i="3"/>
  <c r="AI72" i="3"/>
  <c r="AH72" i="3"/>
  <c r="AL71" i="3"/>
  <c r="AK71" i="3"/>
  <c r="AJ71" i="3"/>
  <c r="AI71" i="3"/>
  <c r="AH71" i="3"/>
  <c r="AL70" i="3"/>
  <c r="AK70" i="3"/>
  <c r="AJ70" i="3"/>
  <c r="AI70" i="3"/>
  <c r="AH70" i="3"/>
  <c r="AL69" i="3"/>
  <c r="AK69" i="3"/>
  <c r="AJ69" i="3"/>
  <c r="AI69" i="3"/>
  <c r="AH69" i="3"/>
  <c r="AL68" i="3"/>
  <c r="AK68" i="3"/>
  <c r="AJ68" i="3"/>
  <c r="AI68" i="3"/>
  <c r="AH68" i="3"/>
  <c r="AL67" i="3"/>
  <c r="AK67" i="3"/>
  <c r="AJ67" i="3"/>
  <c r="AI67" i="3"/>
  <c r="AH67" i="3"/>
  <c r="AL66" i="3"/>
  <c r="AK66" i="3"/>
  <c r="AJ66" i="3"/>
  <c r="AI66" i="3"/>
  <c r="AH66" i="3"/>
  <c r="AL65" i="3"/>
  <c r="AK65" i="3"/>
  <c r="AJ65" i="3"/>
  <c r="AI65" i="3"/>
  <c r="AH65" i="3"/>
  <c r="AL64" i="3"/>
  <c r="AK64" i="3"/>
  <c r="AJ64" i="3"/>
  <c r="AI64" i="3"/>
  <c r="AH64" i="3"/>
  <c r="AL63" i="3"/>
  <c r="AK63" i="3"/>
  <c r="AJ63" i="3"/>
  <c r="AI63" i="3"/>
  <c r="AH63" i="3"/>
  <c r="AL62" i="3"/>
  <c r="AK62" i="3"/>
  <c r="AJ62" i="3"/>
  <c r="AI62" i="3"/>
  <c r="AH62" i="3"/>
  <c r="AL61" i="3"/>
  <c r="AK61" i="3"/>
  <c r="AJ61" i="3"/>
  <c r="AI61" i="3"/>
  <c r="AH61" i="3"/>
  <c r="AL60" i="3"/>
  <c r="AK60" i="3"/>
  <c r="AJ60" i="3"/>
  <c r="AI60" i="3"/>
  <c r="AH60" i="3"/>
  <c r="AL59" i="3"/>
  <c r="AK59" i="3"/>
  <c r="AJ59" i="3"/>
  <c r="AI59" i="3"/>
  <c r="AH59" i="3"/>
  <c r="AL58" i="3"/>
  <c r="AK58" i="3"/>
  <c r="AJ58" i="3"/>
  <c r="AI58" i="3"/>
  <c r="AH58" i="3"/>
  <c r="AL57" i="3"/>
  <c r="AK57" i="3"/>
  <c r="AJ57" i="3"/>
  <c r="AI57" i="3"/>
  <c r="AH57" i="3"/>
  <c r="AL56" i="3"/>
  <c r="AK56" i="3"/>
  <c r="AJ56" i="3"/>
  <c r="AI56" i="3"/>
  <c r="AH56" i="3"/>
  <c r="AL55" i="3"/>
  <c r="AK55" i="3"/>
  <c r="AJ55" i="3"/>
  <c r="AI55" i="3"/>
  <c r="AH55" i="3"/>
  <c r="AL54" i="3"/>
  <c r="AK54" i="3"/>
  <c r="AJ54" i="3"/>
  <c r="AI54" i="3"/>
  <c r="AH54" i="3"/>
  <c r="AL53" i="3"/>
  <c r="AK53" i="3"/>
  <c r="AJ53" i="3"/>
  <c r="AI53" i="3"/>
  <c r="AH53" i="3"/>
  <c r="AL52" i="3"/>
  <c r="AK52" i="3"/>
  <c r="AJ52" i="3"/>
  <c r="AI52" i="3"/>
  <c r="AH52" i="3"/>
  <c r="AL51" i="3"/>
  <c r="AK51" i="3"/>
  <c r="AJ51" i="3"/>
  <c r="AI51" i="3"/>
  <c r="AH51" i="3"/>
  <c r="AL50" i="3"/>
  <c r="AK50" i="3"/>
  <c r="AJ50" i="3"/>
  <c r="AI50" i="3"/>
  <c r="AH50" i="3"/>
  <c r="AL49" i="3"/>
  <c r="AK49" i="3"/>
  <c r="AJ49" i="3"/>
  <c r="AI49" i="3"/>
  <c r="AH49" i="3"/>
  <c r="AL48" i="3"/>
  <c r="AK48" i="3"/>
  <c r="AJ48" i="3"/>
  <c r="AI48" i="3"/>
  <c r="AH48" i="3"/>
  <c r="AL47" i="3"/>
  <c r="AK47" i="3"/>
  <c r="AJ47" i="3"/>
  <c r="AI47" i="3"/>
  <c r="AH47" i="3"/>
  <c r="AL46" i="3"/>
  <c r="AK46" i="3"/>
  <c r="AJ46" i="3"/>
  <c r="AI46" i="3"/>
  <c r="AH46" i="3"/>
  <c r="AL45" i="3"/>
  <c r="AK45" i="3"/>
  <c r="AJ45" i="3"/>
  <c r="AI45" i="3"/>
  <c r="AH45" i="3"/>
  <c r="AL44" i="3"/>
  <c r="AK44" i="3"/>
  <c r="AJ44" i="3"/>
  <c r="AI44" i="3"/>
  <c r="AH44" i="3"/>
  <c r="AL43" i="3"/>
  <c r="AK43" i="3"/>
  <c r="AJ43" i="3"/>
  <c r="AI43" i="3"/>
  <c r="AH43" i="3"/>
  <c r="AL42" i="3"/>
  <c r="AK42" i="3"/>
  <c r="AJ42" i="3"/>
  <c r="AI42" i="3"/>
  <c r="AH42" i="3"/>
  <c r="AL41" i="3"/>
  <c r="AK41" i="3"/>
  <c r="AJ41" i="3"/>
  <c r="AI41" i="3"/>
  <c r="AH41" i="3"/>
  <c r="AL40" i="3"/>
  <c r="AK40" i="3"/>
  <c r="AJ40" i="3"/>
  <c r="AI40" i="3"/>
  <c r="AH40" i="3"/>
  <c r="AL39" i="3"/>
  <c r="AK39" i="3"/>
  <c r="AJ39" i="3"/>
  <c r="AI39" i="3"/>
  <c r="AH39" i="3"/>
  <c r="AL38" i="3"/>
  <c r="AK38" i="3"/>
  <c r="AJ38" i="3"/>
  <c r="AI38" i="3"/>
  <c r="AH38" i="3"/>
  <c r="AL37" i="3"/>
  <c r="AK37" i="3"/>
  <c r="AJ37" i="3"/>
  <c r="AI37" i="3"/>
  <c r="AH37" i="3"/>
  <c r="AL36" i="3"/>
  <c r="AK36" i="3"/>
  <c r="AJ36" i="3"/>
  <c r="AI36" i="3"/>
  <c r="AH36" i="3"/>
  <c r="AL35" i="3"/>
  <c r="AK35" i="3"/>
  <c r="AJ35" i="3"/>
  <c r="AI35" i="3"/>
  <c r="AH35" i="3"/>
  <c r="AL34" i="3"/>
  <c r="AK34" i="3"/>
  <c r="AJ34" i="3"/>
  <c r="AI34" i="3"/>
  <c r="AH34" i="3"/>
  <c r="AL33" i="3"/>
  <c r="AK33" i="3"/>
  <c r="AJ33" i="3"/>
  <c r="AI33" i="3"/>
  <c r="AH33" i="3"/>
  <c r="AL32" i="3"/>
  <c r="AK32" i="3"/>
  <c r="AJ32" i="3"/>
  <c r="AI32" i="3"/>
  <c r="AH32" i="3"/>
  <c r="AL31" i="3"/>
  <c r="AK31" i="3"/>
  <c r="AJ31" i="3"/>
  <c r="AI31" i="3"/>
  <c r="AH31" i="3"/>
  <c r="AL30" i="3"/>
  <c r="AK30" i="3"/>
  <c r="AJ30" i="3"/>
  <c r="AI30" i="3"/>
  <c r="AH30" i="3"/>
  <c r="AL29" i="3"/>
  <c r="AK29" i="3"/>
  <c r="AJ29" i="3"/>
  <c r="AI29" i="3"/>
  <c r="AH29" i="3"/>
  <c r="AL28" i="3"/>
  <c r="AK28" i="3"/>
  <c r="AJ28" i="3"/>
  <c r="AI28" i="3"/>
  <c r="AH28" i="3"/>
  <c r="AL27" i="3"/>
  <c r="AK27" i="3"/>
  <c r="AJ27" i="3"/>
  <c r="AI27" i="3"/>
  <c r="AH27" i="3"/>
  <c r="AL26" i="3"/>
  <c r="AK26" i="3"/>
  <c r="AJ26" i="3"/>
  <c r="AI26" i="3"/>
  <c r="AH26" i="3"/>
  <c r="AL25" i="3"/>
  <c r="AK25" i="3"/>
  <c r="AJ25" i="3"/>
  <c r="AI25" i="3"/>
  <c r="AH25" i="3"/>
  <c r="AL24" i="3"/>
  <c r="AK24" i="3"/>
  <c r="AJ24" i="3"/>
  <c r="AI24" i="3"/>
  <c r="AH24" i="3"/>
  <c r="AL23" i="3"/>
  <c r="AK23" i="3"/>
  <c r="AJ23" i="3"/>
  <c r="AI23" i="3"/>
  <c r="AH23" i="3"/>
  <c r="AL22" i="3"/>
  <c r="AK22" i="3"/>
  <c r="AJ22" i="3"/>
  <c r="AI22" i="3"/>
  <c r="AH22" i="3"/>
  <c r="AL21" i="3"/>
  <c r="AK21" i="3"/>
  <c r="AJ21" i="3"/>
  <c r="AI21" i="3"/>
  <c r="AH21" i="3"/>
  <c r="AL20" i="3"/>
  <c r="AK20" i="3"/>
  <c r="AJ20" i="3"/>
  <c r="AI20" i="3"/>
  <c r="AH20" i="3"/>
  <c r="AL19" i="3"/>
  <c r="AK19" i="3"/>
  <c r="AJ19" i="3"/>
  <c r="AI19" i="3"/>
  <c r="AH19" i="3"/>
  <c r="AL18" i="3"/>
  <c r="AK18" i="3"/>
  <c r="AJ18" i="3"/>
  <c r="AI18" i="3"/>
  <c r="AH18" i="3"/>
  <c r="AL17" i="3"/>
  <c r="AK17" i="3"/>
  <c r="AJ17" i="3"/>
  <c r="AI17" i="3"/>
  <c r="AH17" i="3"/>
  <c r="AL16" i="3"/>
  <c r="AK16" i="3"/>
  <c r="AJ16" i="3"/>
  <c r="AI16" i="3"/>
  <c r="AH16" i="3"/>
  <c r="AL15" i="3"/>
  <c r="AK15" i="3"/>
  <c r="AJ15" i="3"/>
  <c r="AI15" i="3"/>
  <c r="AH15" i="3"/>
  <c r="AL14" i="3"/>
  <c r="AK14" i="3"/>
  <c r="AJ14" i="3"/>
  <c r="AI14" i="3"/>
  <c r="AH14" i="3"/>
  <c r="AL13" i="3"/>
  <c r="AK13" i="3"/>
  <c r="AJ13" i="3"/>
  <c r="AI13" i="3"/>
  <c r="AH13" i="3"/>
  <c r="AL12" i="3"/>
  <c r="AK12" i="3"/>
  <c r="AJ12" i="3"/>
  <c r="AI12" i="3"/>
  <c r="AH12" i="3"/>
  <c r="AL11" i="3"/>
  <c r="AK11" i="3"/>
  <c r="AJ11" i="3"/>
  <c r="AI11" i="3"/>
  <c r="AH11" i="3"/>
  <c r="AL10" i="3"/>
  <c r="AK10" i="3"/>
  <c r="AJ10" i="3"/>
  <c r="AI10" i="3"/>
  <c r="AH10" i="3"/>
  <c r="AL9" i="3"/>
  <c r="AK9" i="3"/>
  <c r="AJ9" i="3"/>
  <c r="AI9" i="3"/>
  <c r="AH9" i="3"/>
  <c r="AL8" i="3"/>
  <c r="AK8" i="3"/>
  <c r="AJ8" i="3"/>
  <c r="AI8" i="3"/>
  <c r="AH8" i="3"/>
  <c r="AL7" i="3"/>
  <c r="AK7" i="3"/>
  <c r="AJ7" i="3"/>
  <c r="AI7" i="3"/>
  <c r="AH7" i="3"/>
  <c r="AL6" i="3"/>
  <c r="AK6" i="3"/>
  <c r="AJ6" i="3"/>
  <c r="AI6" i="3"/>
  <c r="AH6" i="3"/>
  <c r="AL5" i="3"/>
  <c r="AK5" i="3"/>
  <c r="AJ5" i="3"/>
  <c r="AI5" i="3"/>
  <c r="AH5" i="3"/>
  <c r="AL4" i="3"/>
  <c r="AK4" i="3"/>
  <c r="AJ4" i="3"/>
  <c r="AI4" i="3"/>
  <c r="AH4" i="3"/>
  <c r="AL3" i="3"/>
  <c r="AK3" i="3"/>
  <c r="AJ3" i="3"/>
  <c r="AI3" i="3"/>
  <c r="AH3" i="3"/>
  <c r="AK2" i="3"/>
  <c r="AJ2" i="3"/>
  <c r="AI2" i="3"/>
  <c r="AH2" i="3"/>
  <c r="AE4" i="1"/>
  <c r="AF4" i="1"/>
  <c r="AG4" i="1"/>
  <c r="AH4" i="1"/>
  <c r="AI4" i="1"/>
  <c r="AE5" i="1"/>
  <c r="AF5" i="1"/>
  <c r="AG5" i="1"/>
  <c r="AH5" i="1"/>
  <c r="AI5" i="1"/>
  <c r="AE6" i="1"/>
  <c r="AF6" i="1"/>
  <c r="AG6" i="1"/>
  <c r="AH6" i="1"/>
  <c r="AI6" i="1"/>
  <c r="AE7" i="1"/>
  <c r="AF7" i="1"/>
  <c r="AG7" i="1"/>
  <c r="AH7" i="1"/>
  <c r="AI7" i="1"/>
  <c r="AE8" i="1"/>
  <c r="AF8" i="1"/>
  <c r="AG8" i="1"/>
  <c r="AH8" i="1"/>
  <c r="AI8" i="1"/>
  <c r="AE9" i="1"/>
  <c r="AF9" i="1"/>
  <c r="AG9" i="1"/>
  <c r="AH9" i="1"/>
  <c r="AI9" i="1"/>
  <c r="AE10" i="1"/>
  <c r="AF10" i="1"/>
  <c r="AG10" i="1"/>
  <c r="AH10" i="1"/>
  <c r="AI10" i="1"/>
  <c r="AE11" i="1"/>
  <c r="AF11" i="1"/>
  <c r="AG11" i="1"/>
  <c r="AH11" i="1"/>
  <c r="AI11" i="1"/>
  <c r="AE12" i="1"/>
  <c r="AF12" i="1"/>
  <c r="AG12" i="1"/>
  <c r="AH12" i="1"/>
  <c r="AI12" i="1"/>
  <c r="AE13" i="1"/>
  <c r="AF13" i="1"/>
  <c r="AG13" i="1"/>
  <c r="AH13" i="1"/>
  <c r="AI13" i="1"/>
  <c r="AE14" i="1"/>
  <c r="AF14" i="1"/>
  <c r="AG14" i="1"/>
  <c r="AH14" i="1"/>
  <c r="AI14" i="1"/>
  <c r="AE15" i="1"/>
  <c r="AF15" i="1"/>
  <c r="AG15" i="1"/>
  <c r="AH15" i="1"/>
  <c r="AI15" i="1"/>
  <c r="AE16" i="1"/>
  <c r="AF16" i="1"/>
  <c r="AG16" i="1"/>
  <c r="AH16" i="1"/>
  <c r="AI16" i="1"/>
  <c r="AE17" i="1"/>
  <c r="AF17" i="1"/>
  <c r="AG17" i="1"/>
  <c r="AH17" i="1"/>
  <c r="AI17" i="1"/>
  <c r="AE18" i="1"/>
  <c r="AF18" i="1"/>
  <c r="AG18" i="1"/>
  <c r="AH18" i="1"/>
  <c r="AI18" i="1"/>
  <c r="AE19" i="1"/>
  <c r="AF19" i="1"/>
  <c r="AG19" i="1"/>
  <c r="AH19" i="1"/>
  <c r="AI19" i="1"/>
  <c r="AE20" i="1"/>
  <c r="AF20" i="1"/>
  <c r="AG20" i="1"/>
  <c r="AH20" i="1"/>
  <c r="AI20" i="1"/>
  <c r="AE21" i="1"/>
  <c r="AF21" i="1"/>
  <c r="AG21" i="1"/>
  <c r="AH21" i="1"/>
  <c r="AI21" i="1"/>
  <c r="AE22" i="1"/>
  <c r="AF22" i="1"/>
  <c r="AG22" i="1"/>
  <c r="AH22" i="1"/>
  <c r="AI22" i="1"/>
  <c r="AE23" i="1"/>
  <c r="AF23" i="1"/>
  <c r="AG23" i="1"/>
  <c r="AH23" i="1"/>
  <c r="AI23" i="1"/>
  <c r="AE24" i="1"/>
  <c r="AF24" i="1"/>
  <c r="AG24" i="1"/>
  <c r="AH24" i="1"/>
  <c r="AI24" i="1"/>
  <c r="AE25" i="1"/>
  <c r="AF25" i="1"/>
  <c r="AG25" i="1"/>
  <c r="AH25" i="1"/>
  <c r="AI25" i="1"/>
  <c r="AE26" i="1"/>
  <c r="AF26" i="1"/>
  <c r="AG26" i="1"/>
  <c r="AH26" i="1"/>
  <c r="AI26" i="1"/>
  <c r="AE27" i="1"/>
  <c r="AF27" i="1"/>
  <c r="AG27" i="1"/>
  <c r="AH27" i="1"/>
  <c r="AI27" i="1"/>
  <c r="AE28" i="1"/>
  <c r="AF28" i="1"/>
  <c r="AG28" i="1"/>
  <c r="AH28" i="1"/>
  <c r="AI28" i="1"/>
  <c r="AE29" i="1"/>
  <c r="AF29" i="1"/>
  <c r="AG29" i="1"/>
  <c r="AH29" i="1"/>
  <c r="AI29" i="1"/>
  <c r="AE30" i="1"/>
  <c r="AF30" i="1"/>
  <c r="AG30" i="1"/>
  <c r="AH30" i="1"/>
  <c r="AI30" i="1"/>
  <c r="AE31" i="1"/>
  <c r="AF31" i="1"/>
  <c r="AG31" i="1"/>
  <c r="AH31" i="1"/>
  <c r="AI31" i="1"/>
  <c r="AE32" i="1"/>
  <c r="AF32" i="1"/>
  <c r="AG32" i="1"/>
  <c r="AH32" i="1"/>
  <c r="AI32" i="1"/>
  <c r="AE33" i="1"/>
  <c r="AF33" i="1"/>
  <c r="AG33" i="1"/>
  <c r="AH33" i="1"/>
  <c r="AI33" i="1"/>
  <c r="AE34" i="1"/>
  <c r="AF34" i="1"/>
  <c r="AG34" i="1"/>
  <c r="AH34" i="1"/>
  <c r="AI34" i="1"/>
  <c r="AE35" i="1"/>
  <c r="AF35" i="1"/>
  <c r="AG35" i="1"/>
  <c r="AH35" i="1"/>
  <c r="AI35" i="1"/>
  <c r="AE36" i="1"/>
  <c r="AF36" i="1"/>
  <c r="AG36" i="1"/>
  <c r="AH36" i="1"/>
  <c r="AI36" i="1"/>
  <c r="AE37" i="1"/>
  <c r="AF37" i="1"/>
  <c r="AG37" i="1"/>
  <c r="AH37" i="1"/>
  <c r="AI37" i="1"/>
  <c r="AE38" i="1"/>
  <c r="AF38" i="1"/>
  <c r="AG38" i="1"/>
  <c r="AH38" i="1"/>
  <c r="AI38" i="1"/>
  <c r="AE39" i="1"/>
  <c r="AF39" i="1"/>
  <c r="AG39" i="1"/>
  <c r="AH39" i="1"/>
  <c r="AI39" i="1"/>
  <c r="AE40" i="1"/>
  <c r="AF40" i="1"/>
  <c r="AG40" i="1"/>
  <c r="AH40" i="1"/>
  <c r="AI40" i="1"/>
  <c r="AE41" i="1"/>
  <c r="AF41" i="1"/>
  <c r="AG41" i="1"/>
  <c r="AH41" i="1"/>
  <c r="AI41" i="1"/>
  <c r="AE42" i="1"/>
  <c r="AF42" i="1"/>
  <c r="AG42" i="1"/>
  <c r="AH42" i="1"/>
  <c r="AI42" i="1"/>
  <c r="AE43" i="1"/>
  <c r="AF43" i="1"/>
  <c r="AG43" i="1"/>
  <c r="AH43" i="1"/>
  <c r="AI43" i="1"/>
  <c r="AE44" i="1"/>
  <c r="AF44" i="1"/>
  <c r="AG44" i="1"/>
  <c r="AH44" i="1"/>
  <c r="AI44" i="1"/>
  <c r="AE45" i="1"/>
  <c r="AF45" i="1"/>
  <c r="AG45" i="1"/>
  <c r="AH45" i="1"/>
  <c r="AI45" i="1"/>
  <c r="AE46" i="1"/>
  <c r="AF46" i="1"/>
  <c r="AG46" i="1"/>
  <c r="AH46" i="1"/>
  <c r="AI46" i="1"/>
  <c r="AE47" i="1"/>
  <c r="AF47" i="1"/>
  <c r="AG47" i="1"/>
  <c r="AH47" i="1"/>
  <c r="AI47" i="1"/>
  <c r="AE48" i="1"/>
  <c r="AF48" i="1"/>
  <c r="AG48" i="1"/>
  <c r="AH48" i="1"/>
  <c r="AI48" i="1"/>
  <c r="AE49" i="1"/>
  <c r="AF49" i="1"/>
  <c r="AG49" i="1"/>
  <c r="AH49" i="1"/>
  <c r="AI49" i="1"/>
  <c r="AE50" i="1"/>
  <c r="AF50" i="1"/>
  <c r="AG50" i="1"/>
  <c r="AH50" i="1"/>
  <c r="AI50" i="1"/>
  <c r="AE51" i="1"/>
  <c r="AF51" i="1"/>
  <c r="AG51" i="1"/>
  <c r="AH51" i="1"/>
  <c r="AI51" i="1"/>
  <c r="AE52" i="1"/>
  <c r="AF52" i="1"/>
  <c r="AG52" i="1"/>
  <c r="AH52" i="1"/>
  <c r="AI52" i="1"/>
  <c r="AE53" i="1"/>
  <c r="AF53" i="1"/>
  <c r="AG53" i="1"/>
  <c r="AH53" i="1"/>
  <c r="AI53" i="1"/>
  <c r="AE54" i="1"/>
  <c r="AF54" i="1"/>
  <c r="AG54" i="1"/>
  <c r="AH54" i="1"/>
  <c r="AI54" i="1"/>
  <c r="AE55" i="1"/>
  <c r="AF55" i="1"/>
  <c r="AG55" i="1"/>
  <c r="AH55" i="1"/>
  <c r="AI55" i="1"/>
  <c r="AE56" i="1"/>
  <c r="AF56" i="1"/>
  <c r="AG56" i="1"/>
  <c r="AH56" i="1"/>
  <c r="AI56" i="1"/>
  <c r="AE57" i="1"/>
  <c r="AF57" i="1"/>
  <c r="AG57" i="1"/>
  <c r="AH57" i="1"/>
  <c r="AI57" i="1"/>
  <c r="AE58" i="1"/>
  <c r="AF58" i="1"/>
  <c r="AG58" i="1"/>
  <c r="AH58" i="1"/>
  <c r="AI58" i="1"/>
  <c r="AE59" i="1"/>
  <c r="AF59" i="1"/>
  <c r="AG59" i="1"/>
  <c r="AH59" i="1"/>
  <c r="AI59" i="1"/>
  <c r="AE60" i="1"/>
  <c r="AF60" i="1"/>
  <c r="AG60" i="1"/>
  <c r="AH60" i="1"/>
  <c r="AI60" i="1"/>
  <c r="AE61" i="1"/>
  <c r="AF61" i="1"/>
  <c r="AG61" i="1"/>
  <c r="AH61" i="1"/>
  <c r="AI61" i="1"/>
  <c r="AE62" i="1"/>
  <c r="AF62" i="1"/>
  <c r="AG62" i="1"/>
  <c r="AH62" i="1"/>
  <c r="AI62" i="1"/>
  <c r="AE63" i="1"/>
  <c r="AF63" i="1"/>
  <c r="AG63" i="1"/>
  <c r="AH63" i="1"/>
  <c r="AI63" i="1"/>
  <c r="AE64" i="1"/>
  <c r="AF64" i="1"/>
  <c r="AG64" i="1"/>
  <c r="AH64" i="1"/>
  <c r="AI64" i="1"/>
  <c r="AE65" i="1"/>
  <c r="AF65" i="1"/>
  <c r="AG65" i="1"/>
  <c r="AH65" i="1"/>
  <c r="AI65" i="1"/>
  <c r="AE66" i="1"/>
  <c r="AF66" i="1"/>
  <c r="AG66" i="1"/>
  <c r="AH66" i="1"/>
  <c r="AI66" i="1"/>
  <c r="AE67" i="1"/>
  <c r="AF67" i="1"/>
  <c r="AG67" i="1"/>
  <c r="AH67" i="1"/>
  <c r="AI67" i="1"/>
  <c r="AE68" i="1"/>
  <c r="AF68" i="1"/>
  <c r="AG68" i="1"/>
  <c r="AH68" i="1"/>
  <c r="AI68" i="1"/>
  <c r="AE69" i="1"/>
  <c r="AF69" i="1"/>
  <c r="AG69" i="1"/>
  <c r="AH69" i="1"/>
  <c r="AI69" i="1"/>
  <c r="AE70" i="1"/>
  <c r="AF70" i="1"/>
  <c r="AG70" i="1"/>
  <c r="AH70" i="1"/>
  <c r="AI70" i="1"/>
  <c r="AE71" i="1"/>
  <c r="AF71" i="1"/>
  <c r="AG71" i="1"/>
  <c r="AH71" i="1"/>
  <c r="AI71" i="1"/>
  <c r="AE72" i="1"/>
  <c r="AF72" i="1"/>
  <c r="AG72" i="1"/>
  <c r="AH72" i="1"/>
  <c r="AI72" i="1"/>
  <c r="AE73" i="1"/>
  <c r="AF73" i="1"/>
  <c r="AG73" i="1"/>
  <c r="AH73" i="1"/>
  <c r="AI73" i="1"/>
  <c r="AE74" i="1"/>
  <c r="AF74" i="1"/>
  <c r="AG74" i="1"/>
  <c r="AH74" i="1"/>
  <c r="AI74" i="1"/>
  <c r="AE75" i="1"/>
  <c r="AF75" i="1"/>
  <c r="AG75" i="1"/>
  <c r="AH75" i="1"/>
  <c r="AI75" i="1"/>
  <c r="AE76" i="1"/>
  <c r="AF76" i="1"/>
  <c r="AG76" i="1"/>
  <c r="AH76" i="1"/>
  <c r="AI76" i="1"/>
  <c r="AE77" i="1"/>
  <c r="AF77" i="1"/>
  <c r="AG77" i="1"/>
  <c r="AH77" i="1"/>
  <c r="AI77" i="1"/>
  <c r="AE78" i="1"/>
  <c r="AF78" i="1"/>
  <c r="AG78" i="1"/>
  <c r="AH78" i="1"/>
  <c r="AI78" i="1"/>
  <c r="AE79" i="1"/>
  <c r="AF79" i="1"/>
  <c r="AG79" i="1"/>
  <c r="AH79" i="1"/>
  <c r="AI79" i="1"/>
  <c r="AE80" i="1"/>
  <c r="AF80" i="1"/>
  <c r="AG80" i="1"/>
  <c r="AH80" i="1"/>
  <c r="AI80" i="1"/>
  <c r="AE81" i="1"/>
  <c r="AF81" i="1"/>
  <c r="AG81" i="1"/>
  <c r="AH81" i="1"/>
  <c r="AI81" i="1"/>
  <c r="AE82" i="1"/>
  <c r="AF82" i="1"/>
  <c r="AG82" i="1"/>
  <c r="AH82" i="1"/>
  <c r="AI82" i="1"/>
  <c r="AE83" i="1"/>
  <c r="AF83" i="1"/>
  <c r="AG83" i="1"/>
  <c r="AH83" i="1"/>
  <c r="AI83" i="1"/>
  <c r="AE84" i="1"/>
  <c r="AF84" i="1"/>
  <c r="AG84" i="1"/>
  <c r="AH84" i="1"/>
  <c r="AI84" i="1"/>
  <c r="AE85" i="1"/>
  <c r="AF85" i="1"/>
  <c r="AG85" i="1"/>
  <c r="AH85" i="1"/>
  <c r="AI85" i="1"/>
  <c r="AE86" i="1"/>
  <c r="AF86" i="1"/>
  <c r="AG86" i="1"/>
  <c r="AH86" i="1"/>
  <c r="AI86" i="1"/>
  <c r="AE87" i="1"/>
  <c r="AF87" i="1"/>
  <c r="AG87" i="1"/>
  <c r="AH87" i="1"/>
  <c r="AI87" i="1"/>
  <c r="AE88" i="1"/>
  <c r="AF88" i="1"/>
  <c r="AG88" i="1"/>
  <c r="AH88" i="1"/>
  <c r="AI88" i="1"/>
  <c r="AE89" i="1"/>
  <c r="AF89" i="1"/>
  <c r="AG89" i="1"/>
  <c r="AH89" i="1"/>
  <c r="AI89" i="1"/>
  <c r="AE90" i="1"/>
  <c r="AF90" i="1"/>
  <c r="AG90" i="1"/>
  <c r="AH90" i="1"/>
  <c r="AI90" i="1"/>
  <c r="AE91" i="1"/>
  <c r="AF91" i="1"/>
  <c r="AG91" i="1"/>
  <c r="AH91" i="1"/>
  <c r="AI91" i="1"/>
  <c r="AE92" i="1"/>
  <c r="AF92" i="1"/>
  <c r="AG92" i="1"/>
  <c r="AH92" i="1"/>
  <c r="AI92" i="1"/>
  <c r="AE93" i="1"/>
  <c r="AF93" i="1"/>
  <c r="AG93" i="1"/>
  <c r="AH93" i="1"/>
  <c r="AI93" i="1"/>
  <c r="AE94" i="1"/>
  <c r="AF94" i="1"/>
  <c r="AG94" i="1"/>
  <c r="AH94" i="1"/>
  <c r="AI94" i="1"/>
  <c r="AE95" i="1"/>
  <c r="AF95" i="1"/>
  <c r="AG95" i="1"/>
  <c r="AH95" i="1"/>
  <c r="AI95" i="1"/>
  <c r="AE96" i="1"/>
  <c r="AF96" i="1"/>
  <c r="AG96" i="1"/>
  <c r="AH96" i="1"/>
  <c r="AI96" i="1"/>
  <c r="AE97" i="1"/>
  <c r="AF97" i="1"/>
  <c r="AG97" i="1"/>
  <c r="AH97" i="1"/>
  <c r="AI97" i="1"/>
  <c r="AE98" i="1"/>
  <c r="AF98" i="1"/>
  <c r="AG98" i="1"/>
  <c r="AH98" i="1"/>
  <c r="AI98" i="1"/>
  <c r="AE99" i="1"/>
  <c r="AF99" i="1"/>
  <c r="AG99" i="1"/>
  <c r="AH99" i="1"/>
  <c r="AI99" i="1"/>
  <c r="AE100" i="1"/>
  <c r="AF100" i="1"/>
  <c r="AG100" i="1"/>
  <c r="AH100" i="1"/>
  <c r="AI100" i="1"/>
  <c r="AE101" i="1"/>
  <c r="AF101" i="1"/>
  <c r="AG101" i="1"/>
  <c r="AH101" i="1"/>
  <c r="AI101" i="1"/>
  <c r="AE102" i="1"/>
  <c r="AF102" i="1"/>
  <c r="AG102" i="1"/>
  <c r="AH102" i="1"/>
  <c r="AI102" i="1"/>
  <c r="AE103" i="1"/>
  <c r="AF103" i="1"/>
  <c r="AG103" i="1"/>
  <c r="AH103" i="1"/>
  <c r="AI103" i="1"/>
  <c r="AE104" i="1"/>
  <c r="AF104" i="1"/>
  <c r="AG104" i="1"/>
  <c r="AH104" i="1"/>
  <c r="AI104" i="1"/>
  <c r="AE105" i="1"/>
  <c r="AF105" i="1"/>
  <c r="AG105" i="1"/>
  <c r="AH105" i="1"/>
  <c r="AI105" i="1"/>
  <c r="AE106" i="1"/>
  <c r="AF106" i="1"/>
  <c r="AG106" i="1"/>
  <c r="AH106" i="1"/>
  <c r="AI106" i="1"/>
  <c r="AE107" i="1"/>
  <c r="AF107" i="1"/>
  <c r="AG107" i="1"/>
  <c r="AH107" i="1"/>
  <c r="AI107" i="1"/>
  <c r="AE108" i="1"/>
  <c r="AF108" i="1"/>
  <c r="AG108" i="1"/>
  <c r="AH108" i="1"/>
  <c r="AI108" i="1"/>
  <c r="AE109" i="1"/>
  <c r="AF109" i="1"/>
  <c r="AG109" i="1"/>
  <c r="AH109" i="1"/>
  <c r="AI109" i="1"/>
  <c r="AE110" i="1"/>
  <c r="AF110" i="1"/>
  <c r="AG110" i="1"/>
  <c r="AH110" i="1"/>
  <c r="AI110" i="1"/>
  <c r="AE111" i="1"/>
  <c r="AF111" i="1"/>
  <c r="AG111" i="1"/>
  <c r="AH111" i="1"/>
  <c r="AI111" i="1"/>
  <c r="AE112" i="1"/>
  <c r="AF112" i="1"/>
  <c r="AG112" i="1"/>
  <c r="AH112" i="1"/>
  <c r="AI112" i="1"/>
  <c r="AE113" i="1"/>
  <c r="AF113" i="1"/>
  <c r="AG113" i="1"/>
  <c r="AH113" i="1"/>
  <c r="AI113" i="1"/>
  <c r="AE114" i="1"/>
  <c r="AF114" i="1"/>
  <c r="AG114" i="1"/>
  <c r="AH114" i="1"/>
  <c r="AI114" i="1"/>
  <c r="AE115" i="1"/>
  <c r="AF115" i="1"/>
  <c r="AG115" i="1"/>
  <c r="AH115" i="1"/>
  <c r="AI115" i="1"/>
  <c r="AE116" i="1"/>
  <c r="AF116" i="1"/>
  <c r="AG116" i="1"/>
  <c r="AH116" i="1"/>
  <c r="AI116" i="1"/>
  <c r="AE117" i="1"/>
  <c r="AF117" i="1"/>
  <c r="AG117" i="1"/>
  <c r="AH117" i="1"/>
  <c r="AI117" i="1"/>
  <c r="AE118" i="1"/>
  <c r="AF118" i="1"/>
  <c r="AG118" i="1"/>
  <c r="AH118" i="1"/>
  <c r="AI118" i="1"/>
  <c r="AE119" i="1"/>
  <c r="AF119" i="1"/>
  <c r="AG119" i="1"/>
  <c r="AH119" i="1"/>
  <c r="AI119" i="1"/>
  <c r="AE120" i="1"/>
  <c r="AF120" i="1"/>
  <c r="AG120" i="1"/>
  <c r="AH120" i="1"/>
  <c r="AI120" i="1"/>
  <c r="AE121" i="1"/>
  <c r="AF121" i="1"/>
  <c r="AG121" i="1"/>
  <c r="AH121" i="1"/>
  <c r="AI121" i="1"/>
  <c r="AE122" i="1"/>
  <c r="AF122" i="1"/>
  <c r="AG122" i="1"/>
  <c r="AH122" i="1"/>
  <c r="AI122" i="1"/>
  <c r="AE123" i="1"/>
  <c r="AF123" i="1"/>
  <c r="AG123" i="1"/>
  <c r="AH123" i="1"/>
  <c r="AI123" i="1"/>
  <c r="AE124" i="1"/>
  <c r="AF124" i="1"/>
  <c r="AG124" i="1"/>
  <c r="AH124" i="1"/>
  <c r="AI124" i="1"/>
  <c r="AE125" i="1"/>
  <c r="AF125" i="1"/>
  <c r="AG125" i="1"/>
  <c r="AH125" i="1"/>
  <c r="AI125" i="1"/>
  <c r="AE126" i="1"/>
  <c r="AF126" i="1"/>
  <c r="AG126" i="1"/>
  <c r="AH126" i="1"/>
  <c r="AI126" i="1"/>
  <c r="AE127" i="1"/>
  <c r="AF127" i="1"/>
  <c r="AG127" i="1"/>
  <c r="AH127" i="1"/>
  <c r="AI127" i="1"/>
  <c r="AE128" i="1"/>
  <c r="AF128" i="1"/>
  <c r="AG128" i="1"/>
  <c r="AH128" i="1"/>
  <c r="AI128" i="1"/>
  <c r="AE129" i="1"/>
  <c r="AF129" i="1"/>
  <c r="AG129" i="1"/>
  <c r="AH129" i="1"/>
  <c r="AI129" i="1"/>
  <c r="AE130" i="1"/>
  <c r="AF130" i="1"/>
  <c r="AG130" i="1"/>
  <c r="AH130" i="1"/>
  <c r="AI130" i="1"/>
  <c r="AE131" i="1"/>
  <c r="AF131" i="1"/>
  <c r="AG131" i="1"/>
  <c r="AH131" i="1"/>
  <c r="AI131" i="1"/>
  <c r="AE132" i="1"/>
  <c r="AF132" i="1"/>
  <c r="AG132" i="1"/>
  <c r="AH132" i="1"/>
  <c r="AI132" i="1"/>
  <c r="AE133" i="1"/>
  <c r="AF133" i="1"/>
  <c r="AG133" i="1"/>
  <c r="AH133" i="1"/>
  <c r="AI133" i="1"/>
  <c r="AE134" i="1"/>
  <c r="AF134" i="1"/>
  <c r="AG134" i="1"/>
  <c r="AH134" i="1"/>
  <c r="AI134" i="1"/>
  <c r="AE135" i="1"/>
  <c r="AF135" i="1"/>
  <c r="AG135" i="1"/>
  <c r="AH135" i="1"/>
  <c r="AI135" i="1"/>
  <c r="AE136" i="1"/>
  <c r="AF136" i="1"/>
  <c r="AG136" i="1"/>
  <c r="AH136" i="1"/>
  <c r="AI136" i="1"/>
  <c r="AE137" i="1"/>
  <c r="AF137" i="1"/>
  <c r="AG137" i="1"/>
  <c r="AH137" i="1"/>
  <c r="AI137" i="1"/>
  <c r="AE138" i="1"/>
  <c r="AF138" i="1"/>
  <c r="AG138" i="1"/>
  <c r="AH138" i="1"/>
  <c r="AI138" i="1"/>
  <c r="AE139" i="1"/>
  <c r="AF139" i="1"/>
  <c r="AG139" i="1"/>
  <c r="AH139" i="1"/>
  <c r="AI139" i="1"/>
  <c r="AE140" i="1"/>
  <c r="AF140" i="1"/>
  <c r="AG140" i="1"/>
  <c r="AH140" i="1"/>
  <c r="AI140" i="1"/>
  <c r="AE141" i="1"/>
  <c r="AF141" i="1"/>
  <c r="AG141" i="1"/>
  <c r="AH141" i="1"/>
  <c r="AI141" i="1"/>
  <c r="AE142" i="1"/>
  <c r="AF142" i="1"/>
  <c r="AG142" i="1"/>
  <c r="AH142" i="1"/>
  <c r="AI142" i="1"/>
  <c r="AE143" i="1"/>
  <c r="AF143" i="1"/>
  <c r="AG143" i="1"/>
  <c r="AH143" i="1"/>
  <c r="AI143" i="1"/>
  <c r="AE144" i="1"/>
  <c r="AF144" i="1"/>
  <c r="AG144" i="1"/>
  <c r="AH144" i="1"/>
  <c r="AI144" i="1"/>
  <c r="AE145" i="1"/>
  <c r="AF145" i="1"/>
  <c r="AG145" i="1"/>
  <c r="AH145" i="1"/>
  <c r="AI145" i="1"/>
  <c r="AE146" i="1"/>
  <c r="AF146" i="1"/>
  <c r="AG146" i="1"/>
  <c r="AH146" i="1"/>
  <c r="AI146" i="1"/>
  <c r="AE147" i="1"/>
  <c r="AF147" i="1"/>
  <c r="AG147" i="1"/>
  <c r="AH147" i="1"/>
  <c r="AI147" i="1"/>
  <c r="AE148" i="1"/>
  <c r="AF148" i="1"/>
  <c r="AG148" i="1"/>
  <c r="AH148" i="1"/>
  <c r="AI148" i="1"/>
  <c r="AE149" i="1"/>
  <c r="AF149" i="1"/>
  <c r="AG149" i="1"/>
  <c r="AH149" i="1"/>
  <c r="AI149" i="1"/>
  <c r="AE150" i="1"/>
  <c r="AF150" i="1"/>
  <c r="AG150" i="1"/>
  <c r="AH150" i="1"/>
  <c r="AI150" i="1"/>
  <c r="AE151" i="1"/>
  <c r="AF151" i="1"/>
  <c r="AG151" i="1"/>
  <c r="AH151" i="1"/>
  <c r="AI151" i="1"/>
  <c r="AE152" i="1"/>
  <c r="AF152" i="1"/>
  <c r="AG152" i="1"/>
  <c r="AH152" i="1"/>
  <c r="AI152" i="1"/>
  <c r="AE153" i="1"/>
  <c r="AF153" i="1"/>
  <c r="AG153" i="1"/>
  <c r="AH153" i="1"/>
  <c r="AI153" i="1"/>
  <c r="AE154" i="1"/>
  <c r="AF154" i="1"/>
  <c r="AG154" i="1"/>
  <c r="AH154" i="1"/>
  <c r="AI154" i="1"/>
  <c r="AE155" i="1"/>
  <c r="AF155" i="1"/>
  <c r="AG155" i="1"/>
  <c r="AH155" i="1"/>
  <c r="AI155" i="1"/>
  <c r="AE156" i="1"/>
  <c r="AF156" i="1"/>
  <c r="AG156" i="1"/>
  <c r="AH156" i="1"/>
  <c r="AI156" i="1"/>
  <c r="AE157" i="1"/>
  <c r="AF157" i="1"/>
  <c r="AG157" i="1"/>
  <c r="AH157" i="1"/>
  <c r="AI157" i="1"/>
  <c r="AE158" i="1"/>
  <c r="AF158" i="1"/>
  <c r="AG158" i="1"/>
  <c r="AH158" i="1"/>
  <c r="AI158" i="1"/>
  <c r="AE159" i="1"/>
  <c r="AF159" i="1"/>
  <c r="AG159" i="1"/>
  <c r="AH159" i="1"/>
  <c r="AI159" i="1"/>
  <c r="AE160" i="1"/>
  <c r="AF160" i="1"/>
  <c r="AG160" i="1"/>
  <c r="AH160" i="1"/>
  <c r="AI160" i="1"/>
  <c r="AE161" i="1"/>
  <c r="AF161" i="1"/>
  <c r="AG161" i="1"/>
  <c r="AH161" i="1"/>
  <c r="AI161" i="1"/>
  <c r="AE162" i="1"/>
  <c r="AF162" i="1"/>
  <c r="AG162" i="1"/>
  <c r="AH162" i="1"/>
  <c r="AI162" i="1"/>
  <c r="AE163" i="1"/>
  <c r="AF163" i="1"/>
  <c r="AG163" i="1"/>
  <c r="AH163" i="1"/>
  <c r="AI163" i="1"/>
  <c r="AE164" i="1"/>
  <c r="AF164" i="1"/>
  <c r="AG164" i="1"/>
  <c r="AH164" i="1"/>
  <c r="AI164" i="1"/>
  <c r="AE165" i="1"/>
  <c r="AF165" i="1"/>
  <c r="AG165" i="1"/>
  <c r="AH165" i="1"/>
  <c r="AI165" i="1"/>
  <c r="AE166" i="1"/>
  <c r="AF166" i="1"/>
  <c r="AG166" i="1"/>
  <c r="AH166" i="1"/>
  <c r="AI166" i="1"/>
  <c r="AE167" i="1"/>
  <c r="AF167" i="1"/>
  <c r="AG167" i="1"/>
  <c r="AH167" i="1"/>
  <c r="AI167" i="1"/>
  <c r="AE168" i="1"/>
  <c r="AF168" i="1"/>
  <c r="AG168" i="1"/>
  <c r="AH168" i="1"/>
  <c r="AI168" i="1"/>
  <c r="AE169" i="1"/>
  <c r="AF169" i="1"/>
  <c r="AG169" i="1"/>
  <c r="AH169" i="1"/>
  <c r="AI169" i="1"/>
  <c r="AE170" i="1"/>
  <c r="AF170" i="1"/>
  <c r="AG170" i="1"/>
  <c r="AH170" i="1"/>
  <c r="AI170" i="1"/>
  <c r="AE171" i="1"/>
  <c r="AF171" i="1"/>
  <c r="AG171" i="1"/>
  <c r="AH171" i="1"/>
  <c r="AI171" i="1"/>
  <c r="AE172" i="1"/>
  <c r="AF172" i="1"/>
  <c r="AG172" i="1"/>
  <c r="AH172" i="1"/>
  <c r="AI172" i="1"/>
  <c r="AE173" i="1"/>
  <c r="AF173" i="1"/>
  <c r="AG173" i="1"/>
  <c r="AH173" i="1"/>
  <c r="AI173" i="1"/>
  <c r="AE174" i="1"/>
  <c r="AF174" i="1"/>
  <c r="AG174" i="1"/>
  <c r="AH174" i="1"/>
  <c r="AI174" i="1"/>
  <c r="AE175" i="1"/>
  <c r="AF175" i="1"/>
  <c r="AG175" i="1"/>
  <c r="AH175" i="1"/>
  <c r="AI175" i="1"/>
  <c r="AE176" i="1"/>
  <c r="AF176" i="1"/>
  <c r="AG176" i="1"/>
  <c r="AH176" i="1"/>
  <c r="AI176" i="1"/>
  <c r="AE177" i="1"/>
  <c r="AF177" i="1"/>
  <c r="AG177" i="1"/>
  <c r="AH177" i="1"/>
  <c r="AI177" i="1"/>
  <c r="AE178" i="1"/>
  <c r="AF178" i="1"/>
  <c r="AG178" i="1"/>
  <c r="AH178" i="1"/>
  <c r="AI178" i="1"/>
  <c r="AE179" i="1"/>
  <c r="AF179" i="1"/>
  <c r="AG179" i="1"/>
  <c r="AH179" i="1"/>
  <c r="AI179" i="1"/>
  <c r="AE180" i="1"/>
  <c r="AF180" i="1"/>
  <c r="AG180" i="1"/>
  <c r="AH180" i="1"/>
  <c r="AI180" i="1"/>
  <c r="AE181" i="1"/>
  <c r="AF181" i="1"/>
  <c r="AG181" i="1"/>
  <c r="AH181" i="1"/>
  <c r="AI181" i="1"/>
  <c r="AE182" i="1"/>
  <c r="AF182" i="1"/>
  <c r="AG182" i="1"/>
  <c r="AH182" i="1"/>
  <c r="AI182" i="1"/>
  <c r="AE183" i="1"/>
  <c r="AF183" i="1"/>
  <c r="AG183" i="1"/>
  <c r="AH183" i="1"/>
  <c r="AI183" i="1"/>
  <c r="AE184" i="1"/>
  <c r="AF184" i="1"/>
  <c r="AG184" i="1"/>
  <c r="AH184" i="1"/>
  <c r="AI184" i="1"/>
  <c r="AE185" i="1"/>
  <c r="AF185" i="1"/>
  <c r="AG185" i="1"/>
  <c r="AH185" i="1"/>
  <c r="AI185" i="1"/>
  <c r="AE186" i="1"/>
  <c r="AF186" i="1"/>
  <c r="AG186" i="1"/>
  <c r="AH186" i="1"/>
  <c r="AI186" i="1"/>
  <c r="AE187" i="1"/>
  <c r="AF187" i="1"/>
  <c r="AG187" i="1"/>
  <c r="AH187" i="1"/>
  <c r="AI187" i="1"/>
  <c r="AE188" i="1"/>
  <c r="AF188" i="1"/>
  <c r="AG188" i="1"/>
  <c r="AH188" i="1"/>
  <c r="AI188" i="1"/>
  <c r="AE189" i="1"/>
  <c r="AF189" i="1"/>
  <c r="AG189" i="1"/>
  <c r="AH189" i="1"/>
  <c r="AI189" i="1"/>
  <c r="AE190" i="1"/>
  <c r="AF190" i="1"/>
  <c r="AG190" i="1"/>
  <c r="AH190" i="1"/>
  <c r="AI190" i="1"/>
  <c r="AE191" i="1"/>
  <c r="AF191" i="1"/>
  <c r="AG191" i="1"/>
  <c r="AH191" i="1"/>
  <c r="AI191" i="1"/>
  <c r="AE192" i="1"/>
  <c r="AF192" i="1"/>
  <c r="AG192" i="1"/>
  <c r="AH192" i="1"/>
  <c r="AI192" i="1"/>
  <c r="AE193" i="1"/>
  <c r="AF193" i="1"/>
  <c r="AG193" i="1"/>
  <c r="AH193" i="1"/>
  <c r="AI193" i="1"/>
  <c r="AE194" i="1"/>
  <c r="AF194" i="1"/>
  <c r="AG194" i="1"/>
  <c r="AH194" i="1"/>
  <c r="AI194" i="1"/>
  <c r="AE195" i="1"/>
  <c r="AF195" i="1"/>
  <c r="AG195" i="1"/>
  <c r="AH195" i="1"/>
  <c r="AI195" i="1"/>
  <c r="AE196" i="1"/>
  <c r="AF196" i="1"/>
  <c r="AG196" i="1"/>
  <c r="AH196" i="1"/>
  <c r="AI196" i="1"/>
  <c r="AE197" i="1"/>
  <c r="AF197" i="1"/>
  <c r="AG197" i="1"/>
  <c r="AH197" i="1"/>
  <c r="AI197" i="1"/>
  <c r="AE198" i="1"/>
  <c r="AF198" i="1"/>
  <c r="AG198" i="1"/>
  <c r="AH198" i="1"/>
  <c r="AI198" i="1"/>
  <c r="AE199" i="1"/>
  <c r="AF199" i="1"/>
  <c r="AG199" i="1"/>
  <c r="AH199" i="1"/>
  <c r="AI199" i="1"/>
  <c r="AE200" i="1"/>
  <c r="AF200" i="1"/>
  <c r="AG200" i="1"/>
  <c r="AH200" i="1"/>
  <c r="AI200" i="1"/>
  <c r="AE201" i="1"/>
  <c r="AF201" i="1"/>
  <c r="AG201" i="1"/>
  <c r="AH201" i="1"/>
  <c r="AI201" i="1"/>
  <c r="AE202" i="1"/>
  <c r="AF202" i="1"/>
  <c r="AG202" i="1"/>
  <c r="AH202" i="1"/>
  <c r="AI202" i="1"/>
  <c r="AE203" i="1"/>
  <c r="AF203" i="1"/>
  <c r="AG203" i="1"/>
  <c r="AH203" i="1"/>
  <c r="AI203" i="1"/>
  <c r="AE204" i="1"/>
  <c r="AF204" i="1"/>
  <c r="AG204" i="1"/>
  <c r="AH204" i="1"/>
  <c r="AI204" i="1"/>
  <c r="AE205" i="1"/>
  <c r="AF205" i="1"/>
  <c r="AG205" i="1"/>
  <c r="AH205" i="1"/>
  <c r="AI205" i="1"/>
  <c r="AE206" i="1"/>
  <c r="AF206" i="1"/>
  <c r="AG206" i="1"/>
  <c r="AH206" i="1"/>
  <c r="AI206" i="1"/>
  <c r="AE207" i="1"/>
  <c r="AF207" i="1"/>
  <c r="AG207" i="1"/>
  <c r="AH207" i="1"/>
  <c r="AI207" i="1"/>
  <c r="AE208" i="1"/>
  <c r="AF208" i="1"/>
  <c r="AG208" i="1"/>
  <c r="AH208" i="1"/>
  <c r="AI208" i="1"/>
  <c r="AE209" i="1"/>
  <c r="AF209" i="1"/>
  <c r="AG209" i="1"/>
  <c r="AH209" i="1"/>
  <c r="AI209" i="1"/>
  <c r="AE210" i="1"/>
  <c r="AF210" i="1"/>
  <c r="AG210" i="1"/>
  <c r="AH210" i="1"/>
  <c r="AI210" i="1"/>
  <c r="AE211" i="1"/>
  <c r="AF211" i="1"/>
  <c r="AG211" i="1"/>
  <c r="AH211" i="1"/>
  <c r="AI211" i="1"/>
  <c r="AE212" i="1"/>
  <c r="AF212" i="1"/>
  <c r="AG212" i="1"/>
  <c r="AH212" i="1"/>
  <c r="AI212" i="1"/>
  <c r="AE213" i="1"/>
  <c r="AF213" i="1"/>
  <c r="AG213" i="1"/>
  <c r="AH213" i="1"/>
  <c r="AI213" i="1"/>
  <c r="AE214" i="1"/>
  <c r="AF214" i="1"/>
  <c r="AG214" i="1"/>
  <c r="AH214" i="1"/>
  <c r="AI214" i="1"/>
  <c r="AE215" i="1"/>
  <c r="AF215" i="1"/>
  <c r="AG215" i="1"/>
  <c r="AH215" i="1"/>
  <c r="AI215" i="1"/>
  <c r="AE216" i="1"/>
  <c r="AF216" i="1"/>
  <c r="AG216" i="1"/>
  <c r="AH216" i="1"/>
  <c r="AI216" i="1"/>
  <c r="AE217" i="1"/>
  <c r="AF217" i="1"/>
  <c r="AG217" i="1"/>
  <c r="AH217" i="1"/>
  <c r="AI217" i="1"/>
  <c r="AE218" i="1"/>
  <c r="AF218" i="1"/>
  <c r="AG218" i="1"/>
  <c r="AH218" i="1"/>
  <c r="AI218" i="1"/>
  <c r="AE219" i="1"/>
  <c r="AF219" i="1"/>
  <c r="AG219" i="1"/>
  <c r="AH219" i="1"/>
  <c r="AI219" i="1"/>
  <c r="AE220" i="1"/>
  <c r="AF220" i="1"/>
  <c r="AG220" i="1"/>
  <c r="AH220" i="1"/>
  <c r="AI220" i="1"/>
  <c r="AE221" i="1"/>
  <c r="AF221" i="1"/>
  <c r="AG221" i="1"/>
  <c r="AH221" i="1"/>
  <c r="AI221" i="1"/>
  <c r="AE222" i="1"/>
  <c r="AF222" i="1"/>
  <c r="AG222" i="1"/>
  <c r="AH222" i="1"/>
  <c r="AI222" i="1"/>
  <c r="AE223" i="1"/>
  <c r="AF223" i="1"/>
  <c r="AG223" i="1"/>
  <c r="AH223" i="1"/>
  <c r="AI223" i="1"/>
  <c r="AE224" i="1"/>
  <c r="AF224" i="1"/>
  <c r="AG224" i="1"/>
  <c r="AH224" i="1"/>
  <c r="AI224" i="1"/>
  <c r="AE225" i="1"/>
  <c r="AF225" i="1"/>
  <c r="AG225" i="1"/>
  <c r="AH225" i="1"/>
  <c r="AI225" i="1"/>
  <c r="AE226" i="1"/>
  <c r="AF226" i="1"/>
  <c r="AG226" i="1"/>
  <c r="AH226" i="1"/>
  <c r="AI226" i="1"/>
  <c r="AE227" i="1"/>
  <c r="AF227" i="1"/>
  <c r="AG227" i="1"/>
  <c r="AH227" i="1"/>
  <c r="AI227" i="1"/>
  <c r="AE228" i="1"/>
  <c r="AF228" i="1"/>
  <c r="AG228" i="1"/>
  <c r="AH228" i="1"/>
  <c r="AI228" i="1"/>
  <c r="AE229" i="1"/>
  <c r="AF229" i="1"/>
  <c r="AG229" i="1"/>
  <c r="AH229" i="1"/>
  <c r="AI229" i="1"/>
  <c r="AE230" i="1"/>
  <c r="AF230" i="1"/>
  <c r="AG230" i="1"/>
  <c r="AH230" i="1"/>
  <c r="AI230" i="1"/>
  <c r="AE231" i="1"/>
  <c r="AF231" i="1"/>
  <c r="AG231" i="1"/>
  <c r="AH231" i="1"/>
  <c r="AI231" i="1"/>
  <c r="AE232" i="1"/>
  <c r="AF232" i="1"/>
  <c r="AG232" i="1"/>
  <c r="AH232" i="1"/>
  <c r="AI232" i="1"/>
  <c r="AE233" i="1"/>
  <c r="AF233" i="1"/>
  <c r="AG233" i="1"/>
  <c r="AH233" i="1"/>
  <c r="AI233" i="1"/>
  <c r="AE234" i="1"/>
  <c r="AF234" i="1"/>
  <c r="AG234" i="1"/>
  <c r="AH234" i="1"/>
  <c r="AI234" i="1"/>
  <c r="AE235" i="1"/>
  <c r="AF235" i="1"/>
  <c r="AG235" i="1"/>
  <c r="AH235" i="1"/>
  <c r="AI235" i="1"/>
  <c r="AE236" i="1"/>
  <c r="AF236" i="1"/>
  <c r="AG236" i="1"/>
  <c r="AH236" i="1"/>
  <c r="AI236" i="1"/>
  <c r="AE237" i="1"/>
  <c r="AF237" i="1"/>
  <c r="AG237" i="1"/>
  <c r="AH237" i="1"/>
  <c r="AI237" i="1"/>
  <c r="AE238" i="1"/>
  <c r="AF238" i="1"/>
  <c r="AG238" i="1"/>
  <c r="AH238" i="1"/>
  <c r="AI238" i="1"/>
  <c r="AE239" i="1"/>
  <c r="AF239" i="1"/>
  <c r="AG239" i="1"/>
  <c r="AH239" i="1"/>
  <c r="AI239" i="1"/>
  <c r="AE240" i="1"/>
  <c r="AF240" i="1"/>
  <c r="AG240" i="1"/>
  <c r="AH240" i="1"/>
  <c r="AI240" i="1"/>
  <c r="AE241" i="1"/>
  <c r="AF241" i="1"/>
  <c r="AG241" i="1"/>
  <c r="AH241" i="1"/>
  <c r="AI241" i="1"/>
  <c r="AE242" i="1"/>
  <c r="AF242" i="1"/>
  <c r="AG242" i="1"/>
  <c r="AH242" i="1"/>
  <c r="AI242" i="1"/>
  <c r="AE243" i="1"/>
  <c r="AF243" i="1"/>
  <c r="AG243" i="1"/>
  <c r="AH243" i="1"/>
  <c r="AI243" i="1"/>
  <c r="AE244" i="1"/>
  <c r="AF244" i="1"/>
  <c r="AG244" i="1"/>
  <c r="AH244" i="1"/>
  <c r="AI244" i="1"/>
  <c r="AE245" i="1"/>
  <c r="AF245" i="1"/>
  <c r="AG245" i="1"/>
  <c r="AH245" i="1"/>
  <c r="AI245" i="1"/>
  <c r="AE246" i="1"/>
  <c r="AF246" i="1"/>
  <c r="AG246" i="1"/>
  <c r="AH246" i="1"/>
  <c r="AI246" i="1"/>
  <c r="AE247" i="1"/>
  <c r="AF247" i="1"/>
  <c r="AG247" i="1"/>
  <c r="AH247" i="1"/>
  <c r="AI247" i="1"/>
  <c r="AE248" i="1"/>
  <c r="AF248" i="1"/>
  <c r="AG248" i="1"/>
  <c r="AH248" i="1"/>
  <c r="AI248" i="1"/>
  <c r="AE249" i="1"/>
  <c r="AF249" i="1"/>
  <c r="AG249" i="1"/>
  <c r="AH249" i="1"/>
  <c r="AI249" i="1"/>
  <c r="AE250" i="1"/>
  <c r="AF250" i="1"/>
  <c r="AG250" i="1"/>
  <c r="AH250" i="1"/>
  <c r="AI250" i="1"/>
  <c r="AE251" i="1"/>
  <c r="AF251" i="1"/>
  <c r="AG251" i="1"/>
  <c r="AH251" i="1"/>
  <c r="AI251" i="1"/>
  <c r="AE252" i="1"/>
  <c r="AF252" i="1"/>
  <c r="AG252" i="1"/>
  <c r="AH252" i="1"/>
  <c r="AI252" i="1"/>
  <c r="AE253" i="1"/>
  <c r="AF253" i="1"/>
  <c r="AG253" i="1"/>
  <c r="AH253" i="1"/>
  <c r="AI253" i="1"/>
  <c r="AE254" i="1"/>
  <c r="AF254" i="1"/>
  <c r="AG254" i="1"/>
  <c r="AH254" i="1"/>
  <c r="AI254" i="1"/>
  <c r="AE255" i="1"/>
  <c r="AF255" i="1"/>
  <c r="AG255" i="1"/>
  <c r="AH255" i="1"/>
  <c r="AI255" i="1"/>
  <c r="AE256" i="1"/>
  <c r="AF256" i="1"/>
  <c r="AG256" i="1"/>
  <c r="AH256" i="1"/>
  <c r="AI256" i="1"/>
  <c r="AE257" i="1"/>
  <c r="AF257" i="1"/>
  <c r="AG257" i="1"/>
  <c r="AH257" i="1"/>
  <c r="AI257" i="1"/>
  <c r="AE258" i="1"/>
  <c r="AF258" i="1"/>
  <c r="AG258" i="1"/>
  <c r="AH258" i="1"/>
  <c r="AI258" i="1"/>
  <c r="AE259" i="1"/>
  <c r="AF259" i="1"/>
  <c r="AG259" i="1"/>
  <c r="AH259" i="1"/>
  <c r="AI259" i="1"/>
  <c r="AE260" i="1"/>
  <c r="AF260" i="1"/>
  <c r="AG260" i="1"/>
  <c r="AH260" i="1"/>
  <c r="AI260" i="1"/>
  <c r="AE261" i="1"/>
  <c r="AF261" i="1"/>
  <c r="AG261" i="1"/>
  <c r="AH261" i="1"/>
  <c r="AI261" i="1"/>
  <c r="AE262" i="1"/>
  <c r="AF262" i="1"/>
  <c r="AG262" i="1"/>
  <c r="AH262" i="1"/>
  <c r="AI262" i="1"/>
  <c r="AE263" i="1"/>
  <c r="AF263" i="1"/>
  <c r="AG263" i="1"/>
  <c r="AH263" i="1"/>
  <c r="AI263" i="1"/>
  <c r="AE264" i="1"/>
  <c r="AF264" i="1"/>
  <c r="AG264" i="1"/>
  <c r="AH264" i="1"/>
  <c r="AI264" i="1"/>
  <c r="AE265" i="1"/>
  <c r="AF265" i="1"/>
  <c r="AG265" i="1"/>
  <c r="AH265" i="1"/>
  <c r="AI265" i="1"/>
  <c r="AE266" i="1"/>
  <c r="AF266" i="1"/>
  <c r="AG266" i="1"/>
  <c r="AH266" i="1"/>
  <c r="AI266" i="1"/>
  <c r="AE267" i="1"/>
  <c r="AF267" i="1"/>
  <c r="AG267" i="1"/>
  <c r="AH267" i="1"/>
  <c r="AI267" i="1"/>
  <c r="AE268" i="1"/>
  <c r="AF268" i="1"/>
  <c r="AG268" i="1"/>
  <c r="AH268" i="1"/>
  <c r="AI268" i="1"/>
  <c r="AE269" i="1"/>
  <c r="AF269" i="1"/>
  <c r="AG269" i="1"/>
  <c r="AH269" i="1"/>
  <c r="AI269" i="1"/>
  <c r="AE270" i="1"/>
  <c r="AF270" i="1"/>
  <c r="AG270" i="1"/>
  <c r="AH270" i="1"/>
  <c r="AI270" i="1"/>
  <c r="AE271" i="1"/>
  <c r="AF271" i="1"/>
  <c r="AG271" i="1"/>
  <c r="AH271" i="1"/>
  <c r="AI271" i="1"/>
  <c r="AE272" i="1"/>
  <c r="AF272" i="1"/>
  <c r="AG272" i="1"/>
  <c r="AH272" i="1"/>
  <c r="AI272" i="1"/>
  <c r="AE273" i="1"/>
  <c r="AF273" i="1"/>
  <c r="AG273" i="1"/>
  <c r="AH273" i="1"/>
  <c r="AI273" i="1"/>
  <c r="AE274" i="1"/>
  <c r="AF274" i="1"/>
  <c r="AG274" i="1"/>
  <c r="AH274" i="1"/>
  <c r="AI274" i="1"/>
  <c r="AE275" i="1"/>
  <c r="AF275" i="1"/>
  <c r="AG275" i="1"/>
  <c r="AH275" i="1"/>
  <c r="AI275" i="1"/>
  <c r="AE276" i="1"/>
  <c r="AF276" i="1"/>
  <c r="AG276" i="1"/>
  <c r="AH276" i="1"/>
  <c r="AI276" i="1"/>
  <c r="AE277" i="1"/>
  <c r="AF277" i="1"/>
  <c r="AG277" i="1"/>
  <c r="AH277" i="1"/>
  <c r="AI277" i="1"/>
  <c r="AE278" i="1"/>
  <c r="AF278" i="1"/>
  <c r="AG278" i="1"/>
  <c r="AH278" i="1"/>
  <c r="AI278" i="1"/>
  <c r="AE279" i="1"/>
  <c r="AF279" i="1"/>
  <c r="AG279" i="1"/>
  <c r="AH279" i="1"/>
  <c r="AI279" i="1"/>
  <c r="AE280" i="1"/>
  <c r="AF280" i="1"/>
  <c r="AG280" i="1"/>
  <c r="AH280" i="1"/>
  <c r="AI280" i="1"/>
  <c r="AE281" i="1"/>
  <c r="AF281" i="1"/>
  <c r="AG281" i="1"/>
  <c r="AH281" i="1"/>
  <c r="AI281" i="1"/>
  <c r="AE282" i="1"/>
  <c r="AF282" i="1"/>
  <c r="AG282" i="1"/>
  <c r="AH282" i="1"/>
  <c r="AI282" i="1"/>
  <c r="AE283" i="1"/>
  <c r="AF283" i="1"/>
  <c r="AG283" i="1"/>
  <c r="AH283" i="1"/>
  <c r="AI283" i="1"/>
  <c r="AE284" i="1"/>
  <c r="AF284" i="1"/>
  <c r="AG284" i="1"/>
  <c r="AH284" i="1"/>
  <c r="AI284" i="1"/>
  <c r="AE285" i="1"/>
  <c r="AF285" i="1"/>
  <c r="AG285" i="1"/>
  <c r="AH285" i="1"/>
  <c r="AI285" i="1"/>
  <c r="AE286" i="1"/>
  <c r="AF286" i="1"/>
  <c r="AG286" i="1"/>
  <c r="AH286" i="1"/>
  <c r="AI286" i="1"/>
  <c r="AE287" i="1"/>
  <c r="AF287" i="1"/>
  <c r="AG287" i="1"/>
  <c r="AH287" i="1"/>
  <c r="AI287" i="1"/>
  <c r="AE288" i="1"/>
  <c r="AF288" i="1"/>
  <c r="AG288" i="1"/>
  <c r="AH288" i="1"/>
  <c r="AI288" i="1"/>
  <c r="AE289" i="1"/>
  <c r="AF289" i="1"/>
  <c r="AG289" i="1"/>
  <c r="AH289" i="1"/>
  <c r="AI289" i="1"/>
  <c r="AE290" i="1"/>
  <c r="AF290" i="1"/>
  <c r="AG290" i="1"/>
  <c r="AH290" i="1"/>
  <c r="AI290" i="1"/>
  <c r="AE291" i="1"/>
  <c r="AF291" i="1"/>
  <c r="AG291" i="1"/>
  <c r="AH291" i="1"/>
  <c r="AI291" i="1"/>
  <c r="AE292" i="1"/>
  <c r="AF292" i="1"/>
  <c r="AG292" i="1"/>
  <c r="AH292" i="1"/>
  <c r="AI292" i="1"/>
  <c r="AE293" i="1"/>
  <c r="AF293" i="1"/>
  <c r="AG293" i="1"/>
  <c r="AH293" i="1"/>
  <c r="AI293" i="1"/>
  <c r="AE294" i="1"/>
  <c r="AF294" i="1"/>
  <c r="AG294" i="1"/>
  <c r="AH294" i="1"/>
  <c r="AI294" i="1"/>
  <c r="AE295" i="1"/>
  <c r="AF295" i="1"/>
  <c r="AG295" i="1"/>
  <c r="AH295" i="1"/>
  <c r="AI295" i="1"/>
  <c r="AE296" i="1"/>
  <c r="AF296" i="1"/>
  <c r="AG296" i="1"/>
  <c r="AH296" i="1"/>
  <c r="AI296" i="1"/>
  <c r="AE297" i="1"/>
  <c r="AF297" i="1"/>
  <c r="AG297" i="1"/>
  <c r="AH297" i="1"/>
  <c r="AI297" i="1"/>
  <c r="AE298" i="1"/>
  <c r="AF298" i="1"/>
  <c r="AG298" i="1"/>
  <c r="AH298" i="1"/>
  <c r="AI298" i="1"/>
  <c r="AE299" i="1"/>
  <c r="AF299" i="1"/>
  <c r="AG299" i="1"/>
  <c r="AH299" i="1"/>
  <c r="AI299" i="1"/>
  <c r="AE300" i="1"/>
  <c r="AF300" i="1"/>
  <c r="AG300" i="1"/>
  <c r="AH300" i="1"/>
  <c r="AI300" i="1"/>
  <c r="AE301" i="1"/>
  <c r="AF301" i="1"/>
  <c r="AG301" i="1"/>
  <c r="AH301" i="1"/>
  <c r="AI301" i="1"/>
  <c r="AE302" i="1"/>
  <c r="AF302" i="1"/>
  <c r="AG302" i="1"/>
  <c r="AH302" i="1"/>
  <c r="AI302" i="1"/>
  <c r="AE303" i="1"/>
  <c r="AF303" i="1"/>
  <c r="AG303" i="1"/>
  <c r="AH303" i="1"/>
  <c r="AI303" i="1"/>
  <c r="AE304" i="1"/>
  <c r="AF304" i="1"/>
  <c r="AG304" i="1"/>
  <c r="AH304" i="1"/>
  <c r="AI304" i="1"/>
  <c r="AE305" i="1"/>
  <c r="AF305" i="1"/>
  <c r="AG305" i="1"/>
  <c r="AH305" i="1"/>
  <c r="AI305" i="1"/>
  <c r="AE306" i="1"/>
  <c r="AF306" i="1"/>
  <c r="AG306" i="1"/>
  <c r="AH306" i="1"/>
  <c r="AI306" i="1"/>
  <c r="AE307" i="1"/>
  <c r="AF307" i="1"/>
  <c r="AG307" i="1"/>
  <c r="AH307" i="1"/>
  <c r="AI307" i="1"/>
  <c r="AE308" i="1"/>
  <c r="AF308" i="1"/>
  <c r="AG308" i="1"/>
  <c r="AH308" i="1"/>
  <c r="AI308" i="1"/>
  <c r="AE309" i="1"/>
  <c r="AF309" i="1"/>
  <c r="AG309" i="1"/>
  <c r="AH309" i="1"/>
  <c r="AI309" i="1"/>
  <c r="AE310" i="1"/>
  <c r="AF310" i="1"/>
  <c r="AG310" i="1"/>
  <c r="AH310" i="1"/>
  <c r="AI310" i="1"/>
  <c r="AE311" i="1"/>
  <c r="AF311" i="1"/>
  <c r="AG311" i="1"/>
  <c r="AH311" i="1"/>
  <c r="AI311" i="1"/>
  <c r="AE312" i="1"/>
  <c r="AF312" i="1"/>
  <c r="AG312" i="1"/>
  <c r="AH312" i="1"/>
  <c r="AI312" i="1"/>
  <c r="AE313" i="1"/>
  <c r="AF313" i="1"/>
  <c r="AG313" i="1"/>
  <c r="AH313" i="1"/>
  <c r="AI313" i="1"/>
  <c r="AE314" i="1"/>
  <c r="AF314" i="1"/>
  <c r="AG314" i="1"/>
  <c r="AH314" i="1"/>
  <c r="AI314" i="1"/>
  <c r="AE315" i="1"/>
  <c r="AF315" i="1"/>
  <c r="AG315" i="1"/>
  <c r="AH315" i="1"/>
  <c r="AI315" i="1"/>
  <c r="AE316" i="1"/>
  <c r="AF316" i="1"/>
  <c r="AG316" i="1"/>
  <c r="AH316" i="1"/>
  <c r="AI316" i="1"/>
  <c r="AE317" i="1"/>
  <c r="AF317" i="1"/>
  <c r="AG317" i="1"/>
  <c r="AH317" i="1"/>
  <c r="AI317" i="1"/>
  <c r="AE318" i="1"/>
  <c r="AF318" i="1"/>
  <c r="AG318" i="1"/>
  <c r="AH318" i="1"/>
  <c r="AI318" i="1"/>
  <c r="AE319" i="1"/>
  <c r="AF319" i="1"/>
  <c r="AG319" i="1"/>
  <c r="AH319" i="1"/>
  <c r="AI319" i="1"/>
  <c r="AE320" i="1"/>
  <c r="AF320" i="1"/>
  <c r="AG320" i="1"/>
  <c r="AH320" i="1"/>
  <c r="AI320" i="1"/>
  <c r="AE321" i="1"/>
  <c r="AF321" i="1"/>
  <c r="AG321" i="1"/>
  <c r="AH321" i="1"/>
  <c r="AI321" i="1"/>
  <c r="AE322" i="1"/>
  <c r="AF322" i="1"/>
  <c r="AG322" i="1"/>
  <c r="AH322" i="1"/>
  <c r="AI322" i="1"/>
  <c r="AE323" i="1"/>
  <c r="AF323" i="1"/>
  <c r="AG323" i="1"/>
  <c r="AH323" i="1"/>
  <c r="AI323" i="1"/>
  <c r="AE324" i="1"/>
  <c r="AF324" i="1"/>
  <c r="AG324" i="1"/>
  <c r="AH324" i="1"/>
  <c r="AI324" i="1"/>
  <c r="AE325" i="1"/>
  <c r="AF325" i="1"/>
  <c r="AG325" i="1"/>
  <c r="AH325" i="1"/>
  <c r="AI325" i="1"/>
  <c r="AE326" i="1"/>
  <c r="AF326" i="1"/>
  <c r="AG326" i="1"/>
  <c r="AH326" i="1"/>
  <c r="AI326" i="1"/>
  <c r="AE327" i="1"/>
  <c r="AF327" i="1"/>
  <c r="AG327" i="1"/>
  <c r="AH327" i="1"/>
  <c r="AI327" i="1"/>
  <c r="AE328" i="1"/>
  <c r="AF328" i="1"/>
  <c r="AG328" i="1"/>
  <c r="AH328" i="1"/>
  <c r="AI328" i="1"/>
  <c r="AE329" i="1"/>
  <c r="AF329" i="1"/>
  <c r="AG329" i="1"/>
  <c r="AH329" i="1"/>
  <c r="AI329" i="1"/>
  <c r="AE330" i="1"/>
  <c r="AF330" i="1"/>
  <c r="AG330" i="1"/>
  <c r="AH330" i="1"/>
  <c r="AI330" i="1"/>
  <c r="AE331" i="1"/>
  <c r="AF331" i="1"/>
  <c r="AG331" i="1"/>
  <c r="AH331" i="1"/>
  <c r="AI331" i="1"/>
  <c r="AE332" i="1"/>
  <c r="AF332" i="1"/>
  <c r="AG332" i="1"/>
  <c r="AH332" i="1"/>
  <c r="AI332" i="1"/>
  <c r="AE333" i="1"/>
  <c r="AF333" i="1"/>
  <c r="AG333" i="1"/>
  <c r="AH333" i="1"/>
  <c r="AI333" i="1"/>
  <c r="AE334" i="1"/>
  <c r="AF334" i="1"/>
  <c r="AG334" i="1"/>
  <c r="AH334" i="1"/>
  <c r="AI334" i="1"/>
  <c r="AE335" i="1"/>
  <c r="AF335" i="1"/>
  <c r="AG335" i="1"/>
  <c r="AH335" i="1"/>
  <c r="AI335" i="1"/>
  <c r="AE336" i="1"/>
  <c r="AF336" i="1"/>
  <c r="AG336" i="1"/>
  <c r="AH336" i="1"/>
  <c r="AI336" i="1"/>
  <c r="AE337" i="1"/>
  <c r="AF337" i="1"/>
  <c r="AG337" i="1"/>
  <c r="AH337" i="1"/>
  <c r="AI337" i="1"/>
  <c r="AE338" i="1"/>
  <c r="AF338" i="1"/>
  <c r="AG338" i="1"/>
  <c r="AH338" i="1"/>
  <c r="AI338" i="1"/>
  <c r="AE339" i="1"/>
  <c r="AF339" i="1"/>
  <c r="AG339" i="1"/>
  <c r="AH339" i="1"/>
  <c r="AI339" i="1"/>
  <c r="AE340" i="1"/>
  <c r="AF340" i="1"/>
  <c r="AG340" i="1"/>
  <c r="AH340" i="1"/>
  <c r="AI340" i="1"/>
  <c r="AE341" i="1"/>
  <c r="AF341" i="1"/>
  <c r="AG341" i="1"/>
  <c r="AH341" i="1"/>
  <c r="AI341" i="1"/>
  <c r="AE342" i="1"/>
  <c r="AF342" i="1"/>
  <c r="AG342" i="1"/>
  <c r="AH342" i="1"/>
  <c r="AI342" i="1"/>
  <c r="AE343" i="1"/>
  <c r="AF343" i="1"/>
  <c r="AG343" i="1"/>
  <c r="AH343" i="1"/>
  <c r="AI343" i="1"/>
  <c r="AE344" i="1"/>
  <c r="AF344" i="1"/>
  <c r="AG344" i="1"/>
  <c r="AH344" i="1"/>
  <c r="AI344" i="1"/>
  <c r="AE345" i="1"/>
  <c r="AF345" i="1"/>
  <c r="AG345" i="1"/>
  <c r="AH345" i="1"/>
  <c r="AI345" i="1"/>
  <c r="AE346" i="1"/>
  <c r="AF346" i="1"/>
  <c r="AG346" i="1"/>
  <c r="AH346" i="1"/>
  <c r="AI346" i="1"/>
  <c r="AE347" i="1"/>
  <c r="AF347" i="1"/>
  <c r="AG347" i="1"/>
  <c r="AH347" i="1"/>
  <c r="AI347" i="1"/>
  <c r="AE348" i="1"/>
  <c r="AF348" i="1"/>
  <c r="AG348" i="1"/>
  <c r="AH348" i="1"/>
  <c r="AI348" i="1"/>
  <c r="AE349" i="1"/>
  <c r="AF349" i="1"/>
  <c r="AG349" i="1"/>
  <c r="AH349" i="1"/>
  <c r="AI349" i="1"/>
  <c r="AE350" i="1"/>
  <c r="AF350" i="1"/>
  <c r="AG350" i="1"/>
  <c r="AH350" i="1"/>
  <c r="AI350" i="1"/>
  <c r="AE351" i="1"/>
  <c r="AF351" i="1"/>
  <c r="AG351" i="1"/>
  <c r="AH351" i="1"/>
  <c r="AI351" i="1"/>
  <c r="AE352" i="1"/>
  <c r="AF352" i="1"/>
  <c r="AG352" i="1"/>
  <c r="AH352" i="1"/>
  <c r="AI352" i="1"/>
  <c r="AE353" i="1"/>
  <c r="AF353" i="1"/>
  <c r="AG353" i="1"/>
  <c r="AH353" i="1"/>
  <c r="AI353" i="1"/>
  <c r="AE354" i="1"/>
  <c r="AF354" i="1"/>
  <c r="AG354" i="1"/>
  <c r="AH354" i="1"/>
  <c r="AI354" i="1"/>
  <c r="AE355" i="1"/>
  <c r="AF355" i="1"/>
  <c r="AG355" i="1"/>
  <c r="AH355" i="1"/>
  <c r="AI355" i="1"/>
  <c r="AE356" i="1"/>
  <c r="AF356" i="1"/>
  <c r="AG356" i="1"/>
  <c r="AH356" i="1"/>
  <c r="AI356" i="1"/>
  <c r="AE357" i="1"/>
  <c r="AF357" i="1"/>
  <c r="AG357" i="1"/>
  <c r="AH357" i="1"/>
  <c r="AI357" i="1"/>
  <c r="AE358" i="1"/>
  <c r="AF358" i="1"/>
  <c r="AG358" i="1"/>
  <c r="AH358" i="1"/>
  <c r="AI358" i="1"/>
  <c r="AE359" i="1"/>
  <c r="AF359" i="1"/>
  <c r="AG359" i="1"/>
  <c r="AH359" i="1"/>
  <c r="AI359" i="1"/>
  <c r="AE360" i="1"/>
  <c r="AF360" i="1"/>
  <c r="AG360" i="1"/>
  <c r="AH360" i="1"/>
  <c r="AI360" i="1"/>
  <c r="AE361" i="1"/>
  <c r="AF361" i="1"/>
  <c r="AG361" i="1"/>
  <c r="AH361" i="1"/>
  <c r="AI361" i="1"/>
  <c r="AE362" i="1"/>
  <c r="AF362" i="1"/>
  <c r="AG362" i="1"/>
  <c r="AH362" i="1"/>
  <c r="AI362" i="1"/>
  <c r="AE363" i="1"/>
  <c r="AF363" i="1"/>
  <c r="AG363" i="1"/>
  <c r="AH363" i="1"/>
  <c r="AI363" i="1"/>
  <c r="AE364" i="1"/>
  <c r="AF364" i="1"/>
  <c r="AG364" i="1"/>
  <c r="AH364" i="1"/>
  <c r="AI364" i="1"/>
  <c r="AE365" i="1"/>
  <c r="AF365" i="1"/>
  <c r="AG365" i="1"/>
  <c r="AH365" i="1"/>
  <c r="AI365" i="1"/>
  <c r="AE366" i="1"/>
  <c r="AF366" i="1"/>
  <c r="AG366" i="1"/>
  <c r="AH366" i="1"/>
  <c r="AI366" i="1"/>
  <c r="AE367" i="1"/>
  <c r="AF367" i="1"/>
  <c r="AG367" i="1"/>
  <c r="AH367" i="1"/>
  <c r="AI367" i="1"/>
  <c r="AE368" i="1"/>
  <c r="AF368" i="1"/>
  <c r="AG368" i="1"/>
  <c r="AH368" i="1"/>
  <c r="AI368" i="1"/>
  <c r="AE369" i="1"/>
  <c r="AF369" i="1"/>
  <c r="AG369" i="1"/>
  <c r="AH369" i="1"/>
  <c r="AI369" i="1"/>
  <c r="AE370" i="1"/>
  <c r="AF370" i="1"/>
  <c r="AG370" i="1"/>
  <c r="AH370" i="1"/>
  <c r="AI370" i="1"/>
  <c r="AE371" i="1"/>
  <c r="AF371" i="1"/>
  <c r="AG371" i="1"/>
  <c r="AH371" i="1"/>
  <c r="AI371" i="1"/>
  <c r="AE372" i="1"/>
  <c r="AF372" i="1"/>
  <c r="AG372" i="1"/>
  <c r="AH372" i="1"/>
  <c r="AI372" i="1"/>
  <c r="AE373" i="1"/>
  <c r="AF373" i="1"/>
  <c r="AG373" i="1"/>
  <c r="AH373" i="1"/>
  <c r="AI373" i="1"/>
  <c r="AE374" i="1"/>
  <c r="AF374" i="1"/>
  <c r="AG374" i="1"/>
  <c r="AH374" i="1"/>
  <c r="AI374" i="1"/>
  <c r="AI3" i="1"/>
  <c r="AH3" i="1"/>
  <c r="AG3" i="1"/>
  <c r="AF3" i="1"/>
  <c r="AE3" i="1"/>
  <c r="E8" i="6" l="1"/>
  <c r="E4" i="6"/>
  <c r="F17" i="6"/>
  <c r="E10" i="6"/>
  <c r="K6" i="6"/>
  <c r="E9" i="6"/>
  <c r="E5" i="6"/>
  <c r="F9" i="6"/>
  <c r="F5" i="6"/>
  <c r="C7" i="7"/>
  <c r="C6" i="7"/>
  <c r="C5" i="7"/>
  <c r="C9" i="7"/>
  <c r="C13" i="7"/>
  <c r="C3" i="7"/>
  <c r="C4" i="7"/>
  <c r="C8" i="7"/>
  <c r="L14" i="6"/>
  <c r="K5" i="6"/>
  <c r="Q15" i="6"/>
  <c r="K17" i="6"/>
  <c r="K18" i="6"/>
  <c r="K19" i="6"/>
  <c r="F19" i="6"/>
  <c r="K15" i="6"/>
  <c r="F15" i="6"/>
  <c r="E17" i="6"/>
  <c r="E19" i="6"/>
  <c r="E20" i="6"/>
  <c r="Q5" i="6"/>
  <c r="L5" i="6"/>
  <c r="R15" i="6"/>
  <c r="L15" i="6"/>
  <c r="K7" i="6"/>
  <c r="E15" i="6"/>
  <c r="R5" i="6"/>
  <c r="Q7" i="6"/>
  <c r="Q9" i="6"/>
  <c r="L9" i="6"/>
  <c r="R19" i="6"/>
  <c r="K9" i="6"/>
  <c r="Q19" i="6"/>
  <c r="L19" i="6"/>
  <c r="R9" i="6"/>
  <c r="K10" i="6"/>
  <c r="B3" i="8"/>
  <c r="B5" i="8"/>
  <c r="B2" i="8"/>
  <c r="C2" i="8"/>
  <c r="C5" i="8"/>
  <c r="C3" i="8"/>
  <c r="B4" i="8"/>
  <c r="C4" i="8"/>
  <c r="B6" i="8"/>
  <c r="C6" i="8"/>
  <c r="G8" i="7"/>
  <c r="H15" i="7"/>
  <c r="G4" i="7"/>
  <c r="G6" i="7"/>
  <c r="G10" i="7"/>
  <c r="G12" i="7"/>
  <c r="G14" i="7"/>
  <c r="H4" i="7"/>
  <c r="H6" i="7"/>
  <c r="H8" i="7"/>
  <c r="H10" i="7"/>
  <c r="H12" i="7"/>
  <c r="H14" i="7"/>
  <c r="G3" i="7"/>
  <c r="G5" i="7"/>
  <c r="G7" i="7"/>
  <c r="G9" i="7"/>
  <c r="G11" i="7"/>
  <c r="G13" i="7"/>
  <c r="G15" i="7"/>
  <c r="H3" i="7"/>
  <c r="H5" i="7"/>
  <c r="H7" i="7"/>
  <c r="H9" i="7"/>
  <c r="H11" i="7"/>
  <c r="H13" i="7"/>
  <c r="H3" i="5"/>
  <c r="H6" i="5"/>
  <c r="H5" i="5"/>
  <c r="H7" i="5"/>
  <c r="H4" i="5"/>
  <c r="F18" i="6" l="1"/>
  <c r="D4" i="7"/>
  <c r="K8" i="6"/>
  <c r="Q8" i="6"/>
  <c r="R4" i="6"/>
  <c r="L20" i="6"/>
  <c r="F10" i="6"/>
  <c r="I8" i="7"/>
  <c r="F20" i="6"/>
  <c r="G20" i="6" s="1"/>
  <c r="R10" i="6"/>
  <c r="E14" i="6"/>
  <c r="F14" i="6"/>
  <c r="K20" i="6"/>
  <c r="Q14" i="6"/>
  <c r="C11" i="7"/>
  <c r="L10" i="6"/>
  <c r="M10" i="6" s="1"/>
  <c r="L18" i="6"/>
  <c r="M18" i="6" s="1"/>
  <c r="Q10" i="6"/>
  <c r="R18" i="6"/>
  <c r="S5" i="6"/>
  <c r="L4" i="6"/>
  <c r="R14" i="6"/>
  <c r="S14" i="6" s="1"/>
  <c r="R8" i="6"/>
  <c r="C12" i="7"/>
  <c r="D13" i="7" s="1"/>
  <c r="C10" i="7"/>
  <c r="F4" i="6"/>
  <c r="R20" i="6"/>
  <c r="C14" i="7"/>
  <c r="D14" i="7" s="1"/>
  <c r="Q20" i="6"/>
  <c r="Q18" i="6"/>
  <c r="L8" i="6"/>
  <c r="M8" i="6" s="1"/>
  <c r="K4" i="6"/>
  <c r="M4" i="6" s="1"/>
  <c r="Q4" i="6"/>
  <c r="E18" i="6"/>
  <c r="G18" i="6" s="1"/>
  <c r="K14" i="6"/>
  <c r="M14" i="6" s="1"/>
  <c r="F8" i="6"/>
  <c r="G8" i="6" s="1"/>
  <c r="R17" i="6"/>
  <c r="F6" i="6"/>
  <c r="E7" i="6"/>
  <c r="Q6" i="6"/>
  <c r="E6" i="6"/>
  <c r="G10" i="6"/>
  <c r="R7" i="6"/>
  <c r="S7" i="6" s="1"/>
  <c r="R16" i="6"/>
  <c r="F16" i="6"/>
  <c r="R6" i="6"/>
  <c r="Q16" i="6"/>
  <c r="L6" i="6"/>
  <c r="M6" i="6" s="1"/>
  <c r="L17" i="6"/>
  <c r="M17" i="6" s="1"/>
  <c r="L16" i="6"/>
  <c r="K16" i="6"/>
  <c r="F7" i="6"/>
  <c r="L7" i="6"/>
  <c r="M7" i="6" s="1"/>
  <c r="E16" i="6"/>
  <c r="Q17" i="6"/>
  <c r="G5" i="6"/>
  <c r="D5" i="7"/>
  <c r="D10" i="7"/>
  <c r="G17" i="6"/>
  <c r="G9" i="6"/>
  <c r="D9" i="7"/>
  <c r="S4" i="6"/>
  <c r="I9" i="7"/>
  <c r="I15" i="7"/>
  <c r="I10" i="7"/>
  <c r="I13" i="7"/>
  <c r="I5" i="7"/>
  <c r="I4" i="7"/>
  <c r="I11" i="7"/>
  <c r="I3" i="7"/>
  <c r="I14" i="7"/>
  <c r="I7" i="7"/>
  <c r="I12" i="7"/>
  <c r="I6" i="7"/>
  <c r="M15" i="6"/>
  <c r="S9" i="6"/>
  <c r="S8" i="6"/>
  <c r="G15" i="6"/>
  <c r="M5" i="6"/>
  <c r="S19" i="6"/>
  <c r="G19" i="6"/>
  <c r="M19" i="6"/>
  <c r="S15" i="6"/>
  <c r="S10" i="6"/>
  <c r="M9" i="6"/>
  <c r="D7" i="7"/>
  <c r="D6" i="7"/>
  <c r="D8" i="7"/>
  <c r="G16" i="6" l="1"/>
  <c r="M16" i="6"/>
  <c r="S6" i="6"/>
  <c r="M20" i="6"/>
  <c r="S17" i="6"/>
  <c r="S20" i="6"/>
  <c r="S18" i="6"/>
  <c r="D11" i="7"/>
  <c r="G14" i="6"/>
  <c r="D12" i="7"/>
  <c r="S16" i="6"/>
  <c r="G7" i="6"/>
  <c r="G6" i="6"/>
</calcChain>
</file>

<file path=xl/sharedStrings.xml><?xml version="1.0" encoding="utf-8"?>
<sst xmlns="http://schemas.openxmlformats.org/spreadsheetml/2006/main" count="4229" uniqueCount="303">
  <si>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</si>
  <si>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</si>
  <si>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</si>
  <si>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</si>
  <si>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</si>
  <si>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</si>
  <si>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</si>
  <si>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</si>
  <si>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</si>
  <si>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</si>
  <si>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</si>
  <si>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</si>
  <si>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</si>
  <si>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</si>
  <si>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</si>
  <si>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</si>
  <si>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</si>
  <si>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</si>
  <si>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</si>
  <si>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</si>
  <si>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</si>
  <si>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</si>
  <si>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</si>
  <si>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</si>
  <si>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</si>
  <si>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</si>
  <si>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</si>
  <si>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</si>
  <si>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</si>
  <si>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</si>
  <si>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</si>
  <si>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</si>
  <si>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</si>
  <si>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</si>
  <si>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</si>
  <si>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</si>
  <si>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</si>
  <si>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</si>
  <si>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</si>
  <si>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</si>
  <si>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</si>
  <si>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</si>
  <si>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</si>
  <si>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 xml:space="preserve">November </t>
  </si>
  <si>
    <t>November</t>
  </si>
  <si>
    <t>December</t>
  </si>
  <si>
    <t>Marcrh</t>
  </si>
  <si>
    <t>Food</t>
  </si>
  <si>
    <t>Food:</t>
  </si>
  <si>
    <t>Energy:</t>
  </si>
  <si>
    <t>Transportation:</t>
  </si>
  <si>
    <t>Transport (from "Transport and communication," only the transport part)</t>
  </si>
  <si>
    <t>Other:</t>
  </si>
  <si>
    <t xml:space="preserve">Energy </t>
  </si>
  <si>
    <t xml:space="preserve">Transportation </t>
  </si>
  <si>
    <t>Others</t>
  </si>
  <si>
    <t>Broader Categories</t>
  </si>
  <si>
    <t>Category</t>
  </si>
  <si>
    <t>Total</t>
  </si>
  <si>
    <t>Percentage</t>
  </si>
  <si>
    <t>“In May, Food contributed 50% to the CPI basket, making it the highest contributor, followed by Others (39%). This indicates that food prices have the largest impact on overall inflation.”</t>
  </si>
  <si>
    <t>Insight 1</t>
  </si>
  <si>
    <t>Data Analysis Tasks:</t>
  </si>
  <si>
    <t>Find which category (e.g., food or energy) contributed most to inflation in the latest month.</t>
  </si>
  <si>
    <t>Analyze year-on-year CPI growth since 2017 and identify the year with the highest inflation (e.g., 2020 due to COVID-19).</t>
  </si>
  <si>
    <t>Examine food price trends over the last 12 months, find the month with the highest food inflation, and the biggest contributor (e.g., vegetables).</t>
  </si>
  <si>
    <t>Study the impact of COVID-19 and global events (like oil price changes) on inflation.</t>
  </si>
  <si>
    <t>Example Calculation:</t>
  </si>
  <si>
    <t>If CPI for food in Jan is 120 and in Feb is 126:</t>
  </si>
  <si>
    <t>Monthly inflation = (126-120)/120 × 100 = 5%</t>
  </si>
  <si>
    <t>To analyze year-on-year (Y-o-Y) CPI growth since 2017 and find the year with the highest inflation, follow these steps:</t>
  </si>
  <si>
    <t>1. Collect Data:</t>
  </si>
  <si>
    <t>Gather monthly or yearly CPI values for each year from 2017 onwards (for both rural and urban, or the General Index).</t>
  </si>
  <si>
    <t>2. Calculate Annual Inflation Rate:</t>
  </si>
  <si>
    <t>Use the formula:</t>
  </si>
  <si>
    <t>Annual Inflation Rate = ((CPI at end of year – CPI at start of year) / CPI at start of year) × 100</t>
  </si>
  <si>
    <t>Example: If CPI in Jan 2017 = 100 and Dec 2017 = 105,</t>
  </si>
  <si>
    <t>Inflation Rate = ((105-100)/100) × 100 = 5%</t>
  </si>
  <si>
    <t>3. Repeat for Each Year:</t>
  </si>
  <si>
    <t>Do this calculation for 2017, 2018, 2019, 2020, 2021, 2022, and 2023.</t>
  </si>
  <si>
    <t>4. Compare Results:</t>
  </si>
  <si>
    <t>List the annual inflation rates for each year.</t>
  </si>
  <si>
    <t>Identify the year with the highest value.</t>
  </si>
  <si>
    <t>5. Interpretation:</t>
  </si>
  <si>
    <t>For example, if 2020 shows the highest inflation, it’s likely due to COVID-19 disruptions (supply chain issues, increased demand for essentials, etc.).</t>
  </si>
  <si>
    <t>Example Table:</t>
  </si>
  <si>
    <t>CPI Start</t>
  </si>
  <si>
    <t>CPI End</t>
  </si>
  <si>
    <t>Inflation Rate (%)</t>
  </si>
  <si>
    <r>
      <t>Tip:</t>
    </r>
    <r>
      <rPr>
        <sz val="7"/>
        <color rgb="FF292A31"/>
        <rFont val="Arial"/>
        <family val="2"/>
      </rPr>
      <t> Use Excel to automate calculations and plot a line graph for visual analysis. Let me know if you need help with Excel formulas or graph creation!</t>
    </r>
  </si>
  <si>
    <t>Energy</t>
  </si>
  <si>
    <t>Transport</t>
  </si>
  <si>
    <t xml:space="preserve">Month </t>
  </si>
  <si>
    <t>MOM Inflation %</t>
  </si>
  <si>
    <t>CPI</t>
  </si>
  <si>
    <t>%</t>
  </si>
  <si>
    <t>Post Covid</t>
  </si>
  <si>
    <t>PreCovid</t>
  </si>
  <si>
    <t>% Change</t>
  </si>
  <si>
    <t>Interpretation</t>
  </si>
  <si>
    <t>ppac.gov.in</t>
  </si>
  <si>
    <t>Insight 2</t>
  </si>
  <si>
    <t>General Index (Rural +Urban city Inflation )"Highest Inflation was recoreded for the year 2019 as per the data "</t>
  </si>
  <si>
    <t>CPI '2022</t>
  </si>
  <si>
    <t>CPI' 2023</t>
  </si>
  <si>
    <t>YOY Inflation %</t>
  </si>
  <si>
    <t>Food Sub Category(Rural +Urban)</t>
  </si>
  <si>
    <t xml:space="preserve">Date </t>
  </si>
  <si>
    <t>Month Number</t>
  </si>
  <si>
    <t>The business problem is to analyze the key drivers and trends of inflation in India by examining the Consumer Price Index (CPI) data across various categories, identify the main contributors to rising prices, and assess the impact of major events such as COVID-19 and global oil price fluctuations on overall inflation. This analysis will help policymakers and businesses understand inflation dynamics and make informed decisions.</t>
  </si>
  <si>
    <r>
      <t>Handle Missing Values:</t>
    </r>
    <r>
      <rPr>
        <sz val="12"/>
        <color rgb="FF292A31"/>
        <rFont val="Arial"/>
        <family val="2"/>
      </rPr>
      <t> Identify missing data points and use imputation techniques like moving averages to fill gaps. For example, if April’s value is missing, average March and May’s values to estimate it.</t>
    </r>
  </si>
  <si>
    <r>
      <t>Check for Duplicates:</t>
    </r>
    <r>
      <rPr>
        <sz val="12"/>
        <color rgb="FF292A31"/>
        <rFont val="Arial"/>
        <family val="2"/>
      </rPr>
      <t> Remove any duplicate records to avoid skewed results.</t>
    </r>
  </si>
  <si>
    <r>
      <t>Standardize Formats:</t>
    </r>
    <r>
      <rPr>
        <sz val="12"/>
        <color rgb="FF292A31"/>
        <rFont val="Arial"/>
        <family val="2"/>
      </rPr>
      <t> Ensure all dates, categories, and numerical values follow a consistent format (e.g., YYYY-MM for dates).</t>
    </r>
  </si>
  <si>
    <r>
      <t>Validate Data Ranges:</t>
    </r>
    <r>
      <rPr>
        <sz val="12"/>
        <color rgb="FF292A31"/>
        <rFont val="Arial"/>
        <family val="2"/>
      </rPr>
      <t> Check that index values are within expected ranges and flag any outliers for review.</t>
    </r>
  </si>
  <si>
    <r>
      <t>Categorize Data:</t>
    </r>
    <r>
      <rPr>
        <sz val="12"/>
        <color rgb="FF292A31"/>
        <rFont val="Arial"/>
        <family val="2"/>
      </rPr>
      <t> Group items correctly into broader categories (food, energy, etc.) as per the CPI basket.</t>
    </r>
  </si>
  <si>
    <r>
      <t>Document Changes:</t>
    </r>
    <r>
      <rPr>
        <sz val="12"/>
        <color rgb="FF292A31"/>
        <rFont val="Arial"/>
        <family val="2"/>
      </rPr>
      <t> Keep a log of all cleaning steps for transparency and reproducibility.</t>
    </r>
  </si>
  <si>
    <t>Data Preparation – Briefly explain how you ensured clean, accurate data.</t>
  </si>
  <si>
    <t>State the business problem in one or two sentences.</t>
  </si>
  <si>
    <t>Analysis Approach – Describe the charts, formulas, and metrics you used.</t>
  </si>
  <si>
    <t>[(\text{Current Value} - \text{Previous Value}) / \text{Previous Value} \times 100]</t>
  </si>
  <si>
    <t>This was applied for year-on-year (YoY), month-on-month (MoM), and quarter-on-quarter (QoQ) calculations.</t>
  </si>
  <si>
    <t>For visualization, I used:</t>
  </si>
  <si>
    <t>These charts and metrics helped identify which month, year, or category had the highest or lowest inflation.</t>
  </si>
  <si>
    <r>
      <t>I used </t>
    </r>
    <r>
      <rPr>
        <sz val="12"/>
        <color rgb="FF292A31"/>
        <rFont val="Arial"/>
        <family val="2"/>
      </rPr>
      <t>SUMIFS</t>
    </r>
    <r>
      <rPr>
        <sz val="12"/>
        <color rgb="FF292A31"/>
        <rFont val="Arial"/>
        <family val="2"/>
      </rPr>
      <t> and </t>
    </r>
    <r>
      <rPr>
        <sz val="12"/>
        <color rgb="FF292A31"/>
        <rFont val="Arial"/>
        <family val="2"/>
      </rPr>
      <t>AVERAGEIFS</t>
    </r>
    <r>
      <rPr>
        <sz val="12"/>
        <color rgb="FF292A31"/>
        <rFont val="Arial"/>
        <family val="2"/>
      </rPr>
      <t> formulas in Excel to aggregate and analyze data for different categories and time periods.</t>
    </r>
  </si>
  <si>
    <r>
      <t>The </t>
    </r>
    <r>
      <rPr>
        <sz val="12"/>
        <color rgb="FF292A31"/>
        <rFont val="Arial"/>
        <family val="2"/>
      </rPr>
      <t>Inflation Rate</t>
    </r>
    <r>
      <rPr>
        <sz val="12"/>
        <color rgb="FF292A31"/>
        <rFont val="Arial"/>
        <family val="2"/>
      </rPr>
      <t> was calculated using the formula:</t>
    </r>
  </si>
  <si>
    <r>
      <t>Bar charts</t>
    </r>
    <r>
      <rPr>
        <sz val="12"/>
        <color rgb="FF292A31"/>
        <rFont val="Arial"/>
        <family val="2"/>
      </rPr>
      <t> to compare inflation rates across categories and time periods.</t>
    </r>
  </si>
  <si>
    <r>
      <t>Pie charts</t>
    </r>
    <r>
      <rPr>
        <sz val="12"/>
        <color rgb="FF292A31"/>
        <rFont val="Arial"/>
        <family val="2"/>
      </rPr>
      <t> to show the contribution of each category to overall inflation.</t>
    </r>
  </si>
  <si>
    <r>
      <t>Line charts</t>
    </r>
    <r>
      <rPr>
        <sz val="12"/>
        <color rgb="FF292A31"/>
        <rFont val="Arial"/>
        <family val="2"/>
      </rPr>
      <t> to display trends in inflation over time.</t>
    </r>
  </si>
  <si>
    <r>
      <t>Combo charts</t>
    </r>
    <r>
      <rPr>
        <sz val="12"/>
        <color rgb="FF292A31"/>
        <rFont val="Arial"/>
        <family val="2"/>
      </rPr>
      <t> to compare multiple metrics (e.g., category-wise inflation and overall CPI) in a single view.</t>
    </r>
  </si>
  <si>
    <t>Also used slicers for better analysis of the data</t>
  </si>
  <si>
    <t>Key Insights – Highlight the most important findings from your analysis.</t>
  </si>
  <si>
    <t>Row Labels</t>
  </si>
  <si>
    <t>Grand Total</t>
  </si>
  <si>
    <t xml:space="preserve">CPI </t>
  </si>
  <si>
    <t>% YOY</t>
  </si>
  <si>
    <t xml:space="preserve">Average of Transportation </t>
  </si>
  <si>
    <t>The highest inflation was observed in the food category during the year 2020, likely due to supply chain disruptions and increased demand during the COVID-19 pandemic.</t>
  </si>
  <si>
    <t>In 2021, the energy category experienced the highest CPI inflation, possibly driven by global crude oil price hikes and increased fuel costs.</t>
  </si>
  <si>
    <t>The transportation category also saw its highest CPI inflation in 2021, correlating with rising fuel prices and increased transportation costs post-pandemic.</t>
  </si>
  <si>
    <t>Average of General index</t>
  </si>
  <si>
    <t>Based on the CPI inflation analysis, here are some creative recommendations:</t>
  </si>
  <si>
    <t>These actions can help manage inflation, protect vulnerable groups, and ensure economic stability.</t>
  </si>
  <si>
    <t>Creative Recommendations – Suggest actions based on your insights.</t>
  </si>
  <si>
    <t>Top Contributing Category: Food often has the highest contribution to the CPI basket, meaning changes in food prices have the biggest impact on overall inflation. For example, if food prices rise sharply, overall inflation increases significantly.</t>
  </si>
  <si>
    <t>Year with Highest Inflation: The analysis may show that a specific year (e.g., 2022) had the highest year-on-year inflation, possibly due to global supply chain disruptions or spikes in commodity prices.</t>
  </si>
  <si>
    <t>COVID-19 Impact: After March 2020, inflation in healthcare and essential goods increased, reflecting higher demand and supply challenges during the pandemic.</t>
  </si>
  <si>
    <t>Food Price Trends: Within the last 12 months, certain months (e.g., July 2022) saw the highest food inflation, often driven by items like vegetables or edible oils.</t>
  </si>
  <si>
    <t>Oil Price Influence: Fluctuations in global crude oil prices from 2021-2023 directly affected fuel and transportation costs, which in turn pushed up overall inflation.</t>
  </si>
  <si>
    <t>Urban vs. Rural: CPI-U (urban) and CPI-R (rural) may show different inflation patterns, highlighting varying impacts on city and village consumers.</t>
  </si>
  <si>
    <t>Targeted Subsidies: If food or fuel is the main inflation driver, the government can offer targeted subsidies or tax relief on these items to ease consumer burden.</t>
  </si>
  <si>
    <r>
      <t>Diversify Imports:</t>
    </r>
    <r>
      <rPr>
        <sz val="12"/>
        <color rgb="FF292A31"/>
        <rFont val="Arial"/>
        <family val="2"/>
      </rPr>
      <t> To reduce the impact of global oil price shocks, India can diversify its energy imports and invest more in renewable energy sources.</t>
    </r>
  </si>
  <si>
    <r>
      <t>Strengthen Supply Chains:</t>
    </r>
    <r>
      <rPr>
        <sz val="12"/>
        <color rgb="FF292A31"/>
        <rFont val="Arial"/>
        <family val="2"/>
      </rPr>
      <t> Address supply chain disruptions (especially post-COVID) by improving logistics and supporting local producers, which can help stabilize prices for essentials.</t>
    </r>
  </si>
  <si>
    <r>
      <t>Monitor and Regulate Hoarding:</t>
    </r>
    <r>
      <rPr>
        <sz val="12"/>
        <color rgb="FF292A31"/>
        <rFont val="Arial"/>
        <family val="2"/>
      </rPr>
      <t> Implement stricter monitoring to prevent hoarding and artificial price hikes in high-inflation categories like food.</t>
    </r>
  </si>
  <si>
    <r>
      <t>Promote Urban-Rural Balance:</t>
    </r>
    <r>
      <rPr>
        <sz val="12"/>
        <color rgb="FF292A31"/>
        <rFont val="Arial"/>
        <family val="2"/>
      </rPr>
      <t> Since CPI-U and CPI-R can differ, tailor policies to address specific inflation issues in urban and rural areas.</t>
    </r>
  </si>
  <si>
    <r>
      <t>Public Awareness:</t>
    </r>
    <r>
      <rPr>
        <sz val="12"/>
        <color rgb="FF292A31"/>
        <rFont val="Arial"/>
        <family val="2"/>
      </rPr>
      <t> Educate consumers on inflation trends and promote smart spending or saving habits during high-inflation periods.</t>
    </r>
  </si>
  <si>
    <r>
      <t>Data-Driven Policy:</t>
    </r>
    <r>
      <rPr>
        <sz val="12"/>
        <color rgb="FF292A31"/>
        <rFont val="Arial"/>
        <family val="2"/>
      </rPr>
      <t> Use real-time CPI data analytics to make timely policy decisions, such as adjusting interest rates or import/export rules.</t>
    </r>
  </si>
  <si>
    <t>Analyzing CPI inflation helps businesses and policymakers make informed decisions:</t>
  </si>
  <si>
    <t>Example:</t>
  </si>
  <si>
    <t>If analysis shows food inflation is rising due to oil price hikes, a food company might lock in oil prices with suppliers or adjust its menu pricing, while the government might increase food subsidies to protect consumers.</t>
  </si>
  <si>
    <t>Business Impact – End with how your analysis influenced decisions or actions.</t>
  </si>
  <si>
    <t>Pricing Strategies: Companies can adjust product prices based on inflation trends to maintain profit margins.</t>
  </si>
  <si>
    <r>
      <t>Inventory Planning:</t>
    </r>
    <r>
      <rPr>
        <sz val="12"/>
        <color rgb="FF292A31"/>
        <rFont val="Arial"/>
        <family val="2"/>
      </rPr>
      <t> Retailers may stock up on goods if they anticipate price rises, especially in high-inflation categories like food or fuel.</t>
    </r>
  </si>
  <si>
    <r>
      <t>Cost Management:</t>
    </r>
    <r>
      <rPr>
        <sz val="12"/>
        <color rgb="FF292A31"/>
        <rFont val="Arial"/>
        <family val="2"/>
      </rPr>
      <t> Businesses can identify which input costs (e.g., energy, raw materials) are rising fastest and seek alternatives or negotiate better contracts.</t>
    </r>
  </si>
  <si>
    <r>
      <t>Policy Decisions:</t>
    </r>
    <r>
      <rPr>
        <sz val="12"/>
        <color rgb="FF292A31"/>
        <rFont val="Arial"/>
        <family val="2"/>
      </rPr>
      <t> Government can target subsidies or interventions in categories with the highest inflation (e.g., food during COVID-19).</t>
    </r>
  </si>
  <si>
    <r>
      <t>Investment Choices:</t>
    </r>
    <r>
      <rPr>
        <sz val="12"/>
        <color rgb="FF292A31"/>
        <rFont val="Arial"/>
        <family val="2"/>
      </rPr>
      <t> Investors use inflation trends to decide on sectors likely to perform well or poorly.</t>
    </r>
  </si>
  <si>
    <t xml:space="preserve">Footer: Complete </t>
  </si>
  <si>
    <t>CPI INFLATION CASE STUDY ANALYSIS</t>
  </si>
  <si>
    <t>The main aim is to analyze the key drivers and trends of inflation in India by examining the Consumer Price Index (CPI) data across various categories, identify the main contributors to rising prices, and assess the impact of major events such as COVID-19 and global oil price fluctuations on overall inflation. This analysis will help policymakers and businesses understand inflation dynamics and make informed decisions.</t>
  </si>
  <si>
    <t>Time period -October - November 2025</t>
  </si>
  <si>
    <t>Dataset : CPI Inflation Data set</t>
  </si>
  <si>
    <t>1. 2020 – Food Inflation Surge (COVID Impact)</t>
  </si>
  <si>
    <t>2. 2021 – Energy Inflation (Oil Price Spike)</t>
  </si>
  <si>
    <t>3. 2021 – Transportation Inflation (Fuel &amp; Logistics)</t>
  </si>
  <si>
    <t>5. 2022 – Peak Overall Inflation (Global Disruptions)</t>
  </si>
  <si>
    <t>Problem State,ent 4 and 5</t>
  </si>
  <si>
    <t>1)Targeted Subsidies – Offer subsidies or tax relief on food and fuel to reduce consumer burden during inflation spikes</t>
  </si>
  <si>
    <t>2)Diversify Imports – Reduce dependence on volatile oil markets by diversifying energy imports and investing in renewables</t>
  </si>
  <si>
    <t>3)Strengthen Supply Chains – Improve logistics and support local producers to stabilize prices, especially post-COVID</t>
  </si>
  <si>
    <t>4)Monitor and Regulate Hoarding – Prevent artificial price hikes in high-inflation categories like food through stricter monitoring</t>
  </si>
  <si>
    <t>5)Promote Urban-Rural Balance – Tailor inflation policies to address distinct CPI-U (urban) and CPI-R (rural) inflation patterns</t>
  </si>
  <si>
    <t>6)Public Awareness – Educate consumers on inflation trends and encourage smart spending and saving habits</t>
  </si>
  <si>
    <t>7)Data-Driven Policy – Use real-time CPI data to inform timely decisions like interest rate changes or trade adjustments</t>
  </si>
  <si>
    <t xml:space="preserve">Recommendations </t>
  </si>
  <si>
    <t>Precovid /Post</t>
  </si>
  <si>
    <t>Significant increase due to heightened focus on food security, home cooking, and supply chain resilience during lockdowns.</t>
  </si>
  <si>
    <t>Moderate rise driven by increased residential energy consumption and digital infrastructure needs.</t>
  </si>
  <si>
    <t>Largest increase, reflecting the critical role of logistics, delivery services, and mobility solutions during restricted movement periods.</t>
  </si>
  <si>
    <t>Decline due to school closures, shift to remote learning, and reclassification of education as non-essential in early phases.</t>
  </si>
  <si>
    <t>Includes services like sanitation, digital access, and mental health—gained importance as broader definitions of “essential” evolved.</t>
  </si>
  <si>
    <t>Indian Basket of Crude Oil (USD/Barrel)</t>
  </si>
  <si>
    <t>Jan-21</t>
  </si>
  <si>
    <t>Feb-21</t>
  </si>
  <si>
    <t>Mar-21</t>
  </si>
  <si>
    <t>Apr-21</t>
  </si>
  <si>
    <t>May-21</t>
  </si>
  <si>
    <t>Jun-21</t>
  </si>
  <si>
    <t>Jul-21</t>
  </si>
  <si>
    <t>Aug-21</t>
  </si>
  <si>
    <t>Sep-21</t>
  </si>
  <si>
    <t>Oct-21</t>
  </si>
  <si>
    <t>Nov-21</t>
  </si>
  <si>
    <t>Dec-21</t>
  </si>
  <si>
    <t>Jan-22</t>
  </si>
  <si>
    <t>Feb-22</t>
  </si>
  <si>
    <t>Mar-22</t>
  </si>
  <si>
    <t>Apr-22</t>
  </si>
  <si>
    <t>May-22</t>
  </si>
  <si>
    <t>Jun-22</t>
  </si>
  <si>
    <t>Jul-22</t>
  </si>
  <si>
    <t>Aug-22</t>
  </si>
  <si>
    <t>Sep-22</t>
  </si>
  <si>
    <t>Oct-22</t>
  </si>
  <si>
    <t>Nov-22</t>
  </si>
  <si>
    <t>Dec-22</t>
  </si>
  <si>
    <t>Jan-23</t>
  </si>
  <si>
    <t>Feb-23</t>
  </si>
  <si>
    <t>MOM INFLATION %</t>
  </si>
  <si>
    <t>YOY INFLATION %</t>
  </si>
  <si>
    <t>Oil</t>
  </si>
  <si>
    <t>MOM Correl</t>
  </si>
  <si>
    <t>YOY CORREL</t>
  </si>
  <si>
    <t>MOM CORRELATION WITH OIL PRICES (2021-2023)</t>
  </si>
  <si>
    <t>YOY CORRELATION WITH OIL PRICES (2021-2023)</t>
  </si>
  <si>
    <r>
      <t xml:space="preserve">Absolutely! Here are the </t>
    </r>
    <r>
      <rPr>
        <b/>
        <sz val="11"/>
        <color theme="1"/>
        <rFont val="Calibri"/>
        <family val="2"/>
        <scheme val="minor"/>
      </rPr>
      <t>recommendation points only</t>
    </r>
    <r>
      <rPr>
        <sz val="11"/>
        <color theme="1"/>
        <rFont val="Calibri"/>
        <family val="2"/>
        <scheme val="minor"/>
      </rPr>
      <t>, ready for Excel or dashboard use:</t>
    </r>
  </si>
  <si>
    <t>✅ Recommendations (Excel-Ready Bullet Points)</t>
  </si>
  <si>
    <t>Strengthen domestic food supply chains and invest in cold storage infrastructure</t>
  </si>
  <si>
    <t>Promote crop diversification and reduce reliance on volatile imports like edible oils</t>
  </si>
  <si>
    <t>Expand renewable energy adoption to reduce dependency on global crude oil prices</t>
  </si>
  <si>
    <t>Introduce fuel price stabilization mechanisms (e.g., buffer funds, dynamic tax adjustments)</t>
  </si>
  <si>
    <t>Modernize logistics networks and subsidize public transport during fuel price surges</t>
  </si>
  <si>
    <t>Encourage modal shifts in freight transport (e.g., rail over road) to reduce fuel costs</t>
  </si>
  <si>
    <t>Build strategic reserves of essential healthcare goods and support local manufacturing</t>
  </si>
  <si>
    <t>Implement price monitoring and anti-hoarding regulations during crisis periods</t>
  </si>
  <si>
    <t>Enhance CPI tracking granularity and real-time inflation monitoring</t>
  </si>
  <si>
    <t>Communicate inflation drivers transparently to manage public expectations</t>
  </si>
  <si>
    <t>Use targeted subsidies or direct benefit transfers for vulnerable groups during inflation spikes</t>
  </si>
  <si>
    <t>Align fiscal and monetary policies to respond to inflation triggers effectively</t>
  </si>
  <si>
    <t>Coordinate internationally on commodity stockpiling and supply chain resilience strategies</t>
  </si>
  <si>
    <t>Let me know if you'd like these grouped by category (e.g., food, energy, healthcare) or formatted into a dashboard table.</t>
  </si>
  <si>
    <r>
      <t xml:space="preserve">Here are the </t>
    </r>
    <r>
      <rPr>
        <b/>
        <sz val="11"/>
        <color theme="1"/>
        <rFont val="Calibri"/>
        <family val="2"/>
        <scheme val="minor"/>
      </rPr>
      <t>Excel-ready recommendation points</t>
    </r>
    <r>
      <rPr>
        <sz val="11"/>
        <color theme="1"/>
        <rFont val="Calibri"/>
        <family val="2"/>
        <scheme val="minor"/>
      </rPr>
      <t xml:space="preserve"> for the insight:</t>
    </r>
  </si>
  <si>
    <t>"Oil price changes have a strong impact on overall inflation and all major CPI categories in India."</t>
  </si>
  <si>
    <t>📊 Excel Table: Recommendations for Oil-Driven Inflation</t>
  </si>
  <si>
    <t>Recommendation #</t>
  </si>
  <si>
    <t>Recommendation</t>
  </si>
  <si>
    <t>Diversify energy mix with renewables to reduce dependency on imported crude oil</t>
  </si>
  <si>
    <t>Strengthen strategic petroleum reserves to buffer against global price shocks</t>
  </si>
  <si>
    <t>Implement dynamic fuel pricing to smooth consumer impact during oil price swings</t>
  </si>
  <si>
    <t>Promote fuel-efficient transport and logistics through EVs and optimized routing</t>
  </si>
  <si>
    <t>Encourage modal shifts (rail, waterways) to reduce fuel intensity in freight</t>
  </si>
  <si>
    <t>Expand domestic refining capacity to reduce import costs and improve resilience</t>
  </si>
  <si>
    <t>Use targeted subsidies or direct transfers during fuel-driven inflation spikes</t>
  </si>
  <si>
    <t>Improve CPI granularity to monitor fuel-linked inflation across categories</t>
  </si>
  <si>
    <t>Let me know if you'd like this formatted with slicers, conditional formatting, or integrated into a CPI dashboard.</t>
  </si>
  <si>
    <t>Key Insights
1) 2020 – Highest inflation in food category due to COVID-19-related supply chain disruptions and increased demand  
2) 2021 – Energy category saw highest CPI inflation driven by global crude oil price hikes and fuel costs  
3) 2021 – Transportation category also peaked due to rising fuel prices and post-pandemic logistics costs  
4) Food is the top contributing category in CPI; sharp food price increases significantly impact overall inflation  
5) 2022 – Likely the year with highest overall inflation due to global supply chain disruptions and commodity spikes  
6) Post-March 2020 – Healthcare and essential goods inflation rose due to pandemic-driven demand and supply challenges  
7) July 2022 – Highest food inflation observed, especially in vegetables and edible oils  
8) 2021–2023 – Crude oil price fluctuations directly impacted fuel and transportation costs, pushing up inflation 9) Oil price changes have a strong impact on overall inflation and all major CPI categories in India</t>
  </si>
  <si>
    <t>To effectively use storytelling for your CPI Inflation case study in a data analytics interview, follow these steps:</t>
  </si>
  <si>
    <t>Example*: “CPI inflation measures the average change in prices paid by consumers. High inflation affects purchasing power and economic stability.”</t>
  </si>
  <si>
    <t>Example*: “I collected monthly CPI data for the last five years, cleaned it in Excel, and visualized trends using line charts.”</t>
  </si>
  <si>
    <t>Example*: “I observed a sharp rise in inflation during 2022, mainly due to increased food and fuel prices.”</t>
  </si>
  <si>
    <t>Example*: “This spike in inflation led to higher living costs, impacting household budgets and savings.”</t>
  </si>
  <si>
    <t>Example*: “To manage inflation, policymakers could focus on stabilizing food supply chains and monitoring fuel prices.”</t>
  </si>
  <si>
    <t>This approach shows your analytical thinking and communication skills, both crucial for data analytics roles.</t>
  </si>
  <si>
    <r>
      <t>Start with the Problem</t>
    </r>
    <r>
      <rPr>
        <sz val="11"/>
        <color rgb="FF292A31"/>
        <rFont val="Arial"/>
        <family val="2"/>
      </rPr>
      <t>: Briefly explain what CPI (Consumer Price Index) inflation is and why it matters.</t>
    </r>
  </si>
  <si>
    <r>
      <t>Describe Your Approach</t>
    </r>
    <r>
      <rPr>
        <sz val="11"/>
        <color rgb="FF292A31"/>
        <rFont val="Arial"/>
        <family val="2"/>
      </rPr>
      <t>: Outline how you analyzed the data.</t>
    </r>
  </si>
  <si>
    <r>
      <t>Highlight Key Insights</t>
    </r>
    <r>
      <rPr>
        <sz val="11"/>
        <color rgb="FF292A31"/>
        <rFont val="Arial"/>
        <family val="2"/>
      </rPr>
      <t>: Share the main findings from your analysis.</t>
    </r>
  </si>
  <si>
    <r>
      <t>Explain the Impact</t>
    </r>
    <r>
      <rPr>
        <sz val="11"/>
        <color rgb="FF292A31"/>
        <rFont val="Arial"/>
        <family val="2"/>
      </rPr>
      <t>: Discuss what these findings mean.</t>
    </r>
  </si>
  <si>
    <r>
      <t>Recommend Actions</t>
    </r>
    <r>
      <rPr>
        <sz val="11"/>
        <color rgb="FF292A31"/>
        <rFont val="Arial"/>
        <family val="2"/>
      </rPr>
      <t>: Suggest possible solutions or next steps.</t>
    </r>
  </si>
  <si>
    <r>
      <t>Use Visuals</t>
    </r>
    <r>
      <rPr>
        <sz val="11"/>
        <color rgb="FF292A31"/>
        <rFont val="Arial"/>
        <family val="2"/>
      </rPr>
      <t>: Refer to charts or graphs you created in Excel to support your story.</t>
    </r>
  </si>
  <si>
    <r>
      <t>Keep it Simple and Logical</t>
    </r>
    <r>
      <rPr>
        <sz val="11"/>
        <color rgb="FF292A31"/>
        <rFont val="Arial"/>
        <family val="2"/>
      </rPr>
      <t>: Make sure your story flows from problem to solution, using clear language.</t>
    </r>
  </si>
  <si>
    <t>Average of Food</t>
  </si>
  <si>
    <t xml:space="preserve">I have analysed the cpi inflation case study using the steps involved in licycle of data analysis </t>
  </si>
  <si>
    <t xml:space="preserve">This case study indicates the inflation by examining the cpi data acreoss various categories whaihc has led to contribution of  rising prices and impact of major events like covid 19 and global oil price fluctuations on infaltion </t>
  </si>
  <si>
    <t>This helps the policy makers and business to understand inflation and make infromed decisions</t>
  </si>
  <si>
    <t xml:space="preserve">I have 1st understood the data which provides me information related to rural and urban cities and yoy and mom fluctuations of price based on the sub categories in have divided them into major categories like food, transportation education energy and others </t>
  </si>
  <si>
    <t>once I have divided them in to major categories I have founf the insights represented in the charts  which is avalibel here</t>
  </si>
  <si>
    <t>1st in 2020 major food inflation surge was seen due to the covid 19 impact and increase in demand for food in the rural and urban cities</t>
  </si>
  <si>
    <t xml:space="preserve">in 2021 the energy inflation was seen due to increase in fuel and oil prices which was after covid </t>
  </si>
  <si>
    <t xml:space="preserve">also incraese in tranportation cossts incraesed due to fuel costs post pendamic </t>
  </si>
  <si>
    <t>In 2022 the genral inlation peaked the most in all the categories due to  high inflation obsereved I</t>
  </si>
  <si>
    <t>6. Precovid and post covid Inflation Trends across all the Categories</t>
  </si>
  <si>
    <t>In Precovid and post covid data comparision I got that all the major inflation was observed in Food transportation and energy rest education and other categories remained unimpacted</t>
  </si>
  <si>
    <t>🎬 Opening</t>
  </si>
  <si>
    <t>"Inflation is not just a number—it’s a story of how everyday lives are impacted by changing prices. By analyzing CPI data across categories, we can trace how global events like COVID-19 and oil price shocks ripple through households and businesses, shaping decisions for policymakers and industries alike."</t>
  </si>
  <si>
    <t>🧩 Step 1: Understanding the Data</t>
  </si>
  <si>
    <r>
      <t xml:space="preserve">The dataset covers </t>
    </r>
    <r>
      <rPr>
        <b/>
        <sz val="11"/>
        <color theme="1"/>
        <rFont val="Calibri"/>
        <family val="2"/>
        <scheme val="minor"/>
      </rPr>
      <t>rural and urban cities</t>
    </r>
    <r>
      <rPr>
        <sz val="11"/>
        <color theme="1"/>
        <rFont val="Calibri"/>
        <family val="2"/>
        <scheme val="minor"/>
      </rPr>
      <t xml:space="preserve">, tracking both </t>
    </r>
    <r>
      <rPr>
        <b/>
        <sz val="11"/>
        <color theme="1"/>
        <rFont val="Calibri"/>
        <family val="2"/>
        <scheme val="minor"/>
      </rPr>
      <t>year-on-year (YoY)</t>
    </r>
    <r>
      <rPr>
        <sz val="11"/>
        <color theme="1"/>
        <rFont val="Calibri"/>
        <family val="2"/>
        <scheme val="minor"/>
      </rPr>
      <t xml:space="preserve"> and </t>
    </r>
    <r>
      <rPr>
        <b/>
        <sz val="11"/>
        <color theme="1"/>
        <rFont val="Calibri"/>
        <family val="2"/>
        <scheme val="minor"/>
      </rPr>
      <t>month-on-month (MoM)</t>
    </r>
    <r>
      <rPr>
        <sz val="11"/>
        <color theme="1"/>
        <rFont val="Calibri"/>
        <family val="2"/>
        <scheme val="minor"/>
      </rPr>
      <t xml:space="preserve"> price fluctuations.</t>
    </r>
  </si>
  <si>
    <r>
      <t xml:space="preserve">To simplify analysis, categories were grouped into </t>
    </r>
    <r>
      <rPr>
        <b/>
        <sz val="11"/>
        <color theme="1"/>
        <rFont val="Calibri"/>
        <family val="2"/>
        <scheme val="minor"/>
      </rPr>
      <t>Food, Transportation, Energy, Education, and Others</t>
    </r>
    <r>
      <rPr>
        <sz val="11"/>
        <color theme="1"/>
        <rFont val="Calibri"/>
        <family val="2"/>
        <scheme val="minor"/>
      </rPr>
      <t>.</t>
    </r>
  </si>
  <si>
    <t>📊 Step 2: Insights Across Time</t>
  </si>
  <si>
    <t>2020 – The Food Shock</t>
  </si>
  <si>
    <t>COVID-19 disrupted supply chains and increased demand for essentials.</t>
  </si>
  <si>
    <r>
      <t xml:space="preserve">Result: </t>
    </r>
    <r>
      <rPr>
        <b/>
        <sz val="11"/>
        <color theme="1"/>
        <rFont val="Calibri"/>
        <family val="2"/>
        <scheme val="minor"/>
      </rPr>
      <t>Food inflation surged</t>
    </r>
    <r>
      <rPr>
        <sz val="11"/>
        <color theme="1"/>
        <rFont val="Calibri"/>
        <family val="2"/>
        <scheme val="minor"/>
      </rPr>
      <t xml:space="preserve"> across both rural and urban areas.</t>
    </r>
  </si>
  <si>
    <t>This was the first major spike, highlighting how crises directly affect basic needs.</t>
  </si>
  <si>
    <t>2021 – The Energy Wave</t>
  </si>
  <si>
    <r>
      <t xml:space="preserve">As economies reopened, </t>
    </r>
    <r>
      <rPr>
        <b/>
        <sz val="11"/>
        <color theme="1"/>
        <rFont val="Calibri"/>
        <family val="2"/>
        <scheme val="minor"/>
      </rPr>
      <t>fuel and oil prices climbed sharply</t>
    </r>
    <r>
      <rPr>
        <sz val="11"/>
        <color theme="1"/>
        <rFont val="Calibri"/>
        <family val="2"/>
        <scheme val="minor"/>
      </rPr>
      <t>.</t>
    </r>
  </si>
  <si>
    <r>
      <t xml:space="preserve">Energy inflation rose, dragging </t>
    </r>
    <r>
      <rPr>
        <b/>
        <sz val="11"/>
        <color theme="1"/>
        <rFont val="Calibri"/>
        <family val="2"/>
        <scheme val="minor"/>
      </rPr>
      <t>transportation costs</t>
    </r>
    <r>
      <rPr>
        <sz val="11"/>
        <color theme="1"/>
        <rFont val="Calibri"/>
        <family val="2"/>
        <scheme val="minor"/>
      </rPr>
      <t xml:space="preserve"> upward.</t>
    </r>
  </si>
  <si>
    <t>Households felt the pinch not just at the pump, but across logistics and commuting.</t>
  </si>
  <si>
    <t>2022 – The Inflation Peak</t>
  </si>
  <si>
    <r>
      <t xml:space="preserve">Inflation spread across </t>
    </r>
    <r>
      <rPr>
        <b/>
        <sz val="11"/>
        <color theme="1"/>
        <rFont val="Calibri"/>
        <family val="2"/>
        <scheme val="minor"/>
      </rPr>
      <t>all categories</t>
    </r>
    <r>
      <rPr>
        <sz val="11"/>
        <color theme="1"/>
        <rFont val="Calibri"/>
        <family val="2"/>
        <scheme val="minor"/>
      </rPr>
      <t>, reaching its highest levels.</t>
    </r>
  </si>
  <si>
    <r>
      <t xml:space="preserve">Food, energy, and transportation together drove the </t>
    </r>
    <r>
      <rPr>
        <b/>
        <sz val="11"/>
        <color theme="1"/>
        <rFont val="Calibri"/>
        <family val="2"/>
        <scheme val="minor"/>
      </rPr>
      <t>general inflation peak</t>
    </r>
    <r>
      <rPr>
        <sz val="11"/>
        <color theme="1"/>
        <rFont val="Calibri"/>
        <family val="2"/>
        <scheme val="minor"/>
      </rPr>
      <t>, marking the most challenging year in the dataset.</t>
    </r>
  </si>
  <si>
    <t>🔍 Step 3: Pre-COVID vs Post-COVID Comparison</t>
  </si>
  <si>
    <r>
      <t>Food, Transportation, and Energy</t>
    </r>
    <r>
      <rPr>
        <sz val="11"/>
        <color theme="1"/>
        <rFont val="Calibri"/>
        <family val="2"/>
        <scheme val="minor"/>
      </rPr>
      <t>: Major inflation drivers post-COVID.</t>
    </r>
  </si>
  <si>
    <r>
      <t>Education and Other categories</t>
    </r>
    <r>
      <rPr>
        <sz val="11"/>
        <color theme="1"/>
        <rFont val="Calibri"/>
        <family val="2"/>
        <scheme val="minor"/>
      </rPr>
      <t>: Largely stable, showing resilience against global shocks.</t>
    </r>
  </si>
  <si>
    <t>🎯 Closing</t>
  </si>
  <si>
    <t>"This CPI analysis tells a clear story: crises like pandemics and oil shocks don’t just raise prices—they reshape the inflation landscape. For policymakers, the lesson is to strengthen supply chains and energy resilience. For businesses, it’s about anticipating consumer behavior shifts. And for households, it’s a reminder that inflation is more than statistics—it’s lived experience."</t>
  </si>
  <si>
    <t>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</si>
</sst>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4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7"/>
      <color rgb="FF292A31"/>
      <name val="Arial"/>
      <family val="2"/>
    </font>
    <font>
      <sz val="7"/>
      <color rgb="FF292A31"/>
      <name val="Arial"/>
      <family val="2"/>
    </font>
    <font>
      <sz val="8"/>
      <name val="Calibri"/>
      <family val="2"/>
      <scheme val="minor"/>
    </font>
    <font>
      <sz val="7"/>
      <color rgb="FF292A31"/>
      <name val="Arial"/>
      <family val="2"/>
    </font>
    <font>
      <b/>
      <sz val="7"/>
      <color rgb="FF292A31"/>
      <name val="Arial"/>
      <family val="2"/>
    </font>
    <font>
      <b/>
      <sz val="14"/>
      <color rgb="FF292A31"/>
      <name val="Arial"/>
      <family val="2"/>
    </font>
    <font>
      <sz val="12"/>
      <color rgb="FF292A31"/>
      <name val="Arial"/>
      <family val="2"/>
    </font>
    <font>
      <sz val="12"/>
      <color rgb="FF292A31"/>
      <name val="Arial"/>
      <family val="2"/>
    </font>
    <font>
      <sz val="16"/>
      <color rgb="FF000000"/>
      <name val="Arial"/>
      <family val="2"/>
    </font>
    <font>
      <sz val="14"/>
      <color theme="1"/>
      <name val="Calibri"/>
      <family val="2"/>
      <scheme val="minor"/>
    </font>
    <font>
      <b/>
      <sz val="18"/>
      <color theme="1"/>
      <name val="Calibri"/>
      <family val="2"/>
      <scheme val="minor"/>
    </font>
    <font>
      <sz val="12"/>
      <color theme="0" tint="-0.499984740745262"/>
      <name val="Calibri"/>
      <family val="2"/>
      <scheme val="minor"/>
    </font>
    <font>
      <b/>
      <sz val="14"/>
      <color theme="1"/>
      <name val="Calibri"/>
      <family val="2"/>
      <scheme val="minor"/>
    </font>
    <font>
      <b/>
      <sz val="20"/>
      <color theme="1"/>
      <name val="Calibri"/>
      <family val="2"/>
      <scheme val="minor"/>
    </font>
    <font>
      <sz val="16"/>
      <color theme="1"/>
      <name val="Calibri"/>
      <family val="2"/>
      <scheme val="minor"/>
    </font>
    <font>
      <sz val="11"/>
      <color indexed="8"/>
      <name val="Calibri"/>
      <family val="2"/>
    </font>
    <font>
      <b/>
      <sz val="12"/>
      <color theme="1"/>
      <name val="Calibri"/>
      <family val="2"/>
      <scheme val="minor"/>
    </font>
    <font>
      <b/>
      <sz val="13.5"/>
      <color theme="1"/>
      <name val="Calibri"/>
      <family val="2"/>
      <scheme val="minor"/>
    </font>
    <font>
      <b/>
      <sz val="16"/>
      <color theme="1"/>
      <name val="Calibri"/>
      <family val="2"/>
      <scheme val="minor"/>
    </font>
    <font>
      <b/>
      <u/>
      <sz val="20"/>
      <color theme="1"/>
      <name val="Calibri"/>
      <family val="2"/>
      <scheme val="minor"/>
    </font>
    <font>
      <sz val="11"/>
      <color rgb="FF292A31"/>
      <name val="Arial"/>
      <family val="2"/>
    </font>
    <font>
      <sz val="11"/>
      <color rgb="FF292A31"/>
      <name val="Arial"/>
      <family val="2"/>
    </font>
    <font>
      <i/>
      <sz val="11"/>
      <color theme="1"/>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0F0F1"/>
        <bgColor indexed="64"/>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79998168889431442"/>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top/>
      <bottom style="thin">
        <color theme="4" tint="0.39997558519241921"/>
      </bottom>
      <diagonal/>
    </border>
    <border>
      <left/>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6">
    <xf numFmtId="0" fontId="0" fillId="0" borderId="0" xfId="0"/>
    <xf numFmtId="0" fontId="0" fillId="33" borderId="0" xfId="0" applyFill="1"/>
    <xf numFmtId="0" fontId="19" fillId="0" borderId="0" xfId="0" applyFont="1" applyAlignment="1">
      <alignment horizontal="left" vertical="center" wrapText="1"/>
    </xf>
    <xf numFmtId="0" fontId="0" fillId="0" borderId="0" xfId="0" applyAlignment="1">
      <alignment horizontal="left" vertical="center" wrapText="1" indent="1"/>
    </xf>
    <xf numFmtId="0" fontId="18" fillId="0" borderId="0" xfId="0" applyFont="1" applyAlignment="1">
      <alignment horizontal="left" vertical="center" wrapText="1" indent="1"/>
    </xf>
    <xf numFmtId="0" fontId="0" fillId="0" borderId="10" xfId="0" applyBorder="1"/>
    <xf numFmtId="0" fontId="0" fillId="0" borderId="10" xfId="0" quotePrefix="1" applyBorder="1"/>
    <xf numFmtId="1" fontId="0" fillId="0" borderId="10" xfId="42" applyNumberFormat="1" applyFont="1" applyBorder="1"/>
    <xf numFmtId="0" fontId="0" fillId="0" borderId="13" xfId="0" applyBorder="1"/>
    <xf numFmtId="9" fontId="0" fillId="0" borderId="11" xfId="42" applyFont="1" applyBorder="1"/>
    <xf numFmtId="0" fontId="0" fillId="0" borderId="14" xfId="0" applyBorder="1"/>
    <xf numFmtId="17" fontId="0" fillId="0" borderId="15" xfId="0" quotePrefix="1" applyNumberFormat="1" applyBorder="1"/>
    <xf numFmtId="17" fontId="0" fillId="0" borderId="15" xfId="0" applyNumberFormat="1" applyBorder="1"/>
    <xf numFmtId="17" fontId="0" fillId="0" borderId="16" xfId="0" applyNumberFormat="1" applyBorder="1"/>
    <xf numFmtId="0" fontId="0" fillId="0" borderId="17" xfId="0" applyBorder="1"/>
    <xf numFmtId="0" fontId="0" fillId="0" borderId="18" xfId="0" applyBorder="1"/>
    <xf numFmtId="1" fontId="0" fillId="0" borderId="18" xfId="42" applyNumberFormat="1" applyFont="1" applyBorder="1"/>
    <xf numFmtId="9" fontId="0" fillId="0" borderId="19" xfId="42" applyFont="1" applyBorder="1"/>
    <xf numFmtId="0" fontId="21" fillId="0" borderId="0" xfId="0" applyFont="1" applyAlignment="1">
      <alignment horizontal="left" vertical="center" wrapText="1"/>
    </xf>
    <xf numFmtId="0" fontId="18" fillId="0" borderId="0" xfId="0" applyFont="1" applyAlignment="1">
      <alignment horizontal="left" vertical="center" wrapText="1" indent="2"/>
    </xf>
    <xf numFmtId="0" fontId="18" fillId="0" borderId="0" xfId="0" applyFont="1" applyAlignment="1">
      <alignment horizontal="left" vertical="center" wrapText="1"/>
    </xf>
    <xf numFmtId="0" fontId="22" fillId="34" borderId="0" xfId="0" applyFont="1" applyFill="1" applyAlignment="1">
      <alignment horizontal="center" vertical="center" wrapText="1"/>
    </xf>
    <xf numFmtId="0" fontId="18" fillId="34" borderId="0" xfId="0" applyFont="1" applyFill="1" applyAlignment="1">
      <alignment vertical="center" wrapText="1"/>
    </xf>
    <xf numFmtId="0" fontId="22" fillId="34" borderId="10" xfId="0" applyFont="1" applyFill="1" applyBorder="1" applyAlignment="1">
      <alignment horizontal="center" vertical="center" wrapText="1"/>
    </xf>
    <xf numFmtId="1" fontId="18" fillId="34" borderId="10" xfId="0" applyNumberFormat="1" applyFont="1" applyFill="1" applyBorder="1" applyAlignment="1">
      <alignment vertical="center" wrapText="1"/>
    </xf>
    <xf numFmtId="9" fontId="18" fillId="34" borderId="10" xfId="42" applyFont="1" applyFill="1" applyBorder="1" applyAlignment="1">
      <alignment vertical="center" wrapText="1"/>
    </xf>
    <xf numFmtId="1" fontId="18" fillId="34" borderId="0" xfId="0" applyNumberFormat="1" applyFont="1" applyFill="1" applyAlignment="1">
      <alignment vertical="center" wrapText="1"/>
    </xf>
    <xf numFmtId="10" fontId="0" fillId="0" borderId="10" xfId="42" applyNumberFormat="1" applyFont="1" applyBorder="1"/>
    <xf numFmtId="14" fontId="0" fillId="0" borderId="0" xfId="0" applyNumberFormat="1"/>
    <xf numFmtId="164" fontId="0" fillId="0" borderId="0" xfId="42" applyNumberFormat="1" applyFont="1"/>
    <xf numFmtId="164" fontId="0" fillId="0" borderId="0" xfId="0" applyNumberFormat="1"/>
    <xf numFmtId="10" fontId="0" fillId="0" borderId="0" xfId="0" applyNumberFormat="1"/>
    <xf numFmtId="0" fontId="0" fillId="0" borderId="10" xfId="0" applyBorder="1" applyAlignment="1">
      <alignment wrapText="1"/>
    </xf>
    <xf numFmtId="164" fontId="0" fillId="0" borderId="10" xfId="42" applyNumberFormat="1" applyFont="1" applyBorder="1" applyAlignment="1">
      <alignment wrapText="1"/>
    </xf>
    <xf numFmtId="164" fontId="0" fillId="0" borderId="10" xfId="0" applyNumberFormat="1" applyBorder="1" applyAlignment="1">
      <alignment wrapText="1"/>
    </xf>
    <xf numFmtId="0" fontId="16" fillId="0" borderId="10" xfId="0" applyFont="1" applyBorder="1" applyAlignment="1">
      <alignment wrapText="1"/>
    </xf>
    <xf numFmtId="1" fontId="0" fillId="0" borderId="10" xfId="0" applyNumberFormat="1" applyBorder="1"/>
    <xf numFmtId="165" fontId="0" fillId="0" borderId="0" xfId="42" applyNumberFormat="1" applyFont="1"/>
    <xf numFmtId="0" fontId="0" fillId="0" borderId="0" xfId="0" applyAlignment="1">
      <alignment wrapText="1"/>
    </xf>
    <xf numFmtId="10" fontId="0" fillId="0" borderId="0" xfId="42" applyNumberFormat="1" applyFont="1" applyBorder="1"/>
    <xf numFmtId="2" fontId="0" fillId="0" borderId="10" xfId="0" applyNumberFormat="1" applyBorder="1"/>
    <xf numFmtId="0" fontId="23" fillId="0" borderId="0" xfId="0" applyFont="1" applyAlignment="1">
      <alignment wrapText="1"/>
    </xf>
    <xf numFmtId="0" fontId="24" fillId="0" borderId="0" xfId="0" applyFont="1" applyAlignment="1">
      <alignment horizontal="left" vertical="center" wrapText="1" indent="1"/>
    </xf>
    <xf numFmtId="0" fontId="26" fillId="0" borderId="0" xfId="0" applyFont="1"/>
    <xf numFmtId="0" fontId="25" fillId="0" borderId="0" xfId="0" applyFont="1" applyAlignment="1">
      <alignment horizontal="left" vertical="center" wrapText="1" indent="1"/>
    </xf>
    <xf numFmtId="0" fontId="24" fillId="0" borderId="0" xfId="0" applyFont="1" applyAlignment="1">
      <alignment horizontal="left" vertical="center" wrapText="1" indent="2"/>
    </xf>
    <xf numFmtId="0" fontId="27" fillId="0" borderId="0" xfId="0" applyFont="1"/>
    <xf numFmtId="0" fontId="0" fillId="0" borderId="0" xfId="0" pivotButton="1"/>
    <xf numFmtId="0" fontId="0" fillId="0" borderId="0" xfId="0" applyAlignment="1">
      <alignment horizontal="left"/>
    </xf>
    <xf numFmtId="0" fontId="16" fillId="35" borderId="21" xfId="0" applyFont="1" applyFill="1" applyBorder="1"/>
    <xf numFmtId="2" fontId="0" fillId="0" borderId="0" xfId="0" applyNumberFormat="1"/>
    <xf numFmtId="1" fontId="0" fillId="0" borderId="0" xfId="0" applyNumberFormat="1"/>
    <xf numFmtId="0" fontId="16" fillId="35" borderId="22" xfId="0" applyFont="1" applyFill="1" applyBorder="1" applyAlignment="1">
      <alignment horizontal="left"/>
    </xf>
    <xf numFmtId="1" fontId="16" fillId="35" borderId="22" xfId="0" applyNumberFormat="1" applyFont="1" applyFill="1" applyBorder="1"/>
    <xf numFmtId="9" fontId="0" fillId="0" borderId="0" xfId="42" applyFont="1"/>
    <xf numFmtId="0" fontId="24" fillId="0" borderId="0" xfId="0" applyFont="1" applyAlignment="1">
      <alignment horizontal="left" vertical="center" wrapText="1"/>
    </xf>
    <xf numFmtId="0" fontId="25" fillId="0" borderId="0" xfId="0" applyFont="1"/>
    <xf numFmtId="0" fontId="25" fillId="0" borderId="0" xfId="0" applyFont="1" applyAlignment="1">
      <alignment horizontal="left" vertical="center" wrapText="1"/>
    </xf>
    <xf numFmtId="0" fontId="28" fillId="0" borderId="0" xfId="0" applyFont="1"/>
    <xf numFmtId="0" fontId="0" fillId="36" borderId="23" xfId="0" applyFill="1" applyBorder="1"/>
    <xf numFmtId="0" fontId="0" fillId="36" borderId="24" xfId="0" applyFill="1" applyBorder="1"/>
    <xf numFmtId="0" fontId="0" fillId="36" borderId="25" xfId="0" applyFill="1" applyBorder="1"/>
    <xf numFmtId="0" fontId="0" fillId="37" borderId="26" xfId="0" applyFill="1" applyBorder="1"/>
    <xf numFmtId="0" fontId="0" fillId="37" borderId="0" xfId="0" applyFill="1"/>
    <xf numFmtId="0" fontId="0" fillId="37" borderId="27" xfId="0" applyFill="1" applyBorder="1"/>
    <xf numFmtId="0" fontId="0" fillId="38" borderId="26" xfId="0" applyFill="1" applyBorder="1"/>
    <xf numFmtId="0" fontId="0" fillId="38" borderId="0" xfId="0" applyFill="1"/>
    <xf numFmtId="0" fontId="0" fillId="38" borderId="27" xfId="0" applyFill="1" applyBorder="1"/>
    <xf numFmtId="0" fontId="0" fillId="39" borderId="26" xfId="0" applyFill="1" applyBorder="1"/>
    <xf numFmtId="0" fontId="0" fillId="39" borderId="0" xfId="0" applyFill="1"/>
    <xf numFmtId="0" fontId="0" fillId="39" borderId="27" xfId="0" applyFill="1" applyBorder="1"/>
    <xf numFmtId="0" fontId="29" fillId="0" borderId="26" xfId="0" applyFont="1" applyBorder="1"/>
    <xf numFmtId="0" fontId="29" fillId="0" borderId="0" xfId="0" applyFont="1"/>
    <xf numFmtId="0" fontId="29" fillId="0" borderId="27" xfId="0" applyFont="1" applyBorder="1"/>
    <xf numFmtId="0" fontId="29" fillId="0" borderId="28" xfId="0" applyFont="1" applyBorder="1"/>
    <xf numFmtId="0" fontId="29" fillId="0" borderId="29" xfId="0" applyFont="1" applyBorder="1"/>
    <xf numFmtId="0" fontId="29" fillId="0" borderId="30" xfId="0" applyFont="1" applyBorder="1"/>
    <xf numFmtId="0" fontId="16" fillId="38" borderId="0" xfId="0" applyFont="1" applyFill="1"/>
    <xf numFmtId="0" fontId="0" fillId="0" borderId="0" xfId="0" applyAlignment="1">
      <alignment horizontal="left" vertical="center" indent="1"/>
    </xf>
    <xf numFmtId="0" fontId="16" fillId="0" borderId="0" xfId="0" applyFont="1" applyAlignment="1">
      <alignment horizontal="left" vertical="center" indent="1"/>
    </xf>
    <xf numFmtId="0" fontId="0" fillId="39" borderId="0" xfId="0" applyFill="1" applyAlignment="1">
      <alignment horizontal="left"/>
    </xf>
    <xf numFmtId="0" fontId="31" fillId="39" borderId="26" xfId="0" applyFont="1" applyFill="1" applyBorder="1"/>
    <xf numFmtId="0" fontId="31" fillId="39" borderId="26" xfId="0" applyFont="1" applyFill="1" applyBorder="1" applyAlignment="1">
      <alignment horizontal="left"/>
    </xf>
    <xf numFmtId="0" fontId="16" fillId="0" borderId="0" xfId="0" applyFont="1"/>
    <xf numFmtId="0" fontId="16" fillId="0" borderId="10" xfId="0" applyFont="1" applyBorder="1"/>
    <xf numFmtId="0" fontId="33" fillId="0" borderId="0" xfId="0" applyFont="1"/>
    <xf numFmtId="0" fontId="35" fillId="0" borderId="0" xfId="0" applyFont="1" applyAlignment="1">
      <alignment vertical="center"/>
    </xf>
    <xf numFmtId="0" fontId="16" fillId="0" borderId="0" xfId="0" applyFont="1" applyAlignment="1">
      <alignment horizontal="center" vertical="center" wrapText="1"/>
    </xf>
    <xf numFmtId="0" fontId="0" fillId="0" borderId="0" xfId="0" applyAlignment="1">
      <alignment vertical="center" wrapText="1"/>
    </xf>
    <xf numFmtId="0" fontId="0" fillId="38" borderId="0" xfId="0" applyFill="1" applyAlignment="1">
      <alignment vertical="center"/>
    </xf>
    <xf numFmtId="0" fontId="32" fillId="0" borderId="0" xfId="0" applyFont="1"/>
    <xf numFmtId="0" fontId="38" fillId="0" borderId="0" xfId="0" applyFont="1" applyAlignment="1">
      <alignment horizontal="left" vertical="center" wrapText="1"/>
    </xf>
    <xf numFmtId="0" fontId="39" fillId="0" borderId="0" xfId="0" applyFont="1" applyAlignment="1">
      <alignment horizontal="left" vertical="center" wrapText="1"/>
    </xf>
    <xf numFmtId="0" fontId="38" fillId="0" borderId="0" xfId="0" applyFont="1" applyAlignment="1">
      <alignment horizontal="left" vertical="center" wrapText="1" indent="1"/>
    </xf>
    <xf numFmtId="0" fontId="38" fillId="0" borderId="0" xfId="0" applyFont="1" applyAlignment="1">
      <alignment horizontal="left" vertical="center" wrapText="1" indent="2"/>
    </xf>
    <xf numFmtId="0" fontId="40" fillId="0" borderId="0" xfId="0" applyFont="1"/>
    <xf numFmtId="0" fontId="16" fillId="0" borderId="0" xfId="0" applyFont="1" applyAlignment="1">
      <alignment horizontal="center"/>
    </xf>
    <xf numFmtId="0" fontId="37" fillId="36" borderId="26" xfId="0" applyFont="1" applyFill="1" applyBorder="1" applyAlignment="1">
      <alignment horizontal="center"/>
    </xf>
    <xf numFmtId="0" fontId="37" fillId="36" borderId="0" xfId="0" applyFont="1" applyFill="1" applyAlignment="1">
      <alignment horizontal="center"/>
    </xf>
    <xf numFmtId="0" fontId="37" fillId="36" borderId="27" xfId="0" applyFont="1" applyFill="1" applyBorder="1" applyAlignment="1">
      <alignment horizontal="center"/>
    </xf>
    <xf numFmtId="0" fontId="30" fillId="38" borderId="0" xfId="0" applyFont="1" applyFill="1" applyAlignment="1">
      <alignment horizontal="center"/>
    </xf>
    <xf numFmtId="0" fontId="30" fillId="38" borderId="0" xfId="0" applyFont="1" applyFill="1" applyAlignment="1">
      <alignment horizontal="center" vertical="center"/>
    </xf>
    <xf numFmtId="0" fontId="36" fillId="36" borderId="26" xfId="0" applyFont="1" applyFill="1" applyBorder="1" applyAlignment="1">
      <alignment horizontal="center" vertical="center" wrapText="1"/>
    </xf>
    <xf numFmtId="0" fontId="36" fillId="36" borderId="0" xfId="0" applyFont="1" applyFill="1" applyAlignment="1">
      <alignment horizontal="center" vertical="center" wrapText="1"/>
    </xf>
    <xf numFmtId="0" fontId="36" fillId="36" borderId="27" xfId="0" applyFont="1" applyFill="1" applyBorder="1" applyAlignment="1">
      <alignment horizontal="center" vertical="center" wrapText="1"/>
    </xf>
    <xf numFmtId="0" fontId="30" fillId="38" borderId="0" xfId="0" applyFont="1" applyFill="1" applyAlignment="1">
      <alignment horizontal="center" vertical="center" wrapText="1"/>
    </xf>
    <xf numFmtId="0" fontId="34" fillId="38" borderId="0" xfId="0" applyFont="1" applyFill="1" applyAlignment="1">
      <alignment horizontal="center" vertical="center" wrapText="1"/>
    </xf>
    <xf numFmtId="0" fontId="36" fillId="38" borderId="26" xfId="0" applyFont="1" applyFill="1" applyBorder="1" applyAlignment="1">
      <alignment horizontal="center" vertical="top" wrapText="1"/>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0" xfId="0" applyBorder="1" applyAlignment="1">
      <alignment horizontal="center" wrapText="1"/>
    </xf>
    <xf numFmtId="0" fontId="0" fillId="0" borderId="20" xfId="0" applyBorder="1" applyAlignment="1">
      <alignment horizontal="center"/>
    </xf>
    <xf numFmtId="0" fontId="0" fillId="0" borderId="10" xfId="0" applyBorder="1" applyAlignment="1">
      <alignment horizontal="center" vertical="center" wrapText="1"/>
    </xf>
    <xf numFmtId="0" fontId="0" fillId="0" borderId="0" xfId="0" applyAlignment="1">
      <alignment horizontal="center"/>
    </xf>
    <xf numFmtId="0" fontId="0" fillId="0" borderId="10" xfId="0"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 formatCode="0"/>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22" formatCode="mmm/yy"/>
      <border diagonalUp="0" diagonalDown="0" outline="0">
        <left style="thin">
          <color indexed="64"/>
        </left>
        <right style="thin">
          <color indexed="64"/>
        </right>
        <top/>
        <bottom/>
      </border>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Sheet4!$A$18:$A$28</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f>Sheet4!$C$18:$C$28</c:f>
              <c:numCache>
                <c:formatCode>0.00</c:formatCode>
                <c:ptCount val="11"/>
                <c:pt idx="0" formatCode="General">
                  <c:v>0</c:v>
                </c:pt>
                <c:pt idx="1">
                  <c:v>6.6158889650682573</c:v>
                </c:pt>
                <c:pt idx="2">
                  <c:v>5.3396379356930579</c:v>
                </c:pt>
                <c:pt idx="3">
                  <c:v>6.8567852214373213</c:v>
                </c:pt>
                <c:pt idx="4">
                  <c:v>1.0446621890857828</c:v>
                </c:pt>
                <c:pt idx="5">
                  <c:v>1.0842245798748524</c:v>
                </c:pt>
                <c:pt idx="6">
                  <c:v>3.3901136817637156</c:v>
                </c:pt>
                <c:pt idx="7">
                  <c:v>8.3573038017162684</c:v>
                </c:pt>
                <c:pt idx="8">
                  <c:v>6.7350252358916105</c:v>
                </c:pt>
                <c:pt idx="9">
                  <c:v>5.8104432320246566</c:v>
                </c:pt>
                <c:pt idx="10">
                  <c:v>2.0632573759407977</c:v>
                </c:pt>
              </c:numCache>
            </c:numRef>
          </c:val>
          <c:extLst>
            <c:ext xmlns:c16="http://schemas.microsoft.com/office/drawing/2014/chart" uri="{C3380CC4-5D6E-409C-BE32-E72D297353CC}">
              <c16:uniqueId val="{00000000-1AB4-41AD-8D91-8E8FF09F04EB}"/>
            </c:ext>
          </c:extLst>
        </c:ser>
        <c:dLbls>
          <c:showLegendKey val="0"/>
          <c:showVal val="0"/>
          <c:showCatName val="0"/>
          <c:showSerName val="0"/>
          <c:showPercent val="0"/>
          <c:showBubbleSize val="0"/>
        </c:dLbls>
        <c:gapWidth val="219"/>
        <c:overlap val="-27"/>
        <c:axId val="1358153584"/>
        <c:axId val="1358137264"/>
      </c:barChart>
      <c:catAx>
        <c:axId val="135815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137264"/>
        <c:crosses val="autoZero"/>
        <c:auto val="1"/>
        <c:lblAlgn val="ctr"/>
        <c:lblOffset val="100"/>
        <c:noMultiLvlLbl val="0"/>
      </c:catAx>
      <c:valAx>
        <c:axId val="1358137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153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Sheet4!$A$33:$A$43</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xVal>
          <c:yVal>
            <c:numRef>
              <c:f>Sheet4!$C$33:$C$43</c:f>
              <c:numCache>
                <c:formatCode>0.00</c:formatCode>
                <c:ptCount val="11"/>
                <c:pt idx="0" formatCode="General">
                  <c:v>0</c:v>
                </c:pt>
                <c:pt idx="1">
                  <c:v>4.58729671678429</c:v>
                </c:pt>
                <c:pt idx="2">
                  <c:v>5.3029191726565736</c:v>
                </c:pt>
                <c:pt idx="3">
                  <c:v>3.3293863620533668</c:v>
                </c:pt>
                <c:pt idx="4">
                  <c:v>5.5679137175598186</c:v>
                </c:pt>
                <c:pt idx="5">
                  <c:v>7.1004405848924188</c:v>
                </c:pt>
                <c:pt idx="6">
                  <c:v>0.33657989300986862</c:v>
                </c:pt>
                <c:pt idx="7">
                  <c:v>2.7900218232103846</c:v>
                </c:pt>
                <c:pt idx="8">
                  <c:v>10.335857564021046</c:v>
                </c:pt>
                <c:pt idx="9">
                  <c:v>10.106355110808396</c:v>
                </c:pt>
                <c:pt idx="10">
                  <c:v>3.9779215835553874</c:v>
                </c:pt>
              </c:numCache>
            </c:numRef>
          </c:yVal>
          <c:smooth val="0"/>
          <c:extLst>
            <c:ext xmlns:c16="http://schemas.microsoft.com/office/drawing/2014/chart" uri="{C3380CC4-5D6E-409C-BE32-E72D297353CC}">
              <c16:uniqueId val="{00000000-D36C-4CE8-A1B7-4A9180CB5EDD}"/>
            </c:ext>
          </c:extLst>
        </c:ser>
        <c:dLbls>
          <c:showLegendKey val="0"/>
          <c:showVal val="0"/>
          <c:showCatName val="0"/>
          <c:showSerName val="0"/>
          <c:showPercent val="0"/>
          <c:showBubbleSize val="0"/>
        </c:dLbls>
        <c:axId val="1437254784"/>
        <c:axId val="1437249984"/>
      </c:scatterChart>
      <c:valAx>
        <c:axId val="1437254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249984"/>
        <c:crosses val="autoZero"/>
        <c:crossBetween val="midCat"/>
      </c:valAx>
      <c:valAx>
        <c:axId val="143724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2547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numRef>
              <c:f>Sheet4!$A$47:$A$57</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f>Sheet4!$C$47:$C$57</c:f>
              <c:numCache>
                <c:formatCode>0.00</c:formatCode>
                <c:ptCount val="11"/>
                <c:pt idx="0" formatCode="General">
                  <c:v>0</c:v>
                </c:pt>
                <c:pt idx="1">
                  <c:v>4.5308960237481264</c:v>
                </c:pt>
                <c:pt idx="2">
                  <c:v>-0.37366415066136432</c:v>
                </c:pt>
                <c:pt idx="3">
                  <c:v>2.0703623134048299</c:v>
                </c:pt>
                <c:pt idx="4">
                  <c:v>3.4761519805982179</c:v>
                </c:pt>
                <c:pt idx="5">
                  <c:v>4.9360795454545494</c:v>
                </c:pt>
                <c:pt idx="6">
                  <c:v>2.0027688047992638</c:v>
                </c:pt>
                <c:pt idx="7">
                  <c:v>7.5383037760888154</c:v>
                </c:pt>
                <c:pt idx="8">
                  <c:v>11.476522490281953</c:v>
                </c:pt>
                <c:pt idx="9">
                  <c:v>6.9961808822715437</c:v>
                </c:pt>
                <c:pt idx="10">
                  <c:v>1.9667890952356426</c:v>
                </c:pt>
              </c:numCache>
            </c:numRef>
          </c:val>
          <c:extLst>
            <c:ext xmlns:c16="http://schemas.microsoft.com/office/drawing/2014/chart" uri="{C3380CC4-5D6E-409C-BE32-E72D297353CC}">
              <c16:uniqueId val="{00000000-CF27-418C-9A9E-FAEBBF3E21CF}"/>
            </c:ext>
          </c:extLst>
        </c:ser>
        <c:dLbls>
          <c:showLegendKey val="0"/>
          <c:showVal val="0"/>
          <c:showCatName val="0"/>
          <c:showSerName val="0"/>
          <c:showPercent val="0"/>
          <c:showBubbleSize val="0"/>
        </c:dLbls>
        <c:gapWidth val="182"/>
        <c:axId val="1244386624"/>
        <c:axId val="1244383744"/>
      </c:barChart>
      <c:catAx>
        <c:axId val="1244386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383744"/>
        <c:crosses val="autoZero"/>
        <c:auto val="1"/>
        <c:lblAlgn val="ctr"/>
        <c:lblOffset val="100"/>
        <c:noMultiLvlLbl val="0"/>
      </c:catAx>
      <c:valAx>
        <c:axId val="1244383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3866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spPr>
            <a:solidFill>
              <a:schemeClr val="accent1"/>
            </a:solidFill>
            <a:ln>
              <a:noFill/>
            </a:ln>
            <a:effectLst/>
          </c:spPr>
          <c:cat>
            <c:numRef>
              <c:f>Sheet4!$A$64:$A$74</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f>Sheet4!$C$64:$C$74</c:f>
              <c:numCache>
                <c:formatCode>0%</c:formatCode>
                <c:ptCount val="11"/>
                <c:pt idx="0" formatCode="General">
                  <c:v>0</c:v>
                </c:pt>
                <c:pt idx="1">
                  <c:v>6.6495001514692495E-2</c:v>
                </c:pt>
                <c:pt idx="2">
                  <c:v>4.9069734412725406E-2</c:v>
                </c:pt>
                <c:pt idx="3">
                  <c:v>4.9482163406213947E-2</c:v>
                </c:pt>
                <c:pt idx="4">
                  <c:v>3.3281733746130131E-2</c:v>
                </c:pt>
                <c:pt idx="5">
                  <c:v>3.9513108614232476E-2</c:v>
                </c:pt>
                <c:pt idx="6">
                  <c:v>3.8961038961039161E-2</c:v>
                </c:pt>
                <c:pt idx="7">
                  <c:v>5.827028163093699E-2</c:v>
                </c:pt>
                <c:pt idx="8">
                  <c:v>5.8164937192790832E-2</c:v>
                </c:pt>
                <c:pt idx="9">
                  <c:v>6.6219354838709665E-2</c:v>
                </c:pt>
                <c:pt idx="10">
                  <c:v>3.1774615161196632E-2</c:v>
                </c:pt>
              </c:numCache>
            </c:numRef>
          </c:val>
          <c:extLst>
            <c:ext xmlns:c16="http://schemas.microsoft.com/office/drawing/2014/chart" uri="{C3380CC4-5D6E-409C-BE32-E72D297353CC}">
              <c16:uniqueId val="{00000000-A961-4B76-9C21-B3DB0D4413C6}"/>
            </c:ext>
          </c:extLst>
        </c:ser>
        <c:dLbls>
          <c:showLegendKey val="0"/>
          <c:showVal val="0"/>
          <c:showCatName val="0"/>
          <c:showSerName val="0"/>
          <c:showPercent val="0"/>
          <c:showBubbleSize val="0"/>
        </c:dLbls>
        <c:axId val="832286816"/>
        <c:axId val="832287776"/>
      </c:areaChart>
      <c:catAx>
        <c:axId val="832286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287776"/>
        <c:crosses val="autoZero"/>
        <c:auto val="1"/>
        <c:lblAlgn val="ctr"/>
        <c:lblOffset val="100"/>
        <c:noMultiLvlLbl val="0"/>
      </c:catAx>
      <c:valAx>
        <c:axId val="832287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286816"/>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7"/>
            <c:invertIfNegative val="0"/>
            <c:bubble3D val="0"/>
            <c:spPr>
              <a:solidFill>
                <a:srgbClr val="FFC000"/>
              </a:solidFill>
              <a:ln>
                <a:noFill/>
              </a:ln>
              <a:effectLst/>
            </c:spPr>
            <c:extLst>
              <c:ext xmlns:c16="http://schemas.microsoft.com/office/drawing/2014/chart" uri="{C3380CC4-5D6E-409C-BE32-E72D297353CC}">
                <c16:uniqueId val="{00000000-6C6A-4987-B781-00E8FB688375}"/>
              </c:ext>
            </c:extLst>
          </c:dPt>
          <c:cat>
            <c:numRef>
              <c:f>Sheet4!$A$18:$A$28</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f>Sheet4!$C$18:$C$28</c:f>
              <c:numCache>
                <c:formatCode>0.00</c:formatCode>
                <c:ptCount val="11"/>
                <c:pt idx="0" formatCode="General">
                  <c:v>0</c:v>
                </c:pt>
                <c:pt idx="1">
                  <c:v>6.6158889650682573</c:v>
                </c:pt>
                <c:pt idx="2">
                  <c:v>5.3396379356930579</c:v>
                </c:pt>
                <c:pt idx="3">
                  <c:v>6.8567852214373213</c:v>
                </c:pt>
                <c:pt idx="4">
                  <c:v>1.0446621890857828</c:v>
                </c:pt>
                <c:pt idx="5">
                  <c:v>1.0842245798748524</c:v>
                </c:pt>
                <c:pt idx="6">
                  <c:v>3.3901136817637156</c:v>
                </c:pt>
                <c:pt idx="7">
                  <c:v>8.3573038017162684</c:v>
                </c:pt>
                <c:pt idx="8">
                  <c:v>6.7350252358916105</c:v>
                </c:pt>
                <c:pt idx="9">
                  <c:v>5.8104432320246566</c:v>
                </c:pt>
                <c:pt idx="10">
                  <c:v>2.0632573759407977</c:v>
                </c:pt>
              </c:numCache>
            </c:numRef>
          </c:val>
          <c:extLst>
            <c:ext xmlns:c16="http://schemas.microsoft.com/office/drawing/2014/chart" uri="{C3380CC4-5D6E-409C-BE32-E72D297353CC}">
              <c16:uniqueId val="{00000000-60F0-497F-9936-D9815F80C3C1}"/>
            </c:ext>
          </c:extLst>
        </c:ser>
        <c:dLbls>
          <c:showLegendKey val="0"/>
          <c:showVal val="0"/>
          <c:showCatName val="0"/>
          <c:showSerName val="0"/>
          <c:showPercent val="0"/>
          <c:showBubbleSize val="0"/>
        </c:dLbls>
        <c:gapWidth val="219"/>
        <c:overlap val="-27"/>
        <c:axId val="1358153584"/>
        <c:axId val="1358137264"/>
      </c:barChart>
      <c:catAx>
        <c:axId val="135815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137264"/>
        <c:crosses val="autoZero"/>
        <c:auto val="1"/>
        <c:lblAlgn val="ctr"/>
        <c:lblOffset val="100"/>
        <c:noMultiLvlLbl val="0"/>
      </c:catAx>
      <c:valAx>
        <c:axId val="1358137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15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dPt>
            <c:idx val="8"/>
            <c:marker>
              <c:symbol val="circle"/>
              <c:size val="5"/>
              <c:spPr>
                <a:solidFill>
                  <a:srgbClr val="FFC000"/>
                </a:solidFill>
                <a:ln w="9525">
                  <a:solidFill>
                    <a:schemeClr val="accent1"/>
                  </a:solidFill>
                </a:ln>
                <a:effectLst/>
              </c:spPr>
            </c:marker>
            <c:bubble3D val="0"/>
            <c:extLst>
              <c:ext xmlns:c16="http://schemas.microsoft.com/office/drawing/2014/chart" uri="{C3380CC4-5D6E-409C-BE32-E72D297353CC}">
                <c16:uniqueId val="{00000000-4332-43A2-ACD5-9357E98B3534}"/>
              </c:ext>
            </c:extLst>
          </c:dPt>
          <c:xVal>
            <c:numRef>
              <c:f>Sheet4!$A$33:$A$43</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xVal>
          <c:yVal>
            <c:numRef>
              <c:f>Sheet4!$C$33:$C$43</c:f>
              <c:numCache>
                <c:formatCode>0.00</c:formatCode>
                <c:ptCount val="11"/>
                <c:pt idx="0" formatCode="General">
                  <c:v>0</c:v>
                </c:pt>
                <c:pt idx="1">
                  <c:v>4.58729671678429</c:v>
                </c:pt>
                <c:pt idx="2">
                  <c:v>5.3029191726565736</c:v>
                </c:pt>
                <c:pt idx="3">
                  <c:v>3.3293863620533668</c:v>
                </c:pt>
                <c:pt idx="4">
                  <c:v>5.5679137175598186</c:v>
                </c:pt>
                <c:pt idx="5">
                  <c:v>7.1004405848924188</c:v>
                </c:pt>
                <c:pt idx="6">
                  <c:v>0.33657989300986862</c:v>
                </c:pt>
                <c:pt idx="7">
                  <c:v>2.7900218232103846</c:v>
                </c:pt>
                <c:pt idx="8">
                  <c:v>10.335857564021046</c:v>
                </c:pt>
                <c:pt idx="9">
                  <c:v>10.106355110808396</c:v>
                </c:pt>
                <c:pt idx="10">
                  <c:v>3.9779215835553874</c:v>
                </c:pt>
              </c:numCache>
            </c:numRef>
          </c:yVal>
          <c:smooth val="0"/>
          <c:extLst>
            <c:ext xmlns:c16="http://schemas.microsoft.com/office/drawing/2014/chart" uri="{C3380CC4-5D6E-409C-BE32-E72D297353CC}">
              <c16:uniqueId val="{00000000-7F8E-4624-9D07-0312F6C8A0F7}"/>
            </c:ext>
          </c:extLst>
        </c:ser>
        <c:dLbls>
          <c:showLegendKey val="0"/>
          <c:showVal val="0"/>
          <c:showCatName val="0"/>
          <c:showSerName val="0"/>
          <c:showPercent val="0"/>
          <c:showBubbleSize val="0"/>
        </c:dLbls>
        <c:axId val="1437254784"/>
        <c:axId val="1437249984"/>
      </c:scatterChart>
      <c:valAx>
        <c:axId val="143725478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249984"/>
        <c:crosses val="autoZero"/>
        <c:crossBetween val="midCat"/>
      </c:valAx>
      <c:valAx>
        <c:axId val="1437249984"/>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2547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8"/>
            <c:invertIfNegative val="0"/>
            <c:bubble3D val="0"/>
            <c:spPr>
              <a:solidFill>
                <a:srgbClr val="FFC000"/>
              </a:solidFill>
              <a:ln>
                <a:noFill/>
              </a:ln>
              <a:effectLst/>
            </c:spPr>
            <c:extLst>
              <c:ext xmlns:c16="http://schemas.microsoft.com/office/drawing/2014/chart" uri="{C3380CC4-5D6E-409C-BE32-E72D297353CC}">
                <c16:uniqueId val="{00000000-CF66-4CDE-B955-08480085ADC0}"/>
              </c:ext>
            </c:extLst>
          </c:dPt>
          <c:cat>
            <c:numRef>
              <c:f>Sheet4!$A$47:$A$57</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f>Sheet4!$C$47:$C$57</c:f>
              <c:numCache>
                <c:formatCode>0.00</c:formatCode>
                <c:ptCount val="11"/>
                <c:pt idx="0" formatCode="General">
                  <c:v>0</c:v>
                </c:pt>
                <c:pt idx="1">
                  <c:v>4.5308960237481264</c:v>
                </c:pt>
                <c:pt idx="2">
                  <c:v>-0.37366415066136432</c:v>
                </c:pt>
                <c:pt idx="3">
                  <c:v>2.0703623134048299</c:v>
                </c:pt>
                <c:pt idx="4">
                  <c:v>3.4761519805982179</c:v>
                </c:pt>
                <c:pt idx="5">
                  <c:v>4.9360795454545494</c:v>
                </c:pt>
                <c:pt idx="6">
                  <c:v>2.0027688047992638</c:v>
                </c:pt>
                <c:pt idx="7">
                  <c:v>7.5383037760888154</c:v>
                </c:pt>
                <c:pt idx="8">
                  <c:v>11.476522490281953</c:v>
                </c:pt>
                <c:pt idx="9">
                  <c:v>6.9961808822715437</c:v>
                </c:pt>
                <c:pt idx="10">
                  <c:v>1.9667890952356426</c:v>
                </c:pt>
              </c:numCache>
            </c:numRef>
          </c:val>
          <c:extLst>
            <c:ext xmlns:c16="http://schemas.microsoft.com/office/drawing/2014/chart" uri="{C3380CC4-5D6E-409C-BE32-E72D297353CC}">
              <c16:uniqueId val="{00000000-A329-4226-8BBB-664CE1074098}"/>
            </c:ext>
          </c:extLst>
        </c:ser>
        <c:dLbls>
          <c:showLegendKey val="0"/>
          <c:showVal val="0"/>
          <c:showCatName val="0"/>
          <c:showSerName val="0"/>
          <c:showPercent val="0"/>
          <c:showBubbleSize val="0"/>
        </c:dLbls>
        <c:gapWidth val="182"/>
        <c:axId val="1244386624"/>
        <c:axId val="1244383744"/>
      </c:barChart>
      <c:catAx>
        <c:axId val="1244386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383744"/>
        <c:crosses val="autoZero"/>
        <c:auto val="1"/>
        <c:lblAlgn val="ctr"/>
        <c:lblOffset val="100"/>
        <c:noMultiLvlLbl val="0"/>
      </c:catAx>
      <c:valAx>
        <c:axId val="1244383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3866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spPr>
            <a:solidFill>
              <a:schemeClr val="accent1"/>
            </a:solidFill>
            <a:ln>
              <a:noFill/>
            </a:ln>
            <a:effectLst/>
          </c:spPr>
          <c:cat>
            <c:numRef>
              <c:f>Sheet4!$A$64:$A$74</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f>Sheet4!$C$64:$C$74</c:f>
              <c:numCache>
                <c:formatCode>0%</c:formatCode>
                <c:ptCount val="11"/>
                <c:pt idx="0" formatCode="General">
                  <c:v>0</c:v>
                </c:pt>
                <c:pt idx="1">
                  <c:v>6.6495001514692495E-2</c:v>
                </c:pt>
                <c:pt idx="2">
                  <c:v>4.9069734412725406E-2</c:v>
                </c:pt>
                <c:pt idx="3">
                  <c:v>4.9482163406213947E-2</c:v>
                </c:pt>
                <c:pt idx="4">
                  <c:v>3.3281733746130131E-2</c:v>
                </c:pt>
                <c:pt idx="5">
                  <c:v>3.9513108614232476E-2</c:v>
                </c:pt>
                <c:pt idx="6">
                  <c:v>3.8961038961039161E-2</c:v>
                </c:pt>
                <c:pt idx="7">
                  <c:v>5.827028163093699E-2</c:v>
                </c:pt>
                <c:pt idx="8">
                  <c:v>5.8164937192790832E-2</c:v>
                </c:pt>
                <c:pt idx="9">
                  <c:v>6.6219354838709665E-2</c:v>
                </c:pt>
                <c:pt idx="10">
                  <c:v>3.1774615161196632E-2</c:v>
                </c:pt>
              </c:numCache>
            </c:numRef>
          </c:val>
          <c:extLst>
            <c:ext xmlns:c16="http://schemas.microsoft.com/office/drawing/2014/chart" uri="{C3380CC4-5D6E-409C-BE32-E72D297353CC}">
              <c16:uniqueId val="{00000000-C5AA-423A-A43C-A46DB5DB95E0}"/>
            </c:ext>
          </c:extLst>
        </c:ser>
        <c:dLbls>
          <c:showLegendKey val="0"/>
          <c:showVal val="0"/>
          <c:showCatName val="0"/>
          <c:showSerName val="0"/>
          <c:showPercent val="0"/>
          <c:showBubbleSize val="0"/>
        </c:dLbls>
        <c:axId val="832286816"/>
        <c:axId val="832287776"/>
      </c:areaChart>
      <c:catAx>
        <c:axId val="832286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287776"/>
        <c:crosses val="autoZero"/>
        <c:auto val="1"/>
        <c:lblAlgn val="ctr"/>
        <c:lblOffset val="100"/>
        <c:noMultiLvlLbl val="0"/>
      </c:catAx>
      <c:valAx>
        <c:axId val="832287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286816"/>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Precovid</a:t>
            </a:r>
            <a:r>
              <a:rPr lang="en-IN" b="1" baseline="0"/>
              <a:t> and Post covid Comparision</a:t>
            </a:r>
          </a:p>
        </c:rich>
      </c:tx>
      <c:overlay val="0"/>
      <c:spPr>
        <a:noFill/>
        <a:ln>
          <a:noFill/>
        </a:ln>
        <a:effectLst/>
      </c:spPr>
    </c:title>
    <c:autoTitleDeleted val="0"/>
    <c:plotArea>
      <c:layout>
        <c:manualLayout>
          <c:layoutTarget val="inner"/>
          <c:xMode val="edge"/>
          <c:yMode val="edge"/>
          <c:x val="2.7437943262411349E-2"/>
          <c:y val="0.10690666666666666"/>
          <c:w val="0.93238398391690402"/>
          <c:h val="0.77823097112860895"/>
        </c:manualLayout>
      </c:layout>
      <c:barChart>
        <c:barDir val="bar"/>
        <c:grouping val="clustered"/>
        <c:varyColors val="0"/>
        <c:ser>
          <c:idx val="3"/>
          <c:order val="0"/>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'Problem Statement 4'!$A$2:$A$6</c:f>
              <c:strCache>
                <c:ptCount val="5"/>
                <c:pt idx="0">
                  <c:v>Food</c:v>
                </c:pt>
                <c:pt idx="1">
                  <c:v>Energy</c:v>
                </c:pt>
                <c:pt idx="2">
                  <c:v>Transportation </c:v>
                </c:pt>
                <c:pt idx="3">
                  <c:v>Education</c:v>
                </c:pt>
                <c:pt idx="4">
                  <c:v>Others</c:v>
                </c:pt>
              </c:strCache>
            </c:strRef>
          </c:cat>
          <c:val>
            <c:numRef>
              <c:f>'Problem Statement 4'!$D$2:$D$6</c:f>
              <c:numCache>
                <c:formatCode>0.0%</c:formatCode>
                <c:ptCount val="5"/>
                <c:pt idx="0">
                  <c:v>0.27150235773116826</c:v>
                </c:pt>
                <c:pt idx="1">
                  <c:v>0.13890988665593429</c:v>
                </c:pt>
                <c:pt idx="2">
                  <c:v>0.30124610763080034</c:v>
                </c:pt>
                <c:pt idx="3">
                  <c:v>-9.4637406011632286E-2</c:v>
                </c:pt>
                <c:pt idx="4">
                  <c:v>0.14390964281477459</c:v>
                </c:pt>
              </c:numCache>
            </c:numRef>
          </c:val>
          <c:extLst>
            <c:ext xmlns:c16="http://schemas.microsoft.com/office/drawing/2014/chart" uri="{C3380CC4-5D6E-409C-BE32-E72D297353CC}">
              <c16:uniqueId val="{0000000D-188B-4F29-BC92-F28B60372D48}"/>
            </c:ext>
          </c:extLst>
        </c:ser>
        <c:ser>
          <c:idx val="0"/>
          <c:order val="1"/>
          <c:tx>
            <c:strRef>
              <c:f>'Problem Statement 4'!$B$1</c:f>
              <c:strCache>
                <c:ptCount val="1"/>
                <c:pt idx="0">
                  <c:v>PreCovid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Statement 4'!$A$2:$A$6</c:f>
              <c:strCache>
                <c:ptCount val="5"/>
                <c:pt idx="0">
                  <c:v>Food</c:v>
                </c:pt>
                <c:pt idx="1">
                  <c:v>Energy</c:v>
                </c:pt>
                <c:pt idx="2">
                  <c:v>Transportation </c:v>
                </c:pt>
                <c:pt idx="3">
                  <c:v>Education</c:v>
                </c:pt>
                <c:pt idx="4">
                  <c:v>Others</c:v>
                </c:pt>
              </c:strCache>
            </c:strRef>
          </c:cat>
          <c:val>
            <c:numRef>
              <c:f>'Problem Statement 4'!$B$2:$B$6</c:f>
              <c:numCache>
                <c:formatCode>0.0%</c:formatCode>
                <c:ptCount val="5"/>
                <c:pt idx="0">
                  <c:v>0.21647102934479903</c:v>
                </c:pt>
                <c:pt idx="1">
                  <c:v>0.42429220773734189</c:v>
                </c:pt>
                <c:pt idx="2">
                  <c:v>0.3073757551248823</c:v>
                </c:pt>
                <c:pt idx="3">
                  <c:v>0.4178620727028306</c:v>
                </c:pt>
                <c:pt idx="4">
                  <c:v>0.36632668300182403</c:v>
                </c:pt>
              </c:numCache>
            </c:numRef>
          </c:val>
          <c:extLst>
            <c:ext xmlns:c16="http://schemas.microsoft.com/office/drawing/2014/chart" uri="{C3380CC4-5D6E-409C-BE32-E72D297353CC}">
              <c16:uniqueId val="{00000008-188B-4F29-BC92-F28B60372D48}"/>
            </c:ext>
          </c:extLst>
        </c:ser>
        <c:ser>
          <c:idx val="2"/>
          <c:order val="2"/>
          <c:tx>
            <c:strRef>
              <c:f>'Problem Statement 4'!$D$1</c:f>
              <c:strCache>
                <c:ptCount val="1"/>
                <c:pt idx="0">
                  <c:v>% Change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Statement 4'!$A$2:$A$6</c:f>
              <c:strCache>
                <c:ptCount val="5"/>
                <c:pt idx="0">
                  <c:v>Food</c:v>
                </c:pt>
                <c:pt idx="1">
                  <c:v>Energy</c:v>
                </c:pt>
                <c:pt idx="2">
                  <c:v>Transportation </c:v>
                </c:pt>
                <c:pt idx="3">
                  <c:v>Education</c:v>
                </c:pt>
                <c:pt idx="4">
                  <c:v>Others</c:v>
                </c:pt>
              </c:strCache>
            </c:strRef>
          </c:cat>
          <c:val>
            <c:numRef>
              <c:f>'Problem Statement 4'!$D$2:$D$6</c:f>
              <c:numCache>
                <c:formatCode>0.0%</c:formatCode>
                <c:ptCount val="5"/>
                <c:pt idx="0">
                  <c:v>0.27150235773116826</c:v>
                </c:pt>
                <c:pt idx="1">
                  <c:v>0.13890988665593429</c:v>
                </c:pt>
                <c:pt idx="2">
                  <c:v>0.30124610763080034</c:v>
                </c:pt>
                <c:pt idx="3">
                  <c:v>-9.4637406011632286E-2</c:v>
                </c:pt>
                <c:pt idx="4">
                  <c:v>0.14390964281477459</c:v>
                </c:pt>
              </c:numCache>
            </c:numRef>
          </c:val>
          <c:extLst>
            <c:ext xmlns:c16="http://schemas.microsoft.com/office/drawing/2014/chart" uri="{C3380CC4-5D6E-409C-BE32-E72D297353CC}">
              <c16:uniqueId val="{0000000A-188B-4F29-BC92-F28B60372D48}"/>
            </c:ext>
          </c:extLst>
        </c:ser>
        <c:ser>
          <c:idx val="1"/>
          <c:order val="3"/>
          <c:tx>
            <c:strRef>
              <c:f>'Problem Statement 4'!$C$1</c:f>
              <c:strCache>
                <c:ptCount val="1"/>
                <c:pt idx="0">
                  <c:v>Post Covid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Statement 4'!$A$2:$A$6</c:f>
              <c:strCache>
                <c:ptCount val="5"/>
                <c:pt idx="0">
                  <c:v>Food</c:v>
                </c:pt>
                <c:pt idx="1">
                  <c:v>Energy</c:v>
                </c:pt>
                <c:pt idx="2">
                  <c:v>Transportation </c:v>
                </c:pt>
                <c:pt idx="3">
                  <c:v>Education</c:v>
                </c:pt>
                <c:pt idx="4">
                  <c:v>Others</c:v>
                </c:pt>
              </c:strCache>
            </c:strRef>
          </c:cat>
          <c:val>
            <c:numRef>
              <c:f>'Problem Statement 4'!$C$2:$C$6</c:f>
              <c:numCache>
                <c:formatCode>0.0%</c:formatCode>
                <c:ptCount val="5"/>
                <c:pt idx="0">
                  <c:v>0.48797338707596732</c:v>
                </c:pt>
                <c:pt idx="1">
                  <c:v>0.56320209439327618</c:v>
                </c:pt>
                <c:pt idx="2">
                  <c:v>0.60862186275568264</c:v>
                </c:pt>
                <c:pt idx="3">
                  <c:v>0.32322466669119831</c:v>
                </c:pt>
                <c:pt idx="4">
                  <c:v>0.51023632581659861</c:v>
                </c:pt>
              </c:numCache>
            </c:numRef>
          </c:val>
          <c:extLst>
            <c:ext xmlns:c16="http://schemas.microsoft.com/office/drawing/2014/chart" uri="{C3380CC4-5D6E-409C-BE32-E72D297353CC}">
              <c16:uniqueId val="{0000000C-188B-4F29-BC92-F28B60372D48}"/>
            </c:ext>
          </c:extLst>
        </c:ser>
        <c:dLbls>
          <c:dLblPos val="outEnd"/>
          <c:showLegendKey val="0"/>
          <c:showVal val="1"/>
          <c:showCatName val="0"/>
          <c:showSerName val="0"/>
          <c:showPercent val="0"/>
          <c:showBubbleSize val="0"/>
        </c:dLbls>
        <c:gapWidth val="190"/>
        <c:axId val="639483936"/>
        <c:axId val="639491136"/>
      </c:barChart>
      <c:catAx>
        <c:axId val="63948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491136"/>
        <c:crosses val="autoZero"/>
        <c:auto val="1"/>
        <c:lblAlgn val="ctr"/>
        <c:lblOffset val="100"/>
        <c:noMultiLvlLbl val="0"/>
      </c:catAx>
      <c:valAx>
        <c:axId val="63949113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483936"/>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'Problem Satatement 5'!$C$43</c:f>
              <c:strCache>
                <c:ptCount val="1"/>
                <c:pt idx="0">
                  <c:v>Oil</c:v>
                </c:pt>
              </c:strCache>
            </c:strRef>
          </c:tx>
          <c:spPr>
            <a:solidFill>
              <a:schemeClr val="accent1"/>
            </a:solidFill>
            <a:ln>
              <a:noFill/>
            </a:ln>
            <a:effectLst/>
          </c:spPr>
          <c:invertIfNegative val="0"/>
          <c:cat>
            <c:strRef>
              <c:f>'Problem Satatement 5'!$D$42:$I$42</c:f>
              <c:strCache>
                <c:ptCount val="6"/>
                <c:pt idx="0">
                  <c:v>General index</c:v>
                </c:pt>
                <c:pt idx="1">
                  <c:v>Food</c:v>
                </c:pt>
                <c:pt idx="2">
                  <c:v>Energy </c:v>
                </c:pt>
                <c:pt idx="3">
                  <c:v>Transportation </c:v>
                </c:pt>
                <c:pt idx="4">
                  <c:v>Education</c:v>
                </c:pt>
                <c:pt idx="5">
                  <c:v>Others</c:v>
                </c:pt>
              </c:strCache>
            </c:strRef>
          </c:cat>
          <c:val>
            <c:numRef>
              <c:f>'Problem Satatement 5'!$D$43:$I$43</c:f>
              <c:numCache>
                <c:formatCode>0.00</c:formatCode>
                <c:ptCount val="6"/>
                <c:pt idx="0">
                  <c:v>0.11523811756697785</c:v>
                </c:pt>
                <c:pt idx="1">
                  <c:v>8.8910314498554827E-2</c:v>
                </c:pt>
                <c:pt idx="2">
                  <c:v>0.11290929944922146</c:v>
                </c:pt>
                <c:pt idx="3">
                  <c:v>8.3959005276023305E-2</c:v>
                </c:pt>
                <c:pt idx="4">
                  <c:v>-0.18279011165695622</c:v>
                </c:pt>
                <c:pt idx="5">
                  <c:v>7.4647891696534921E-2</c:v>
                </c:pt>
              </c:numCache>
            </c:numRef>
          </c:val>
          <c:extLst>
            <c:ext xmlns:c16="http://schemas.microsoft.com/office/drawing/2014/chart" uri="{C3380CC4-5D6E-409C-BE32-E72D297353CC}">
              <c16:uniqueId val="{00000000-68C0-43A7-9BD8-733033063C2A}"/>
            </c:ext>
          </c:extLst>
        </c:ser>
        <c:dLbls>
          <c:showLegendKey val="0"/>
          <c:showVal val="0"/>
          <c:showCatName val="0"/>
          <c:showSerName val="0"/>
          <c:showPercent val="0"/>
          <c:showBubbleSize val="0"/>
        </c:dLbls>
        <c:gapWidth val="219"/>
        <c:overlap val="-27"/>
        <c:axId val="1220723951"/>
        <c:axId val="1220729711"/>
      </c:barChart>
      <c:catAx>
        <c:axId val="122072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729711"/>
        <c:crosses val="autoZero"/>
        <c:auto val="1"/>
        <c:lblAlgn val="ctr"/>
        <c:lblOffset val="100"/>
        <c:noMultiLvlLbl val="0"/>
      </c:catAx>
      <c:valAx>
        <c:axId val="12207297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72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'Problem Satatement 5'!$C$47</c:f>
              <c:strCache>
                <c:ptCount val="1"/>
                <c:pt idx="0">
                  <c:v>Oil</c:v>
                </c:pt>
              </c:strCache>
            </c:strRef>
          </c:tx>
          <c:spPr>
            <a:solidFill>
              <a:schemeClr val="accent1"/>
            </a:solidFill>
            <a:ln>
              <a:noFill/>
            </a:ln>
            <a:effectLst/>
          </c:spPr>
          <c:invertIfNegative val="0"/>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4694-4362-822B-79AE994A9F92}"/>
              </c:ext>
            </c:extLst>
          </c:dPt>
          <c:cat>
            <c:strRef>
              <c:f>'Problem Satatement 5'!$D$46:$I$46</c:f>
              <c:strCache>
                <c:ptCount val="6"/>
                <c:pt idx="0">
                  <c:v>General index</c:v>
                </c:pt>
                <c:pt idx="1">
                  <c:v>Food</c:v>
                </c:pt>
                <c:pt idx="2">
                  <c:v>Energy </c:v>
                </c:pt>
                <c:pt idx="3">
                  <c:v>Transportation </c:v>
                </c:pt>
                <c:pt idx="4">
                  <c:v>Education</c:v>
                </c:pt>
                <c:pt idx="5">
                  <c:v>Others</c:v>
                </c:pt>
              </c:strCache>
            </c:strRef>
          </c:cat>
          <c:val>
            <c:numRef>
              <c:f>'Problem Satatement 5'!$D$47:$I$47</c:f>
              <c:numCache>
                <c:formatCode>0.00</c:formatCode>
                <c:ptCount val="6"/>
                <c:pt idx="0">
                  <c:v>0.96888260143740834</c:v>
                </c:pt>
                <c:pt idx="1">
                  <c:v>0.96688658231392399</c:v>
                </c:pt>
                <c:pt idx="2">
                  <c:v>0.97652151516852181</c:v>
                </c:pt>
                <c:pt idx="3">
                  <c:v>0.96973289664381845</c:v>
                </c:pt>
                <c:pt idx="4">
                  <c:v>0.96422631708103146</c:v>
                </c:pt>
                <c:pt idx="5">
                  <c:v>0.96949341039081849</c:v>
                </c:pt>
              </c:numCache>
            </c:numRef>
          </c:val>
          <c:extLst>
            <c:ext xmlns:c16="http://schemas.microsoft.com/office/drawing/2014/chart" uri="{C3380CC4-5D6E-409C-BE32-E72D297353CC}">
              <c16:uniqueId val="{00000000-AB01-49FE-B5D7-174EBB6F01D5}"/>
            </c:ext>
          </c:extLst>
        </c:ser>
        <c:dLbls>
          <c:showLegendKey val="0"/>
          <c:showVal val="0"/>
          <c:showCatName val="0"/>
          <c:showSerName val="0"/>
          <c:showPercent val="0"/>
          <c:showBubbleSize val="0"/>
        </c:dLbls>
        <c:gapWidth val="182"/>
        <c:axId val="1219198095"/>
        <c:axId val="1220721551"/>
      </c:barChart>
      <c:catAx>
        <c:axId val="1219198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721551"/>
        <c:crosses val="autoZero"/>
        <c:auto val="1"/>
        <c:lblAlgn val="ctr"/>
        <c:lblOffset val="100"/>
        <c:noMultiLvlLbl val="0"/>
      </c:catAx>
      <c:valAx>
        <c:axId val="122072155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1980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barChart>
        <c:barDir val="col"/>
        <c:grouping val="clustered"/>
        <c:varyColors val="0"/>
        <c:ser>
          <c:idx val="0"/>
          <c:order val="0"/>
          <c:tx>
            <c:strRef>
              <c:f>'Problem Statement 1'!$H$2</c:f>
              <c:strCache>
                <c:ptCount val="1"/>
                <c:pt idx="0">
                  <c:v>Percentage</c:v>
                </c:pt>
              </c:strCache>
            </c:strRef>
          </c:tx>
          <c:spPr>
            <a:solidFill>
              <a:schemeClr val="accent2"/>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5053-4406-A745-5923F2C0B0A6}"/>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5053-4406-A745-5923F2C0B0A6}"/>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5053-4406-A745-5923F2C0B0A6}"/>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5-5053-4406-A745-5923F2C0B0A6}"/>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3-5053-4406-A745-5923F2C0B0A6}"/>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Statement 1'!$A$3:$A$7</c:f>
              <c:strCache>
                <c:ptCount val="5"/>
                <c:pt idx="0">
                  <c:v>Food</c:v>
                </c:pt>
                <c:pt idx="1">
                  <c:v>Energy </c:v>
                </c:pt>
                <c:pt idx="2">
                  <c:v>Transportation </c:v>
                </c:pt>
                <c:pt idx="3">
                  <c:v>Education</c:v>
                </c:pt>
                <c:pt idx="4">
                  <c:v>Others</c:v>
                </c:pt>
              </c:strCache>
            </c:strRef>
          </c:cat>
          <c:val>
            <c:numRef>
              <c:f>'Problem Statement 1'!$H$3:$H$7</c:f>
              <c:numCache>
                <c:formatCode>0%</c:formatCode>
                <c:ptCount val="5"/>
                <c:pt idx="0">
                  <c:v>0.49609504016015021</c:v>
                </c:pt>
                <c:pt idx="1">
                  <c:v>3.9398628973287622E-2</c:v>
                </c:pt>
                <c:pt idx="2">
                  <c:v>3.5569388576315822E-2</c:v>
                </c:pt>
                <c:pt idx="3">
                  <c:v>3.8048659477406051E-2</c:v>
                </c:pt>
                <c:pt idx="4">
                  <c:v>0.39088828281284033</c:v>
                </c:pt>
              </c:numCache>
            </c:numRef>
          </c:val>
          <c:extLst>
            <c:ext xmlns:c16="http://schemas.microsoft.com/office/drawing/2014/chart" uri="{C3380CC4-5D6E-409C-BE32-E72D297353CC}">
              <c16:uniqueId val="{00000000-5053-4406-A745-5923F2C0B0A6}"/>
            </c:ext>
          </c:extLst>
        </c:ser>
        <c:dLbls>
          <c:dLblPos val="outEnd"/>
          <c:showLegendKey val="0"/>
          <c:showVal val="1"/>
          <c:showCatName val="0"/>
          <c:showSerName val="0"/>
          <c:showPercent val="0"/>
          <c:showBubbleSize val="0"/>
        </c:dLbls>
        <c:gapWidth val="219"/>
        <c:overlap val="-27"/>
        <c:axId val="1806452367"/>
        <c:axId val="1806452847"/>
      </c:barChart>
      <c:catAx>
        <c:axId val="180645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06452847"/>
        <c:crosses val="autoZero"/>
        <c:auto val="1"/>
        <c:lblAlgn val="ctr"/>
        <c:lblOffset val="100"/>
        <c:noMultiLvlLbl val="0"/>
      </c:catAx>
      <c:valAx>
        <c:axId val="18064528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45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pieChart>
        <c:varyColors val="1"/>
        <c:ser>
          <c:idx val="0"/>
          <c:order val="0"/>
          <c:tx>
            <c:strRef>
              <c:f>'Problem Statement 1'!$H$2</c:f>
              <c:strCache>
                <c:ptCount val="1"/>
                <c:pt idx="0">
                  <c:v>Percentage</c:v>
                </c:pt>
              </c:strCache>
            </c:strRef>
          </c:tx>
          <c:dPt>
            <c:idx val="0"/>
            <c:bubble3D val="0"/>
            <c:spPr>
              <a:solidFill>
                <a:schemeClr val="accent6">
                  <a:tint val="54000"/>
                </a:schemeClr>
              </a:solidFill>
              <a:ln>
                <a:noFill/>
              </a:ln>
              <a:effectLst/>
            </c:spPr>
            <c:extLst>
              <c:ext xmlns:c16="http://schemas.microsoft.com/office/drawing/2014/chart" uri="{C3380CC4-5D6E-409C-BE32-E72D297353CC}">
                <c16:uniqueId val="{00000001-BE20-47D5-BBF4-22620E1D48A7}"/>
              </c:ext>
            </c:extLst>
          </c:dPt>
          <c:dPt>
            <c:idx val="1"/>
            <c:bubble3D val="0"/>
            <c:spPr>
              <a:solidFill>
                <a:schemeClr val="accent1"/>
              </a:solidFill>
              <a:ln>
                <a:noFill/>
              </a:ln>
              <a:effectLst/>
            </c:spPr>
            <c:extLst>
              <c:ext xmlns:c16="http://schemas.microsoft.com/office/drawing/2014/chart" uri="{C3380CC4-5D6E-409C-BE32-E72D297353CC}">
                <c16:uniqueId val="{00000003-BE20-47D5-BBF4-22620E1D48A7}"/>
              </c:ext>
            </c:extLst>
          </c:dPt>
          <c:dPt>
            <c:idx val="2"/>
            <c:bubble3D val="0"/>
            <c:spPr>
              <a:solidFill>
                <a:schemeClr val="accent1"/>
              </a:solidFill>
              <a:ln>
                <a:noFill/>
              </a:ln>
              <a:effectLst/>
            </c:spPr>
            <c:extLst>
              <c:ext xmlns:c16="http://schemas.microsoft.com/office/drawing/2014/chart" uri="{C3380CC4-5D6E-409C-BE32-E72D297353CC}">
                <c16:uniqueId val="{00000005-BE20-47D5-BBF4-22620E1D48A7}"/>
              </c:ext>
            </c:extLst>
          </c:dPt>
          <c:dPt>
            <c:idx val="3"/>
            <c:bubble3D val="0"/>
            <c:spPr>
              <a:solidFill>
                <a:schemeClr val="accent1"/>
              </a:solidFill>
              <a:ln>
                <a:noFill/>
              </a:ln>
              <a:effectLst/>
            </c:spPr>
            <c:extLst>
              <c:ext xmlns:c16="http://schemas.microsoft.com/office/drawing/2014/chart" uri="{C3380CC4-5D6E-409C-BE32-E72D297353CC}">
                <c16:uniqueId val="{00000007-BE20-47D5-BBF4-22620E1D48A7}"/>
              </c:ext>
            </c:extLst>
          </c:dPt>
          <c:dPt>
            <c:idx val="4"/>
            <c:bubble3D val="0"/>
            <c:spPr>
              <a:solidFill>
                <a:schemeClr val="accent6">
                  <a:shade val="53000"/>
                </a:schemeClr>
              </a:solidFill>
              <a:ln>
                <a:noFill/>
              </a:ln>
              <a:effectLst/>
            </c:spPr>
            <c:extLst>
              <c:ext xmlns:c16="http://schemas.microsoft.com/office/drawing/2014/chart" uri="{C3380CC4-5D6E-409C-BE32-E72D297353CC}">
                <c16:uniqueId val="{00000009-BE20-47D5-BBF4-22620E1D48A7}"/>
              </c:ext>
            </c:extLst>
          </c:dPt>
          <c:dLbls>
            <c:spPr>
              <a:solidFill>
                <a:schemeClr val="bg1"/>
              </a:solid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'Problem Statement 1'!$A$3:$A$7</c:f>
              <c:strCache>
                <c:ptCount val="5"/>
                <c:pt idx="0">
                  <c:v>Food</c:v>
                </c:pt>
                <c:pt idx="1">
                  <c:v>Energy </c:v>
                </c:pt>
                <c:pt idx="2">
                  <c:v>Transportation </c:v>
                </c:pt>
                <c:pt idx="3">
                  <c:v>Education</c:v>
                </c:pt>
                <c:pt idx="4">
                  <c:v>Others</c:v>
                </c:pt>
              </c:strCache>
            </c:strRef>
          </c:cat>
          <c:val>
            <c:numRef>
              <c:f>'Problem Statement 1'!$H$3:$H$7</c:f>
              <c:numCache>
                <c:formatCode>0%</c:formatCode>
                <c:ptCount val="5"/>
                <c:pt idx="0">
                  <c:v>0.49609504016015021</c:v>
                </c:pt>
                <c:pt idx="1">
                  <c:v>3.9398628973287622E-2</c:v>
                </c:pt>
                <c:pt idx="2">
                  <c:v>3.5569388576315822E-2</c:v>
                </c:pt>
                <c:pt idx="3">
                  <c:v>3.8048659477406051E-2</c:v>
                </c:pt>
                <c:pt idx="4">
                  <c:v>0.39088828281284033</c:v>
                </c:pt>
              </c:numCache>
            </c:numRef>
          </c:val>
          <c:extLst>
            <c:ext xmlns:c16="http://schemas.microsoft.com/office/drawing/2014/chart" uri="{C3380CC4-5D6E-409C-BE32-E72D297353CC}">
              <c16:uniqueId val="{00000000-4EB5-4942-ACD1-20922E978CD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Genral Index Inflation Rate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'Problem Statement 2'!$G$3</c:f>
              <c:strCache>
                <c:ptCount val="1"/>
                <c:pt idx="0">
                  <c:v>Inflation Rate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'Problem Statement 2'!$D$4:$D$10</c:f>
              <c:numCache>
                <c:formatCode>0</c:formatCode>
                <c:ptCount val="7"/>
                <c:pt idx="0">
                  <c:v>2017</c:v>
                </c:pt>
                <c:pt idx="1">
                  <c:v>2018</c:v>
                </c:pt>
                <c:pt idx="2">
                  <c:v>2019</c:v>
                </c:pt>
                <c:pt idx="3">
                  <c:v>2020</c:v>
                </c:pt>
                <c:pt idx="4">
                  <c:v>2021</c:v>
                </c:pt>
                <c:pt idx="5">
                  <c:v>2022</c:v>
                </c:pt>
                <c:pt idx="6">
                  <c:v>2023</c:v>
                </c:pt>
              </c:numCache>
            </c:numRef>
          </c:cat>
          <c:val>
            <c:numRef>
              <c:f>'Problem Statement 2'!$G$4:$G$10</c:f>
              <c:numCache>
                <c:formatCode>0%</c:formatCode>
                <c:ptCount val="7"/>
                <c:pt idx="0">
                  <c:v>5.295471987720627E-2</c:v>
                </c:pt>
                <c:pt idx="1">
                  <c:v>2.3374726077428697E-2</c:v>
                </c:pt>
                <c:pt idx="2">
                  <c:v>7.7363896848137617E-2</c:v>
                </c:pt>
                <c:pt idx="3">
                  <c:v>5.7922769640479481E-2</c:v>
                </c:pt>
                <c:pt idx="4">
                  <c:v>5.657978385251098E-2</c:v>
                </c:pt>
                <c:pt idx="5">
                  <c:v>6.0350030175015092E-2</c:v>
                </c:pt>
                <c:pt idx="6">
                  <c:v>1.4730878186968806E-2</c:v>
                </c:pt>
              </c:numCache>
            </c:numRef>
          </c:val>
          <c:extLst>
            <c:ext xmlns:c16="http://schemas.microsoft.com/office/drawing/2014/chart" uri="{C3380CC4-5D6E-409C-BE32-E72D297353CC}">
              <c16:uniqueId val="{00000000-F209-43E1-B5C4-2FA729700EEE}"/>
            </c:ext>
          </c:extLst>
        </c:ser>
        <c:dLbls>
          <c:dLblPos val="outEnd"/>
          <c:showLegendKey val="0"/>
          <c:showVal val="1"/>
          <c:showCatName val="0"/>
          <c:showSerName val="0"/>
          <c:showPercent val="0"/>
          <c:showBubbleSize val="0"/>
        </c:dLbls>
        <c:gapWidth val="219"/>
        <c:overlap val="-27"/>
        <c:axId val="546167727"/>
        <c:axId val="546178767"/>
      </c:barChart>
      <c:catAx>
        <c:axId val="546167727"/>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178767"/>
        <c:crosses val="autoZero"/>
        <c:auto val="1"/>
        <c:lblAlgn val="ctr"/>
        <c:lblOffset val="100"/>
        <c:noMultiLvlLbl val="0"/>
      </c:catAx>
      <c:valAx>
        <c:axId val="546178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1677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Food Category Inflation Rate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'Problem Statement 2'!$M$3</c:f>
              <c:strCache>
                <c:ptCount val="1"/>
                <c:pt idx="0">
                  <c:v>Inflation Rate (%)</c:v>
                </c:pt>
              </c:strCache>
            </c:strRef>
          </c:tx>
          <c:spPr>
            <a:ln w="28575" cap="rnd">
              <a:solidFill>
                <a:schemeClr val="accent1"/>
              </a:solidFill>
              <a:round/>
            </a:ln>
            <a:effectLst/>
          </c:spPr>
          <c:marker>
            <c:symbol val="none"/>
          </c:marker>
          <c:cat>
            <c:numRef>
              <c:f>'Problem Statement 2'!$J$4:$J$10</c:f>
              <c:numCache>
                <c:formatCode>0</c:formatCode>
                <c:ptCount val="7"/>
                <c:pt idx="0">
                  <c:v>2017</c:v>
                </c:pt>
                <c:pt idx="1">
                  <c:v>2018</c:v>
                </c:pt>
                <c:pt idx="2">
                  <c:v>2019</c:v>
                </c:pt>
                <c:pt idx="3">
                  <c:v>2020</c:v>
                </c:pt>
                <c:pt idx="4">
                  <c:v>2021</c:v>
                </c:pt>
                <c:pt idx="5">
                  <c:v>2022</c:v>
                </c:pt>
                <c:pt idx="6">
                  <c:v>2023</c:v>
                </c:pt>
              </c:numCache>
            </c:numRef>
          </c:cat>
          <c:val>
            <c:numRef>
              <c:f>'Problem Statement 2'!$M$4:$M$10</c:f>
              <c:numCache>
                <c:formatCode>0%</c:formatCode>
                <c:ptCount val="7"/>
                <c:pt idx="0">
                  <c:v>3.8298118892193811E-2</c:v>
                </c:pt>
                <c:pt idx="1">
                  <c:v>-8.7072378914973252E-3</c:v>
                </c:pt>
                <c:pt idx="2">
                  <c:v>0.1115591653510357</c:v>
                </c:pt>
                <c:pt idx="3">
                  <c:v>8.7665682302039721E-2</c:v>
                </c:pt>
                <c:pt idx="4">
                  <c:v>5.0679574304398047E-2</c:v>
                </c:pt>
                <c:pt idx="5">
                  <c:v>5.418287489045015E-2</c:v>
                </c:pt>
                <c:pt idx="6">
                  <c:v>6.7672557761287097E-3</c:v>
                </c:pt>
              </c:numCache>
            </c:numRef>
          </c:val>
          <c:smooth val="0"/>
          <c:extLst>
            <c:ext xmlns:c16="http://schemas.microsoft.com/office/drawing/2014/chart" uri="{C3380CC4-5D6E-409C-BE32-E72D297353CC}">
              <c16:uniqueId val="{00000000-8F14-4B4B-9F76-23EC624D7597}"/>
            </c:ext>
          </c:extLst>
        </c:ser>
        <c:dLbls>
          <c:showLegendKey val="0"/>
          <c:showVal val="0"/>
          <c:showCatName val="0"/>
          <c:showSerName val="0"/>
          <c:showPercent val="0"/>
          <c:showBubbleSize val="0"/>
        </c:dLbls>
        <c:smooth val="0"/>
        <c:axId val="850730511"/>
        <c:axId val="850732911"/>
      </c:lineChart>
      <c:catAx>
        <c:axId val="850730511"/>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32911"/>
        <c:crosses val="autoZero"/>
        <c:auto val="1"/>
        <c:lblAlgn val="ctr"/>
        <c:lblOffset val="100"/>
        <c:noMultiLvlLbl val="0"/>
      </c:catAx>
      <c:valAx>
        <c:axId val="8507329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305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Energy Category Inflation Rate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bar"/>
        <c:grouping val="clustered"/>
        <c:varyColors val="0"/>
        <c:ser>
          <c:idx val="0"/>
          <c:order val="0"/>
          <c:tx>
            <c:strRef>
              <c:f>'Problem Statement 2'!$P$4</c:f>
              <c:strCache>
                <c:ptCount val="1"/>
                <c:pt idx="0">
                  <c:v>2017</c:v>
                </c:pt>
              </c:strCache>
            </c:strRef>
          </c:tx>
          <c:spPr>
            <a:solidFill>
              <a:schemeClr val="accent1"/>
            </a:solidFill>
            <a:ln w="19050">
              <a:solidFill>
                <a:schemeClr val="lt1"/>
              </a:solidFill>
            </a:ln>
            <a:effectLst/>
          </c:spPr>
          <c:invertIfNegative val="0"/>
          <c:val>
            <c:numRef>
              <c:f>'Problem Statement 2'!$S$4</c:f>
              <c:numCache>
                <c:formatCode>0%</c:formatCode>
                <c:ptCount val="1"/>
                <c:pt idx="0">
                  <c:v>7.7208808702573767E-2</c:v>
                </c:pt>
              </c:numCache>
            </c:numRef>
          </c:val>
          <c:extLst>
            <c:ext xmlns:c16="http://schemas.microsoft.com/office/drawing/2014/chart" uri="{C3380CC4-5D6E-409C-BE32-E72D297353CC}">
              <c16:uniqueId val="{00000000-B440-4B78-A4A9-A87DA6D3583E}"/>
            </c:ext>
          </c:extLst>
        </c:ser>
        <c:ser>
          <c:idx val="1"/>
          <c:order val="1"/>
          <c:tx>
            <c:strRef>
              <c:f>'Problem Statement 2'!$P$5</c:f>
              <c:strCache>
                <c:ptCount val="1"/>
                <c:pt idx="0">
                  <c:v>2018</c:v>
                </c:pt>
              </c:strCache>
            </c:strRef>
          </c:tx>
          <c:spPr>
            <a:solidFill>
              <a:schemeClr val="accent2"/>
            </a:solidFill>
            <a:ln w="19050">
              <a:solidFill>
                <a:schemeClr val="lt1"/>
              </a:solidFill>
            </a:ln>
            <a:effectLst/>
          </c:spPr>
          <c:invertIfNegative val="0"/>
          <c:val>
            <c:numRef>
              <c:f>'Problem Statement 2'!$S$5</c:f>
              <c:numCache>
                <c:formatCode>0%</c:formatCode>
                <c:ptCount val="1"/>
                <c:pt idx="0">
                  <c:v>4.4066962087641361E-2</c:v>
                </c:pt>
              </c:numCache>
            </c:numRef>
          </c:val>
          <c:extLst>
            <c:ext xmlns:c16="http://schemas.microsoft.com/office/drawing/2014/chart" uri="{C3380CC4-5D6E-409C-BE32-E72D297353CC}">
              <c16:uniqueId val="{00000001-B440-4B78-A4A9-A87DA6D3583E}"/>
            </c:ext>
          </c:extLst>
        </c:ser>
        <c:ser>
          <c:idx val="2"/>
          <c:order val="2"/>
          <c:tx>
            <c:strRef>
              <c:f>'Problem Statement 2'!$P$6</c:f>
              <c:strCache>
                <c:ptCount val="1"/>
                <c:pt idx="0">
                  <c:v>2019</c:v>
                </c:pt>
              </c:strCache>
            </c:strRef>
          </c:tx>
          <c:spPr>
            <a:solidFill>
              <a:schemeClr val="accent3"/>
            </a:solidFill>
            <a:ln w="19050">
              <a:solidFill>
                <a:schemeClr val="lt1"/>
              </a:solidFill>
            </a:ln>
            <a:effectLst/>
          </c:spPr>
          <c:invertIfNegative val="0"/>
          <c:val>
            <c:numRef>
              <c:f>'Problem Statement 2'!$S$6</c:f>
              <c:numCache>
                <c:formatCode>0%</c:formatCode>
                <c:ptCount val="1"/>
                <c:pt idx="0">
                  <c:v>3.1136857349746645E-2</c:v>
                </c:pt>
              </c:numCache>
            </c:numRef>
          </c:val>
          <c:extLst>
            <c:ext xmlns:c16="http://schemas.microsoft.com/office/drawing/2014/chart" uri="{C3380CC4-5D6E-409C-BE32-E72D297353CC}">
              <c16:uniqueId val="{00000002-B440-4B78-A4A9-A87DA6D3583E}"/>
            </c:ext>
          </c:extLst>
        </c:ser>
        <c:ser>
          <c:idx val="3"/>
          <c:order val="3"/>
          <c:tx>
            <c:strRef>
              <c:f>'Problem Statement 2'!$P$7</c:f>
              <c:strCache>
                <c:ptCount val="1"/>
                <c:pt idx="0">
                  <c:v>2020</c:v>
                </c:pt>
              </c:strCache>
            </c:strRef>
          </c:tx>
          <c:spPr>
            <a:solidFill>
              <a:schemeClr val="accent4"/>
            </a:solidFill>
            <a:ln w="19050">
              <a:solidFill>
                <a:schemeClr val="lt1"/>
              </a:solidFill>
            </a:ln>
            <a:effectLst/>
          </c:spPr>
          <c:invertIfNegative val="0"/>
          <c:val>
            <c:numRef>
              <c:f>'Problem Statement 2'!$S$7</c:f>
              <c:numCache>
                <c:formatCode>0%</c:formatCode>
                <c:ptCount val="1"/>
                <c:pt idx="0">
                  <c:v>2.5575447570333008E-3</c:v>
                </c:pt>
              </c:numCache>
            </c:numRef>
          </c:val>
          <c:extLst>
            <c:ext xmlns:c16="http://schemas.microsoft.com/office/drawing/2014/chart" uri="{C3380CC4-5D6E-409C-BE32-E72D297353CC}">
              <c16:uniqueId val="{00000003-B440-4B78-A4A9-A87DA6D3583E}"/>
            </c:ext>
          </c:extLst>
        </c:ser>
        <c:ser>
          <c:idx val="4"/>
          <c:order val="4"/>
          <c:tx>
            <c:strRef>
              <c:f>'Problem Statement 2'!$P$8</c:f>
              <c:strCache>
                <c:ptCount val="1"/>
                <c:pt idx="0">
                  <c:v>2021</c:v>
                </c:pt>
              </c:strCache>
            </c:strRef>
          </c:tx>
          <c:spPr>
            <a:solidFill>
              <a:schemeClr val="accent5"/>
            </a:solidFill>
            <a:ln w="19050">
              <a:solidFill>
                <a:schemeClr val="lt1"/>
              </a:solidFill>
            </a:ln>
            <a:effectLst/>
          </c:spPr>
          <c:invertIfNegative val="0"/>
          <c:val>
            <c:numRef>
              <c:f>'Problem Statement 2'!$S$8</c:f>
              <c:numCache>
                <c:formatCode>0%</c:formatCode>
                <c:ptCount val="1"/>
                <c:pt idx="0">
                  <c:v>0.11251980982567331</c:v>
                </c:pt>
              </c:numCache>
            </c:numRef>
          </c:val>
          <c:extLst>
            <c:ext xmlns:c16="http://schemas.microsoft.com/office/drawing/2014/chart" uri="{C3380CC4-5D6E-409C-BE32-E72D297353CC}">
              <c16:uniqueId val="{00000004-B440-4B78-A4A9-A87DA6D3583E}"/>
            </c:ext>
          </c:extLst>
        </c:ser>
        <c:ser>
          <c:idx val="5"/>
          <c:order val="5"/>
          <c:tx>
            <c:strRef>
              <c:f>'Problem Statement 2'!$P$9</c:f>
              <c:strCache>
                <c:ptCount val="1"/>
                <c:pt idx="0">
                  <c:v>2022</c:v>
                </c:pt>
              </c:strCache>
            </c:strRef>
          </c:tx>
          <c:spPr>
            <a:solidFill>
              <a:schemeClr val="accent6"/>
            </a:solidFill>
            <a:ln w="19050">
              <a:solidFill>
                <a:schemeClr val="lt1"/>
              </a:solidFill>
            </a:ln>
            <a:effectLst/>
          </c:spPr>
          <c:invertIfNegative val="0"/>
          <c:val>
            <c:numRef>
              <c:f>'Problem Statement 2'!$S$9</c:f>
              <c:numCache>
                <c:formatCode>0%</c:formatCode>
                <c:ptCount val="1"/>
                <c:pt idx="0">
                  <c:v>0.10943856794141582</c:v>
                </c:pt>
              </c:numCache>
            </c:numRef>
          </c:val>
          <c:extLst>
            <c:ext xmlns:c16="http://schemas.microsoft.com/office/drawing/2014/chart" uri="{C3380CC4-5D6E-409C-BE32-E72D297353CC}">
              <c16:uniqueId val="{00000005-B440-4B78-A4A9-A87DA6D3583E}"/>
            </c:ext>
          </c:extLst>
        </c:ser>
        <c:ser>
          <c:idx val="6"/>
          <c:order val="6"/>
          <c:tx>
            <c:strRef>
              <c:f>'Problem Statement 2'!$P$10</c:f>
              <c:strCache>
                <c:ptCount val="1"/>
                <c:pt idx="0">
                  <c:v>2023</c:v>
                </c:pt>
              </c:strCache>
            </c:strRef>
          </c:tx>
          <c:spPr>
            <a:solidFill>
              <a:schemeClr val="accent1">
                <a:lumMod val="60000"/>
              </a:schemeClr>
            </a:solidFill>
            <a:ln w="19050">
              <a:solidFill>
                <a:schemeClr val="lt1"/>
              </a:solidFill>
            </a:ln>
            <a:effectLst/>
          </c:spPr>
          <c:invertIfNegative val="0"/>
          <c:val>
            <c:numRef>
              <c:f>'Problem Statement 2'!$S$10</c:f>
              <c:numCache>
                <c:formatCode>0%</c:formatCode>
                <c:ptCount val="1"/>
                <c:pt idx="0">
                  <c:v>6.2350999449845273E-3</c:v>
                </c:pt>
              </c:numCache>
            </c:numRef>
          </c:val>
          <c:extLst>
            <c:ext xmlns:c16="http://schemas.microsoft.com/office/drawing/2014/chart" uri="{C3380CC4-5D6E-409C-BE32-E72D297353CC}">
              <c16:uniqueId val="{00000006-B440-4B78-A4A9-A87DA6D3583E}"/>
            </c:ext>
          </c:extLst>
        </c:ser>
        <c:dLbls>
          <c:showLegendKey val="0"/>
          <c:showVal val="0"/>
          <c:showCatName val="0"/>
          <c:showSerName val="0"/>
          <c:showPercent val="0"/>
          <c:showBubbleSize val="0"/>
        </c:dLbls>
        <c:gapWidth val="150"/>
        <c:axId val="850750191"/>
        <c:axId val="850758831"/>
      </c:barChart>
      <c:valAx>
        <c:axId val="8507588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50191"/>
        <c:crosses val="autoZero"/>
        <c:crossBetween val="between"/>
      </c:valAx>
      <c:catAx>
        <c:axId val="850750191"/>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5883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Transportation Category Inflation Rate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'Problem Statement 2'!$G$13</c:f>
              <c:strCache>
                <c:ptCount val="1"/>
                <c:pt idx="0">
                  <c:v>Inflation Rate (%)</c:v>
                </c:pt>
              </c:strCache>
            </c:strRef>
          </c:tx>
          <c:spPr>
            <a:solidFill>
              <a:schemeClr val="accent1"/>
            </a:solidFill>
            <a:ln>
              <a:noFill/>
            </a:ln>
            <a:effectLst/>
          </c:spPr>
          <c:invertIfNegative val="0"/>
          <c:cat>
            <c:numRef>
              <c:f>'Problem Statement 2'!$D$14:$D$20</c:f>
              <c:numCache>
                <c:formatCode>0</c:formatCode>
                <c:ptCount val="7"/>
                <c:pt idx="0">
                  <c:v>2017</c:v>
                </c:pt>
                <c:pt idx="1">
                  <c:v>2018</c:v>
                </c:pt>
                <c:pt idx="2">
                  <c:v>2019</c:v>
                </c:pt>
                <c:pt idx="3">
                  <c:v>2020</c:v>
                </c:pt>
                <c:pt idx="4">
                  <c:v>2021</c:v>
                </c:pt>
                <c:pt idx="5">
                  <c:v>2022</c:v>
                </c:pt>
                <c:pt idx="6">
                  <c:v>2023</c:v>
                </c:pt>
              </c:numCache>
            </c:numRef>
          </c:cat>
          <c:val>
            <c:numRef>
              <c:f>'Problem Statement 2'!$G$14:$G$20</c:f>
              <c:numCache>
                <c:formatCode>0%</c:formatCode>
                <c:ptCount val="7"/>
                <c:pt idx="0">
                  <c:v>1.2809564474807855E-2</c:v>
                </c:pt>
                <c:pt idx="1">
                  <c:v>3.6282444878593195E-2</c:v>
                </c:pt>
                <c:pt idx="2">
                  <c:v>5.2631578947368418E-2</c:v>
                </c:pt>
                <c:pt idx="3">
                  <c:v>7.4497838799898186E-2</c:v>
                </c:pt>
                <c:pt idx="4">
                  <c:v>9.6880131362889879E-2</c:v>
                </c:pt>
                <c:pt idx="5">
                  <c:v>4.3829787234042607E-2</c:v>
                </c:pt>
                <c:pt idx="6">
                  <c:v>7.3274984734379225E-3</c:v>
                </c:pt>
              </c:numCache>
            </c:numRef>
          </c:val>
          <c:extLst>
            <c:ext xmlns:c16="http://schemas.microsoft.com/office/drawing/2014/chart" uri="{C3380CC4-5D6E-409C-BE32-E72D297353CC}">
              <c16:uniqueId val="{00000000-EFF0-4E7C-BC60-E9A308617F87}"/>
            </c:ext>
          </c:extLst>
        </c:ser>
        <c:dLbls>
          <c:showLegendKey val="0"/>
          <c:showVal val="0"/>
          <c:showCatName val="0"/>
          <c:showSerName val="0"/>
          <c:showPercent val="0"/>
          <c:showBubbleSize val="0"/>
        </c:dLbls>
        <c:gapWidth val="219"/>
        <c:overlap val="-27"/>
        <c:axId val="850728591"/>
        <c:axId val="850730031"/>
      </c:barChart>
      <c:catAx>
        <c:axId val="850728591"/>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30031"/>
        <c:crosses val="autoZero"/>
        <c:auto val="1"/>
        <c:lblAlgn val="ctr"/>
        <c:lblOffset val="100"/>
        <c:noMultiLvlLbl val="0"/>
      </c:catAx>
      <c:valAx>
        <c:axId val="8507300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285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Education Category Inflation Rate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bar"/>
        <c:grouping val="stacked"/>
        <c:varyColors val="0"/>
        <c:ser>
          <c:idx val="0"/>
          <c:order val="0"/>
          <c:tx>
            <c:strRef>
              <c:f>'Problem Statement 2'!$J$14</c:f>
              <c:strCache>
                <c:ptCount val="1"/>
                <c:pt idx="0">
                  <c:v>2017</c:v>
                </c:pt>
              </c:strCache>
            </c:strRef>
          </c:tx>
          <c:spPr>
            <a:solidFill>
              <a:schemeClr val="accent1"/>
            </a:solidFill>
            <a:ln>
              <a:noFill/>
            </a:ln>
            <a:effectLst/>
          </c:spPr>
          <c:invertIfNegative val="0"/>
          <c:cat>
            <c:strRef>
              <c:f>'Problem Statement 2'!$M$13</c:f>
              <c:strCache>
                <c:ptCount val="1"/>
                <c:pt idx="0">
                  <c:v>Inflation Rate (%)</c:v>
                </c:pt>
              </c:strCache>
            </c:strRef>
          </c:cat>
          <c:val>
            <c:numRef>
              <c:f>'Problem Statement 2'!$M$14</c:f>
              <c:numCache>
                <c:formatCode>0%</c:formatCode>
                <c:ptCount val="1"/>
                <c:pt idx="0">
                  <c:v>3.9970022483137503E-2</c:v>
                </c:pt>
              </c:numCache>
            </c:numRef>
          </c:val>
          <c:extLst>
            <c:ext xmlns:c16="http://schemas.microsoft.com/office/drawing/2014/chart" uri="{C3380CC4-5D6E-409C-BE32-E72D297353CC}">
              <c16:uniqueId val="{00000000-CF79-47B6-BB12-BD14F87ACF2D}"/>
            </c:ext>
          </c:extLst>
        </c:ser>
        <c:ser>
          <c:idx val="1"/>
          <c:order val="1"/>
          <c:tx>
            <c:strRef>
              <c:f>'Problem Statement 2'!$J$15</c:f>
              <c:strCache>
                <c:ptCount val="1"/>
                <c:pt idx="0">
                  <c:v>2018</c:v>
                </c:pt>
              </c:strCache>
            </c:strRef>
          </c:tx>
          <c:spPr>
            <a:solidFill>
              <a:schemeClr val="accent2"/>
            </a:solidFill>
            <a:ln>
              <a:noFill/>
            </a:ln>
            <a:effectLst/>
          </c:spPr>
          <c:invertIfNegative val="0"/>
          <c:cat>
            <c:strRef>
              <c:f>'Problem Statement 2'!$M$13</c:f>
              <c:strCache>
                <c:ptCount val="1"/>
                <c:pt idx="0">
                  <c:v>Inflation Rate (%)</c:v>
                </c:pt>
              </c:strCache>
            </c:strRef>
          </c:cat>
          <c:val>
            <c:numRef>
              <c:f>'Problem Statement 2'!$M$15</c:f>
              <c:numCache>
                <c:formatCode>0%</c:formatCode>
                <c:ptCount val="1"/>
                <c:pt idx="0">
                  <c:v>8.1398132631075218E-2</c:v>
                </c:pt>
              </c:numCache>
            </c:numRef>
          </c:val>
          <c:extLst>
            <c:ext xmlns:c16="http://schemas.microsoft.com/office/drawing/2014/chart" uri="{C3380CC4-5D6E-409C-BE32-E72D297353CC}">
              <c16:uniqueId val="{00000001-CF79-47B6-BB12-BD14F87ACF2D}"/>
            </c:ext>
          </c:extLst>
        </c:ser>
        <c:ser>
          <c:idx val="2"/>
          <c:order val="2"/>
          <c:tx>
            <c:strRef>
              <c:f>'Problem Statement 2'!$J$16</c:f>
              <c:strCache>
                <c:ptCount val="1"/>
                <c:pt idx="0">
                  <c:v>2019</c:v>
                </c:pt>
              </c:strCache>
            </c:strRef>
          </c:tx>
          <c:spPr>
            <a:solidFill>
              <a:schemeClr val="accent3"/>
            </a:solidFill>
            <a:ln>
              <a:noFill/>
            </a:ln>
            <a:effectLst/>
          </c:spPr>
          <c:invertIfNegative val="0"/>
          <c:cat>
            <c:strRef>
              <c:f>'Problem Statement 2'!$M$13</c:f>
              <c:strCache>
                <c:ptCount val="1"/>
                <c:pt idx="0">
                  <c:v>Inflation Rate (%)</c:v>
                </c:pt>
              </c:strCache>
            </c:strRef>
          </c:cat>
          <c:val>
            <c:numRef>
              <c:f>'Problem Statement 2'!$M$16</c:f>
              <c:numCache>
                <c:formatCode>0%</c:formatCode>
                <c:ptCount val="1"/>
                <c:pt idx="0">
                  <c:v>3.6946902654867234E-2</c:v>
                </c:pt>
              </c:numCache>
            </c:numRef>
          </c:val>
          <c:extLst>
            <c:ext xmlns:c16="http://schemas.microsoft.com/office/drawing/2014/chart" uri="{C3380CC4-5D6E-409C-BE32-E72D297353CC}">
              <c16:uniqueId val="{00000002-CF79-47B6-BB12-BD14F87ACF2D}"/>
            </c:ext>
          </c:extLst>
        </c:ser>
        <c:ser>
          <c:idx val="3"/>
          <c:order val="3"/>
          <c:tx>
            <c:strRef>
              <c:f>'Problem Statement 2'!$J$17</c:f>
              <c:strCache>
                <c:ptCount val="1"/>
                <c:pt idx="0">
                  <c:v>2020</c:v>
                </c:pt>
              </c:strCache>
            </c:strRef>
          </c:tx>
          <c:spPr>
            <a:solidFill>
              <a:schemeClr val="accent4"/>
            </a:solidFill>
            <a:ln>
              <a:noFill/>
            </a:ln>
            <a:effectLst/>
          </c:spPr>
          <c:invertIfNegative val="0"/>
          <c:cat>
            <c:strRef>
              <c:f>'Problem Statement 2'!$M$13</c:f>
              <c:strCache>
                <c:ptCount val="1"/>
                <c:pt idx="0">
                  <c:v>Inflation Rate (%)</c:v>
                </c:pt>
              </c:strCache>
            </c:strRef>
          </c:cat>
          <c:val>
            <c:numRef>
              <c:f>'Problem Statement 2'!$M$17</c:f>
              <c:numCache>
                <c:formatCode>0%</c:formatCode>
                <c:ptCount val="1"/>
                <c:pt idx="0">
                  <c:v>1.9791444988295527E-2</c:v>
                </c:pt>
              </c:numCache>
            </c:numRef>
          </c:val>
          <c:extLst>
            <c:ext xmlns:c16="http://schemas.microsoft.com/office/drawing/2014/chart" uri="{C3380CC4-5D6E-409C-BE32-E72D297353CC}">
              <c16:uniqueId val="{00000003-CF79-47B6-BB12-BD14F87ACF2D}"/>
            </c:ext>
          </c:extLst>
        </c:ser>
        <c:ser>
          <c:idx val="4"/>
          <c:order val="4"/>
          <c:tx>
            <c:strRef>
              <c:f>'Problem Statement 2'!$J$18</c:f>
              <c:strCache>
                <c:ptCount val="1"/>
                <c:pt idx="0">
                  <c:v>2021</c:v>
                </c:pt>
              </c:strCache>
            </c:strRef>
          </c:tx>
          <c:spPr>
            <a:solidFill>
              <a:schemeClr val="accent5"/>
            </a:solidFill>
            <a:ln>
              <a:noFill/>
            </a:ln>
            <a:effectLst/>
          </c:spPr>
          <c:invertIfNegative val="0"/>
          <c:cat>
            <c:strRef>
              <c:f>'Problem Statement 2'!$M$13</c:f>
              <c:strCache>
                <c:ptCount val="1"/>
                <c:pt idx="0">
                  <c:v>Inflation Rate (%)</c:v>
                </c:pt>
              </c:strCache>
            </c:strRef>
          </c:cat>
          <c:val>
            <c:numRef>
              <c:f>'Problem Statement 2'!$M$18</c:f>
              <c:numCache>
                <c:formatCode>0%</c:formatCode>
                <c:ptCount val="1"/>
                <c:pt idx="0">
                  <c:v>3.3208020050125207E-2</c:v>
                </c:pt>
              </c:numCache>
            </c:numRef>
          </c:val>
          <c:extLst>
            <c:ext xmlns:c16="http://schemas.microsoft.com/office/drawing/2014/chart" uri="{C3380CC4-5D6E-409C-BE32-E72D297353CC}">
              <c16:uniqueId val="{00000004-CF79-47B6-BB12-BD14F87ACF2D}"/>
            </c:ext>
          </c:extLst>
        </c:ser>
        <c:ser>
          <c:idx val="5"/>
          <c:order val="5"/>
          <c:tx>
            <c:strRef>
              <c:f>'Problem Statement 2'!$J$19</c:f>
              <c:strCache>
                <c:ptCount val="1"/>
                <c:pt idx="0">
                  <c:v>2022</c:v>
                </c:pt>
              </c:strCache>
            </c:strRef>
          </c:tx>
          <c:spPr>
            <a:solidFill>
              <a:schemeClr val="accent6"/>
            </a:solidFill>
            <a:ln>
              <a:noFill/>
            </a:ln>
            <a:effectLst/>
          </c:spPr>
          <c:invertIfNegative val="0"/>
          <c:cat>
            <c:strRef>
              <c:f>'Problem Statement 2'!$M$13</c:f>
              <c:strCache>
                <c:ptCount val="1"/>
                <c:pt idx="0">
                  <c:v>Inflation Rate (%)</c:v>
                </c:pt>
              </c:strCache>
            </c:strRef>
          </c:cat>
          <c:val>
            <c:numRef>
              <c:f>'Problem Statement 2'!$M$19</c:f>
              <c:numCache>
                <c:formatCode>0%</c:formatCode>
                <c:ptCount val="1"/>
                <c:pt idx="0">
                  <c:v>5.5690072639225291E-2</c:v>
                </c:pt>
              </c:numCache>
            </c:numRef>
          </c:val>
          <c:extLst>
            <c:ext xmlns:c16="http://schemas.microsoft.com/office/drawing/2014/chart" uri="{C3380CC4-5D6E-409C-BE32-E72D297353CC}">
              <c16:uniqueId val="{00000005-CF79-47B6-BB12-BD14F87ACF2D}"/>
            </c:ext>
          </c:extLst>
        </c:ser>
        <c:ser>
          <c:idx val="6"/>
          <c:order val="6"/>
          <c:tx>
            <c:strRef>
              <c:f>'Problem Statement 2'!$J$20</c:f>
              <c:strCache>
                <c:ptCount val="1"/>
                <c:pt idx="0">
                  <c:v>2023</c:v>
                </c:pt>
              </c:strCache>
            </c:strRef>
          </c:tx>
          <c:spPr>
            <a:solidFill>
              <a:schemeClr val="accent1">
                <a:lumMod val="60000"/>
              </a:schemeClr>
            </a:solidFill>
            <a:ln>
              <a:noFill/>
            </a:ln>
            <a:effectLst/>
          </c:spPr>
          <c:invertIfNegative val="0"/>
          <c:cat>
            <c:strRef>
              <c:f>'Problem Statement 2'!$M$13</c:f>
              <c:strCache>
                <c:ptCount val="1"/>
                <c:pt idx="0">
                  <c:v>Inflation Rate (%)</c:v>
                </c:pt>
              </c:strCache>
            </c:strRef>
          </c:cat>
          <c:val>
            <c:numRef>
              <c:f>'Problem Statement 2'!$M$20</c:f>
              <c:numCache>
                <c:formatCode>0%</c:formatCode>
                <c:ptCount val="1"/>
                <c:pt idx="0">
                  <c:v>1.5842718075968609E-2</c:v>
                </c:pt>
              </c:numCache>
            </c:numRef>
          </c:val>
          <c:extLst>
            <c:ext xmlns:c16="http://schemas.microsoft.com/office/drawing/2014/chart" uri="{C3380CC4-5D6E-409C-BE32-E72D297353CC}">
              <c16:uniqueId val="{00000006-CF79-47B6-BB12-BD14F87ACF2D}"/>
            </c:ext>
          </c:extLst>
        </c:ser>
        <c:dLbls>
          <c:showLegendKey val="0"/>
          <c:showVal val="0"/>
          <c:showCatName val="0"/>
          <c:showSerName val="0"/>
          <c:showPercent val="0"/>
          <c:showBubbleSize val="0"/>
        </c:dLbls>
        <c:gapWidth val="150"/>
        <c:overlap val="100"/>
        <c:axId val="850753551"/>
        <c:axId val="850748271"/>
      </c:barChart>
      <c:catAx>
        <c:axId val="850753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48271"/>
        <c:crosses val="autoZero"/>
        <c:auto val="1"/>
        <c:lblAlgn val="ctr"/>
        <c:lblOffset val="100"/>
        <c:noMultiLvlLbl val="0"/>
      </c:catAx>
      <c:valAx>
        <c:axId val="8507482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53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Other  Category Inflation Rate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areaChart>
        <c:grouping val="stacked"/>
        <c:varyColors val="0"/>
        <c:ser>
          <c:idx val="0"/>
          <c:order val="0"/>
          <c:tx>
            <c:strRef>
              <c:f>'Problem Statement 2'!$S$13</c:f>
              <c:strCache>
                <c:ptCount val="1"/>
                <c:pt idx="0">
                  <c:v>Inflation Rate (%)</c:v>
                </c:pt>
              </c:strCache>
            </c:strRef>
          </c:tx>
          <c:spPr>
            <a:solidFill>
              <a:schemeClr val="accent1"/>
            </a:solidFill>
            <a:ln>
              <a:noFill/>
            </a:ln>
            <a:effectLst/>
          </c:spPr>
          <c:cat>
            <c:numRef>
              <c:f>'Problem Statement 2'!$P$14:$P$20</c:f>
              <c:numCache>
                <c:formatCode>0</c:formatCode>
                <c:ptCount val="7"/>
                <c:pt idx="0">
                  <c:v>2017</c:v>
                </c:pt>
                <c:pt idx="1">
                  <c:v>2018</c:v>
                </c:pt>
                <c:pt idx="2">
                  <c:v>2019</c:v>
                </c:pt>
                <c:pt idx="3">
                  <c:v>2020</c:v>
                </c:pt>
                <c:pt idx="4">
                  <c:v>2021</c:v>
                </c:pt>
                <c:pt idx="5">
                  <c:v>2022</c:v>
                </c:pt>
                <c:pt idx="6">
                  <c:v>2023</c:v>
                </c:pt>
              </c:numCache>
            </c:numRef>
          </c:cat>
          <c:val>
            <c:numRef>
              <c:f>'Problem Statement 2'!$S$14:$S$20</c:f>
              <c:numCache>
                <c:formatCode>0%</c:formatCode>
                <c:ptCount val="7"/>
                <c:pt idx="0">
                  <c:v>4.8048818009332882E-2</c:v>
                </c:pt>
                <c:pt idx="1">
                  <c:v>4.8852395107450854E-2</c:v>
                </c:pt>
                <c:pt idx="2">
                  <c:v>3.1281908474890652E-2</c:v>
                </c:pt>
                <c:pt idx="3">
                  <c:v>4.9277634673535617E-2</c:v>
                </c:pt>
                <c:pt idx="4">
                  <c:v>6.1976086123994509E-2</c:v>
                </c:pt>
                <c:pt idx="5">
                  <c:v>6.3599593536432478E-2</c:v>
                </c:pt>
                <c:pt idx="6">
                  <c:v>1.6888557862396559E-2</c:v>
                </c:pt>
              </c:numCache>
            </c:numRef>
          </c:val>
          <c:extLst>
            <c:ext xmlns:c16="http://schemas.microsoft.com/office/drawing/2014/chart" uri="{C3380CC4-5D6E-409C-BE32-E72D297353CC}">
              <c16:uniqueId val="{00000000-9D70-45A2-B102-63B16E5C66D8}"/>
            </c:ext>
          </c:extLst>
        </c:ser>
        <c:dLbls>
          <c:showLegendKey val="0"/>
          <c:showVal val="0"/>
          <c:showCatName val="0"/>
          <c:showSerName val="0"/>
          <c:showPercent val="0"/>
          <c:showBubbleSize val="0"/>
        </c:dLbls>
        <c:axId val="850731471"/>
        <c:axId val="850724271"/>
      </c:areaChart>
      <c:catAx>
        <c:axId val="850731471"/>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24271"/>
        <c:crosses val="autoZero"/>
        <c:auto val="1"/>
        <c:lblAlgn val="ctr"/>
        <c:lblOffset val="100"/>
        <c:noMultiLvlLbl val="0"/>
      </c:catAx>
      <c:valAx>
        <c:axId val="8507242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31471"/>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'Problem Statement 3'!$D$2</c:f>
              <c:strCache>
                <c:ptCount val="1"/>
                <c:pt idx="0">
                  <c:v>MOM Inflation %</c:v>
                </c:pt>
              </c:strCache>
            </c:strRef>
          </c:tx>
          <c:spPr>
            <a:solidFill>
              <a:schemeClr val="accent1"/>
            </a:solidFill>
            <a:ln>
              <a:noFill/>
            </a:ln>
            <a:effectLst/>
          </c:spPr>
          <c:invertIfNegative val="0"/>
          <c:cat>
            <c:strRef>
              <c:f>'Problem Statement 3'!$B$3:$B$14</c:f>
              <c:strCache>
                <c:ptCount val="12"/>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strCache>
            </c:strRef>
          </c:cat>
          <c:val>
            <c:numRef>
              <c:f>'Problem Statement 3'!$D$3:$D$14</c:f>
              <c:numCache>
                <c:formatCode>0.00%</c:formatCode>
                <c:ptCount val="12"/>
                <c:pt idx="0">
                  <c:v>0</c:v>
                </c:pt>
                <c:pt idx="1">
                  <c:v>1.9452672531942573E-3</c:v>
                </c:pt>
                <c:pt idx="2">
                  <c:v>1.279618761858576E-3</c:v>
                </c:pt>
                <c:pt idx="3">
                  <c:v>5.1560021152828386E-3</c:v>
                </c:pt>
                <c:pt idx="4">
                  <c:v>7.1901442413082953E-3</c:v>
                </c:pt>
                <c:pt idx="5">
                  <c:v>-2.1764680276846731E-4</c:v>
                </c:pt>
                <c:pt idx="6">
                  <c:v>-5.8342041100662182E-3</c:v>
                </c:pt>
                <c:pt idx="7">
                  <c:v>4.0728737847068961E-3</c:v>
                </c:pt>
                <c:pt idx="8">
                  <c:v>-5.9318707201116193E-3</c:v>
                </c:pt>
                <c:pt idx="9">
                  <c:v>4.3876968978943027E-5</c:v>
                </c:pt>
                <c:pt idx="10">
                  <c:v>4.5630045630048032E-3</c:v>
                </c:pt>
                <c:pt idx="11">
                  <c:v>7.5559049615652185E-3</c:v>
                </c:pt>
              </c:numCache>
            </c:numRef>
          </c:val>
          <c:extLst>
            <c:ext xmlns:c16="http://schemas.microsoft.com/office/drawing/2014/chart" uri="{C3380CC4-5D6E-409C-BE32-E72D297353CC}">
              <c16:uniqueId val="{00000000-5188-466F-BDD3-ED5D84B09022}"/>
            </c:ext>
          </c:extLst>
        </c:ser>
        <c:dLbls>
          <c:showLegendKey val="0"/>
          <c:showVal val="0"/>
          <c:showCatName val="0"/>
          <c:showSerName val="0"/>
          <c:showPercent val="0"/>
          <c:showBubbleSize val="0"/>
        </c:dLbls>
        <c:gapWidth val="219"/>
        <c:overlap val="-27"/>
        <c:axId val="244757120"/>
        <c:axId val="244760000"/>
      </c:barChart>
      <c:catAx>
        <c:axId val="24475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760000"/>
        <c:crosses val="autoZero"/>
        <c:auto val="1"/>
        <c:lblAlgn val="ctr"/>
        <c:lblOffset val="100"/>
        <c:noMultiLvlLbl val="0"/>
      </c:catAx>
      <c:valAx>
        <c:axId val="2447600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75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'Problem Statement 3'!$I$2</c:f>
              <c:strCache>
                <c:ptCount val="1"/>
                <c:pt idx="0">
                  <c:v>YOY Inflation %</c:v>
                </c:pt>
              </c:strCache>
            </c:strRef>
          </c:tx>
          <c:spPr>
            <a:solidFill>
              <a:schemeClr val="accent1"/>
            </a:solidFill>
            <a:ln>
              <a:noFill/>
            </a:ln>
            <a:effectLst/>
          </c:spPr>
          <c:invertIfNegative val="0"/>
          <c:cat>
            <c:strRef>
              <c:f>'Problem Statement 3'!$F$3:$F$15</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'Problem Statement 3'!$I$3:$I$15</c:f>
              <c:numCache>
                <c:formatCode>0.00</c:formatCode>
                <c:ptCount val="13"/>
                <c:pt idx="0">
                  <c:v>7.1269017676545976E-2</c:v>
                </c:pt>
                <c:pt idx="1">
                  <c:v>-5.2930824421283081E-3</c:v>
                </c:pt>
                <c:pt idx="2">
                  <c:v>1.2530552387159891E-2</c:v>
                </c:pt>
                <c:pt idx="3">
                  <c:v>4.628475147430499E-2</c:v>
                </c:pt>
                <c:pt idx="4">
                  <c:v>-7.0701349034806599E-2</c:v>
                </c:pt>
                <c:pt idx="5">
                  <c:v>1.6412017167382029E-2</c:v>
                </c:pt>
                <c:pt idx="6">
                  <c:v>-0.15516490354698176</c:v>
                </c:pt>
                <c:pt idx="7">
                  <c:v>2.6190476190476226E-2</c:v>
                </c:pt>
                <c:pt idx="8">
                  <c:v>-1.2497052581936742E-3</c:v>
                </c:pt>
                <c:pt idx="9">
                  <c:v>7.7243985754778338E-2</c:v>
                </c:pt>
                <c:pt idx="10">
                  <c:v>1.8063754427390635E-2</c:v>
                </c:pt>
                <c:pt idx="11">
                  <c:v>3.0482874361126035E-2</c:v>
                </c:pt>
                <c:pt idx="12">
                  <c:v>4.0232670867668355E-3</c:v>
                </c:pt>
              </c:numCache>
            </c:numRef>
          </c:val>
          <c:extLst>
            <c:ext xmlns:c16="http://schemas.microsoft.com/office/drawing/2014/chart" uri="{C3380CC4-5D6E-409C-BE32-E72D297353CC}">
              <c16:uniqueId val="{00000000-470A-47D9-B75B-76DE95AF6EBA}"/>
            </c:ext>
          </c:extLst>
        </c:ser>
        <c:dLbls>
          <c:showLegendKey val="0"/>
          <c:showVal val="0"/>
          <c:showCatName val="0"/>
          <c:showSerName val="0"/>
          <c:showPercent val="0"/>
          <c:showBubbleSize val="0"/>
        </c:dLbls>
        <c:gapWidth val="219"/>
        <c:overlap val="-27"/>
        <c:axId val="231062576"/>
        <c:axId val="231078416"/>
      </c:barChart>
      <c:catAx>
        <c:axId val="23106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078416"/>
        <c:crosses val="autoZero"/>
        <c:auto val="1"/>
        <c:lblAlgn val="ctr"/>
        <c:lblOffset val="100"/>
        <c:noMultiLvlLbl val="0"/>
      </c:catAx>
      <c:valAx>
        <c:axId val="231078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06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Precovid</a:t>
            </a:r>
            <a:r>
              <a:rPr lang="en-IN" b="1" baseline="0"/>
              <a:t> and Post covid Comparision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7437943262411349E-2"/>
          <c:y val="0.10690666666666666"/>
          <c:w val="0.93238398391690402"/>
          <c:h val="0.77823097112860895"/>
        </c:manualLayout>
      </c:layout>
      <c:barChart>
        <c:barDir val="bar"/>
        <c:grouping val="clustered"/>
        <c:varyColors val="0"/>
        <c:ser>
          <c:idx val="0"/>
          <c:order val="0"/>
          <c:tx>
            <c:strRef>
              <c:f>'Problem Statement 4'!$B$1</c:f>
              <c:strCache>
                <c:ptCount val="1"/>
                <c:pt idx="0">
                  <c:v>PreCovid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Statement 4'!$A$2:$A$6</c:f>
              <c:strCache>
                <c:ptCount val="5"/>
                <c:pt idx="0">
                  <c:v>Food</c:v>
                </c:pt>
                <c:pt idx="1">
                  <c:v>Energy</c:v>
                </c:pt>
                <c:pt idx="2">
                  <c:v>Transportation </c:v>
                </c:pt>
                <c:pt idx="3">
                  <c:v>Education</c:v>
                </c:pt>
                <c:pt idx="4">
                  <c:v>Others</c:v>
                </c:pt>
              </c:strCache>
            </c:strRef>
          </c:cat>
          <c:val>
            <c:numRef>
              <c:f>'Problem Statement 4'!$B$2:$B$6</c:f>
              <c:numCache>
                <c:formatCode>0.0%</c:formatCode>
                <c:ptCount val="5"/>
                <c:pt idx="0">
                  <c:v>0.21647102934479903</c:v>
                </c:pt>
                <c:pt idx="1">
                  <c:v>0.42429220773734189</c:v>
                </c:pt>
                <c:pt idx="2">
                  <c:v>0.3073757551248823</c:v>
                </c:pt>
                <c:pt idx="3">
                  <c:v>0.4178620727028306</c:v>
                </c:pt>
                <c:pt idx="4">
                  <c:v>0.36632668300182403</c:v>
                </c:pt>
              </c:numCache>
            </c:numRef>
          </c:val>
          <c:extLst>
            <c:ext xmlns:c16="http://schemas.microsoft.com/office/drawing/2014/chart" uri="{C3380CC4-5D6E-409C-BE32-E72D297353CC}">
              <c16:uniqueId val="{00000000-F5A9-44C1-A0AE-4B1974CBB5BC}"/>
            </c:ext>
          </c:extLst>
        </c:ser>
        <c:ser>
          <c:idx val="2"/>
          <c:order val="1"/>
          <c:tx>
            <c:strRef>
              <c:f>'Problem Statement 4'!$D$1</c:f>
              <c:strCache>
                <c:ptCount val="1"/>
                <c:pt idx="0">
                  <c:v>% Change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Statement 4'!$A$2:$A$6</c:f>
              <c:strCache>
                <c:ptCount val="5"/>
                <c:pt idx="0">
                  <c:v>Food</c:v>
                </c:pt>
                <c:pt idx="1">
                  <c:v>Energy</c:v>
                </c:pt>
                <c:pt idx="2">
                  <c:v>Transportation </c:v>
                </c:pt>
                <c:pt idx="3">
                  <c:v>Education</c:v>
                </c:pt>
                <c:pt idx="4">
                  <c:v>Others</c:v>
                </c:pt>
              </c:strCache>
            </c:strRef>
          </c:cat>
          <c:val>
            <c:numRef>
              <c:f>'Problem Statement 4'!$D$2:$D$6</c:f>
              <c:numCache>
                <c:formatCode>0.0%</c:formatCode>
                <c:ptCount val="5"/>
                <c:pt idx="0">
                  <c:v>0.27150235773116826</c:v>
                </c:pt>
                <c:pt idx="1">
                  <c:v>0.13890988665593429</c:v>
                </c:pt>
                <c:pt idx="2">
                  <c:v>0.30124610763080034</c:v>
                </c:pt>
                <c:pt idx="3">
                  <c:v>-9.4637406011632286E-2</c:v>
                </c:pt>
                <c:pt idx="4">
                  <c:v>0.14390964281477459</c:v>
                </c:pt>
              </c:numCache>
            </c:numRef>
          </c:val>
          <c:extLst>
            <c:ext xmlns:c16="http://schemas.microsoft.com/office/drawing/2014/chart" uri="{C3380CC4-5D6E-409C-BE32-E72D297353CC}">
              <c16:uniqueId val="{00000002-F5A9-44C1-A0AE-4B1974CBB5BC}"/>
            </c:ext>
          </c:extLst>
        </c:ser>
        <c:ser>
          <c:idx val="1"/>
          <c:order val="2"/>
          <c:tx>
            <c:strRef>
              <c:f>'Problem Statement 4'!$C$1</c:f>
              <c:strCache>
                <c:ptCount val="1"/>
                <c:pt idx="0">
                  <c:v>Post Covid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Statement 4'!$A$2:$A$6</c:f>
              <c:strCache>
                <c:ptCount val="5"/>
                <c:pt idx="0">
                  <c:v>Food</c:v>
                </c:pt>
                <c:pt idx="1">
                  <c:v>Energy</c:v>
                </c:pt>
                <c:pt idx="2">
                  <c:v>Transportation </c:v>
                </c:pt>
                <c:pt idx="3">
                  <c:v>Education</c:v>
                </c:pt>
                <c:pt idx="4">
                  <c:v>Others</c:v>
                </c:pt>
              </c:strCache>
            </c:strRef>
          </c:cat>
          <c:val>
            <c:numRef>
              <c:f>'Problem Statement 4'!$C$2:$C$6</c:f>
              <c:numCache>
                <c:formatCode>0.0%</c:formatCode>
                <c:ptCount val="5"/>
                <c:pt idx="0">
                  <c:v>0.48797338707596732</c:v>
                </c:pt>
                <c:pt idx="1">
                  <c:v>0.56320209439327618</c:v>
                </c:pt>
                <c:pt idx="2">
                  <c:v>0.60862186275568264</c:v>
                </c:pt>
                <c:pt idx="3">
                  <c:v>0.32322466669119831</c:v>
                </c:pt>
                <c:pt idx="4">
                  <c:v>0.51023632581659861</c:v>
                </c:pt>
              </c:numCache>
            </c:numRef>
          </c:val>
          <c:extLst>
            <c:ext xmlns:c16="http://schemas.microsoft.com/office/drawing/2014/chart" uri="{C3380CC4-5D6E-409C-BE32-E72D297353CC}">
              <c16:uniqueId val="{00000001-F5A9-44C1-A0AE-4B1974CBB5BC}"/>
            </c:ext>
          </c:extLst>
        </c:ser>
        <c:dLbls>
          <c:dLblPos val="outEnd"/>
          <c:showLegendKey val="0"/>
          <c:showVal val="1"/>
          <c:showCatName val="0"/>
          <c:showSerName val="0"/>
          <c:showPercent val="0"/>
          <c:showBubbleSize val="0"/>
        </c:dLbls>
        <c:gapWidth val="190"/>
        <c:axId val="639483936"/>
        <c:axId val="639491136"/>
      </c:barChart>
      <c:catAx>
        <c:axId val="63948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491136"/>
        <c:crosses val="autoZero"/>
        <c:auto val="1"/>
        <c:lblAlgn val="ctr"/>
        <c:lblOffset val="100"/>
        <c:noMultiLvlLbl val="0"/>
      </c:catAx>
      <c:valAx>
        <c:axId val="63949113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483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'Problem Satatement 5'!$C$43</c:f>
              <c:strCache>
                <c:ptCount val="1"/>
                <c:pt idx="0">
                  <c:v>Oil</c:v>
                </c:pt>
              </c:strCache>
            </c:strRef>
          </c:tx>
          <c:spPr>
            <a:solidFill>
              <a:schemeClr val="accent1"/>
            </a:solidFill>
            <a:ln>
              <a:noFill/>
            </a:ln>
            <a:effectLst/>
          </c:spPr>
          <c:invertIfNegative val="0"/>
          <c:cat>
            <c:strRef>
              <c:f>'Problem Satatement 5'!$D$42:$I$42</c:f>
              <c:strCache>
                <c:ptCount val="6"/>
                <c:pt idx="0">
                  <c:v>General index</c:v>
                </c:pt>
                <c:pt idx="1">
                  <c:v>Food</c:v>
                </c:pt>
                <c:pt idx="2">
                  <c:v>Energy </c:v>
                </c:pt>
                <c:pt idx="3">
                  <c:v>Transportation </c:v>
                </c:pt>
                <c:pt idx="4">
                  <c:v>Education</c:v>
                </c:pt>
                <c:pt idx="5">
                  <c:v>Others</c:v>
                </c:pt>
              </c:strCache>
            </c:strRef>
          </c:cat>
          <c:val>
            <c:numRef>
              <c:f>'Problem Satatement 5'!$D$43:$I$43</c:f>
              <c:numCache>
                <c:formatCode>0.00</c:formatCode>
                <c:ptCount val="6"/>
                <c:pt idx="0">
                  <c:v>0.11523811756697785</c:v>
                </c:pt>
                <c:pt idx="1">
                  <c:v>8.8910314498554827E-2</c:v>
                </c:pt>
                <c:pt idx="2">
                  <c:v>0.11290929944922146</c:v>
                </c:pt>
                <c:pt idx="3">
                  <c:v>8.3959005276023305E-2</c:v>
                </c:pt>
                <c:pt idx="4">
                  <c:v>-0.18279011165695622</c:v>
                </c:pt>
                <c:pt idx="5">
                  <c:v>7.4647891696534921E-2</c:v>
                </c:pt>
              </c:numCache>
            </c:numRef>
          </c:val>
          <c:extLst>
            <c:ext xmlns:c16="http://schemas.microsoft.com/office/drawing/2014/chart" uri="{C3380CC4-5D6E-409C-BE32-E72D297353CC}">
              <c16:uniqueId val="{00000000-A591-429E-8486-C2094C61CF0F}"/>
            </c:ext>
          </c:extLst>
        </c:ser>
        <c:dLbls>
          <c:showLegendKey val="0"/>
          <c:showVal val="0"/>
          <c:showCatName val="0"/>
          <c:showSerName val="0"/>
          <c:showPercent val="0"/>
          <c:showBubbleSize val="0"/>
        </c:dLbls>
        <c:gapWidth val="219"/>
        <c:overlap val="-27"/>
        <c:axId val="1220723951"/>
        <c:axId val="1220729711"/>
      </c:barChart>
      <c:catAx>
        <c:axId val="122072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729711"/>
        <c:crosses val="autoZero"/>
        <c:auto val="1"/>
        <c:lblAlgn val="ctr"/>
        <c:lblOffset val="100"/>
        <c:noMultiLvlLbl val="0"/>
      </c:catAx>
      <c:valAx>
        <c:axId val="12207297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72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'Problem Satatement 5'!$C$47</c:f>
              <c:strCache>
                <c:ptCount val="1"/>
                <c:pt idx="0">
                  <c:v>Oil</c:v>
                </c:pt>
              </c:strCache>
            </c:strRef>
          </c:tx>
          <c:spPr>
            <a:solidFill>
              <a:schemeClr val="accent1"/>
            </a:solidFill>
            <a:ln>
              <a:noFill/>
            </a:ln>
            <a:effectLst/>
          </c:spPr>
          <c:invertIfNegative val="0"/>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3323-4222-AB7F-F907FD778204}"/>
              </c:ext>
            </c:extLst>
          </c:dPt>
          <c:cat>
            <c:strRef>
              <c:f>'Problem Satatement 5'!$D$46:$I$46</c:f>
              <c:strCache>
                <c:ptCount val="6"/>
                <c:pt idx="0">
                  <c:v>General index</c:v>
                </c:pt>
                <c:pt idx="1">
                  <c:v>Food</c:v>
                </c:pt>
                <c:pt idx="2">
                  <c:v>Energy </c:v>
                </c:pt>
                <c:pt idx="3">
                  <c:v>Transportation </c:v>
                </c:pt>
                <c:pt idx="4">
                  <c:v>Education</c:v>
                </c:pt>
                <c:pt idx="5">
                  <c:v>Others</c:v>
                </c:pt>
              </c:strCache>
            </c:strRef>
          </c:cat>
          <c:val>
            <c:numRef>
              <c:f>'Problem Satatement 5'!$D$47:$I$47</c:f>
              <c:numCache>
                <c:formatCode>0.00</c:formatCode>
                <c:ptCount val="6"/>
                <c:pt idx="0">
                  <c:v>0.96888260143740834</c:v>
                </c:pt>
                <c:pt idx="1">
                  <c:v>0.96688658231392399</c:v>
                </c:pt>
                <c:pt idx="2">
                  <c:v>0.97652151516852181</c:v>
                </c:pt>
                <c:pt idx="3">
                  <c:v>0.96973289664381845</c:v>
                </c:pt>
                <c:pt idx="4">
                  <c:v>0.96422631708103146</c:v>
                </c:pt>
                <c:pt idx="5">
                  <c:v>0.96949341039081849</c:v>
                </c:pt>
              </c:numCache>
            </c:numRef>
          </c:val>
          <c:extLst>
            <c:ext xmlns:c16="http://schemas.microsoft.com/office/drawing/2014/chart" uri="{C3380CC4-5D6E-409C-BE32-E72D297353CC}">
              <c16:uniqueId val="{00000002-3323-4222-AB7F-F907FD778204}"/>
            </c:ext>
          </c:extLst>
        </c:ser>
        <c:dLbls>
          <c:showLegendKey val="0"/>
          <c:showVal val="0"/>
          <c:showCatName val="0"/>
          <c:showSerName val="0"/>
          <c:showPercent val="0"/>
          <c:showBubbleSize val="0"/>
        </c:dLbls>
        <c:gapWidth val="182"/>
        <c:axId val="1219198095"/>
        <c:axId val="1220721551"/>
      </c:barChart>
      <c:catAx>
        <c:axId val="1219198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721551"/>
        <c:crosses val="autoZero"/>
        <c:auto val="1"/>
        <c:lblAlgn val="ctr"/>
        <c:lblOffset val="100"/>
        <c:noMultiLvlLbl val="0"/>
      </c:catAx>
      <c:valAx>
        <c:axId val="122072155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1980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7.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6</xdr:col>
      <xdr:colOff>22860</xdr:colOff>
      <xdr:row>14</xdr:row>
      <xdr:rowOff>3810</xdr:rowOff>
    </xdr:from>
    <xdr:to>
      <xdr:col>13</xdr:col>
      <xdr:colOff>327660</xdr:colOff>
      <xdr:row>29</xdr:row>
      <xdr:rowOff>3810</xdr:rowOff>
    </xdr:to>
    <xdr:graphicFrame macro="">
      <xdr:nvGraphicFramePr>
        <xdr:cNvPr id="2" name="Chart 1">
          <a:extLst>
            <a:ext uri="{FF2B5EF4-FFF2-40B4-BE49-F238E27FC236}">
              <a16:creationId xmlns:a16="http://schemas.microsoft.com/office/drawing/2014/main" id="{233D648B-CCCA-3241-322D-8AE20C4A2B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38100</xdr:colOff>
      <xdr:row>29</xdr:row>
      <xdr:rowOff>72390</xdr:rowOff>
    </xdr:from>
    <xdr:to>
      <xdr:col>13</xdr:col>
      <xdr:colOff>342900</xdr:colOff>
      <xdr:row>44</xdr:row>
      <xdr:rowOff>72390</xdr:rowOff>
    </xdr:to>
    <xdr:graphicFrame macro="">
      <xdr:nvGraphicFramePr>
        <xdr:cNvPr id="3" name="Chart 2">
          <a:extLst>
            <a:ext uri="{FF2B5EF4-FFF2-40B4-BE49-F238E27FC236}">
              <a16:creationId xmlns:a16="http://schemas.microsoft.com/office/drawing/2014/main" id="{D8661745-2C20-DAAB-987E-A93554AD7F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22860</xdr:colOff>
      <xdr:row>45</xdr:row>
      <xdr:rowOff>140970</xdr:rowOff>
    </xdr:from>
    <xdr:to>
      <xdr:col>13</xdr:col>
      <xdr:colOff>327660</xdr:colOff>
      <xdr:row>60</xdr:row>
      <xdr:rowOff>140970</xdr:rowOff>
    </xdr:to>
    <xdr:graphicFrame macro="">
      <xdr:nvGraphicFramePr>
        <xdr:cNvPr id="4" name="Chart 3">
          <a:extLst>
            <a:ext uri="{FF2B5EF4-FFF2-40B4-BE49-F238E27FC236}">
              <a16:creationId xmlns:a16="http://schemas.microsoft.com/office/drawing/2014/main" id="{E970EC16-8B05-00F5-F6A6-844843A34E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579120</xdr:colOff>
      <xdr:row>61</xdr:row>
      <xdr:rowOff>64770</xdr:rowOff>
    </xdr:from>
    <xdr:to>
      <xdr:col>13</xdr:col>
      <xdr:colOff>274320</xdr:colOff>
      <xdr:row>76</xdr:row>
      <xdr:rowOff>64770</xdr:rowOff>
    </xdr:to>
    <xdr:graphicFrame macro="">
      <xdr:nvGraphicFramePr>
        <xdr:cNvPr id="5" name="Chart 4">
          <a:extLst>
            <a:ext uri="{FF2B5EF4-FFF2-40B4-BE49-F238E27FC236}">
              <a16:creationId xmlns:a16="http://schemas.microsoft.com/office/drawing/2014/main" id="{8FC7917A-5D48-138C-ACEF-0F31CF61ED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7470</xdr:rowOff>
    </xdr:from>
    <xdr:to>
      <xdr:col>31</xdr:col>
      <xdr:colOff>538480</xdr:colOff>
      <xdr:row>12</xdr:row>
      <xdr:rowOff>0</xdr:rowOff>
    </xdr:to>
    <xdr:sp macro="" textlink="">
      <xdr:nvSpPr>
        <xdr:cNvPr id="2" name="Right Arrow 9">
          <a:extLst>
            <a:ext uri="{FF2B5EF4-FFF2-40B4-BE49-F238E27FC236}">
              <a16:creationId xmlns:a16="http://schemas.microsoft.com/office/drawing/2014/main" id="{FC651B59-6AC6-4F1E-BD81-86CBE7D1F38F}"/>
            </a:ext>
          </a:extLst>
        </xdr:cNvPr>
        <xdr:cNvSpPr/>
      </xdr:nvSpPr>
      <xdr:spPr>
        <a:xfrm flipV="1">
          <a:off x="1837765" y="1860176"/>
          <a:ext cx="27350421" cy="53041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447040</xdr:colOff>
      <xdr:row>7</xdr:row>
      <xdr:rowOff>182880</xdr:rowOff>
    </xdr:from>
    <xdr:to>
      <xdr:col>2</xdr:col>
      <xdr:colOff>223520</xdr:colOff>
      <xdr:row>50</xdr:row>
      <xdr:rowOff>10160</xdr:rowOff>
    </xdr:to>
    <xdr:sp macro="" textlink="">
      <xdr:nvSpPr>
        <xdr:cNvPr id="3" name="Down Arrow 10">
          <a:extLst>
            <a:ext uri="{FF2B5EF4-FFF2-40B4-BE49-F238E27FC236}">
              <a16:creationId xmlns:a16="http://schemas.microsoft.com/office/drawing/2014/main" id="{CBC33C40-FB55-4ED4-9973-7564A9B66F91}"/>
            </a:ext>
          </a:extLst>
        </xdr:cNvPr>
        <xdr:cNvSpPr/>
      </xdr:nvSpPr>
      <xdr:spPr>
        <a:xfrm>
          <a:off x="41061640" y="2072640"/>
          <a:ext cx="629920" cy="359156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448235</xdr:colOff>
      <xdr:row>14</xdr:row>
      <xdr:rowOff>141940</xdr:rowOff>
    </xdr:from>
    <xdr:to>
      <xdr:col>11</xdr:col>
      <xdr:colOff>44823</xdr:colOff>
      <xdr:row>30</xdr:row>
      <xdr:rowOff>59765</xdr:rowOff>
    </xdr:to>
    <xdr:graphicFrame macro="">
      <xdr:nvGraphicFramePr>
        <xdr:cNvPr id="5" name="Chart 4">
          <a:extLst>
            <a:ext uri="{FF2B5EF4-FFF2-40B4-BE49-F238E27FC236}">
              <a16:creationId xmlns:a16="http://schemas.microsoft.com/office/drawing/2014/main" id="{B6DD394B-0DFE-4D13-8C12-2AA3D9787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15</xdr:row>
      <xdr:rowOff>0</xdr:rowOff>
    </xdr:from>
    <xdr:to>
      <xdr:col>19</xdr:col>
      <xdr:colOff>283882</xdr:colOff>
      <xdr:row>30</xdr:row>
      <xdr:rowOff>53788</xdr:rowOff>
    </xdr:to>
    <xdr:graphicFrame macro="">
      <xdr:nvGraphicFramePr>
        <xdr:cNvPr id="6" name="Chart 5">
          <a:extLst>
            <a:ext uri="{FF2B5EF4-FFF2-40B4-BE49-F238E27FC236}">
              <a16:creationId xmlns:a16="http://schemas.microsoft.com/office/drawing/2014/main" id="{93C18A12-73DC-48E2-97F3-BEEFD318B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15</xdr:row>
      <xdr:rowOff>0</xdr:rowOff>
    </xdr:from>
    <xdr:to>
      <xdr:col>28</xdr:col>
      <xdr:colOff>283882</xdr:colOff>
      <xdr:row>30</xdr:row>
      <xdr:rowOff>53788</xdr:rowOff>
    </xdr:to>
    <xdr:graphicFrame macro="">
      <xdr:nvGraphicFramePr>
        <xdr:cNvPr id="7" name="Chart 6">
          <a:extLst>
            <a:ext uri="{FF2B5EF4-FFF2-40B4-BE49-F238E27FC236}">
              <a16:creationId xmlns:a16="http://schemas.microsoft.com/office/drawing/2014/main" id="{69189167-6D76-4F1F-AF61-427DA81E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440763</xdr:colOff>
      <xdr:row>34</xdr:row>
      <xdr:rowOff>37355</xdr:rowOff>
    </xdr:from>
    <xdr:to>
      <xdr:col>11</xdr:col>
      <xdr:colOff>52292</xdr:colOff>
      <xdr:row>49</xdr:row>
      <xdr:rowOff>150907</xdr:rowOff>
    </xdr:to>
    <xdr:graphicFrame macro="">
      <xdr:nvGraphicFramePr>
        <xdr:cNvPr id="8" name="Chart 7">
          <a:extLst>
            <a:ext uri="{FF2B5EF4-FFF2-40B4-BE49-F238E27FC236}">
              <a16:creationId xmlns:a16="http://schemas.microsoft.com/office/drawing/2014/main" id="{8C180045-9BB0-4E57-9D23-2DCD40AB9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468924</xdr:colOff>
      <xdr:row>34</xdr:row>
      <xdr:rowOff>29306</xdr:rowOff>
    </xdr:from>
    <xdr:to>
      <xdr:col>19</xdr:col>
      <xdr:colOff>595923</xdr:colOff>
      <xdr:row>49</xdr:row>
      <xdr:rowOff>29306</xdr:rowOff>
    </xdr:to>
    <xdr:graphicFrame macro="">
      <xdr:nvGraphicFramePr>
        <xdr:cNvPr id="4" name="Chart 3">
          <a:extLst>
            <a:ext uri="{FF2B5EF4-FFF2-40B4-BE49-F238E27FC236}">
              <a16:creationId xmlns:a16="http://schemas.microsoft.com/office/drawing/2014/main" id="{379B60E0-8755-48A7-BD88-BE42387C7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272366</xdr:colOff>
      <xdr:row>34</xdr:row>
      <xdr:rowOff>56855</xdr:rowOff>
    </xdr:from>
    <xdr:to>
      <xdr:col>32</xdr:col>
      <xdr:colOff>174673</xdr:colOff>
      <xdr:row>48</xdr:row>
      <xdr:rowOff>113517</xdr:rowOff>
    </xdr:to>
    <xdr:graphicFrame macro="">
      <xdr:nvGraphicFramePr>
        <xdr:cNvPr id="9" name="Chart 8">
          <a:extLst>
            <a:ext uri="{FF2B5EF4-FFF2-40B4-BE49-F238E27FC236}">
              <a16:creationId xmlns:a16="http://schemas.microsoft.com/office/drawing/2014/main" id="{9E4E6BA9-4CFA-469B-A82B-4BA693E30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156308</xdr:colOff>
      <xdr:row>34</xdr:row>
      <xdr:rowOff>48845</xdr:rowOff>
    </xdr:from>
    <xdr:to>
      <xdr:col>25</xdr:col>
      <xdr:colOff>224692</xdr:colOff>
      <xdr:row>48</xdr:row>
      <xdr:rowOff>105507</xdr:rowOff>
    </xdr:to>
    <xdr:graphicFrame macro="">
      <xdr:nvGraphicFramePr>
        <xdr:cNvPr id="10" name="Chart 9">
          <a:extLst>
            <a:ext uri="{FF2B5EF4-FFF2-40B4-BE49-F238E27FC236}">
              <a16:creationId xmlns:a16="http://schemas.microsoft.com/office/drawing/2014/main" id="{D07D00D6-B7C9-4EF5-934A-90718A850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91440</xdr:colOff>
      <xdr:row>0</xdr:row>
      <xdr:rowOff>0</xdr:rowOff>
    </xdr:from>
    <xdr:to>
      <xdr:col>13</xdr:col>
      <xdr:colOff>457200</xdr:colOff>
      <xdr:row>13</xdr:row>
      <xdr:rowOff>137160</xdr:rowOff>
    </xdr:to>
    <xdr:graphicFrame macro="">
      <xdr:nvGraphicFramePr>
        <xdr:cNvPr id="4" name="Chart 3">
          <a:extLst>
            <a:ext uri="{FF2B5EF4-FFF2-40B4-BE49-F238E27FC236}">
              <a16:creationId xmlns:a16="http://schemas.microsoft.com/office/drawing/2014/main" id="{A61CF4BE-1219-30E4-4C8C-0369CDD3A0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510540</xdr:colOff>
      <xdr:row>0</xdr:row>
      <xdr:rowOff>0</xdr:rowOff>
    </xdr:from>
    <xdr:to>
      <xdr:col>19</xdr:col>
      <xdr:colOff>289560</xdr:colOff>
      <xdr:row>13</xdr:row>
      <xdr:rowOff>137160</xdr:rowOff>
    </xdr:to>
    <xdr:graphicFrame macro="">
      <xdr:nvGraphicFramePr>
        <xdr:cNvPr id="5" name="Chart 4">
          <a:extLst>
            <a:ext uri="{FF2B5EF4-FFF2-40B4-BE49-F238E27FC236}">
              <a16:creationId xmlns:a16="http://schemas.microsoft.com/office/drawing/2014/main" id="{8BFEFE22-C5B2-4F24-A789-D8002ACCB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18</xdr:col>
      <xdr:colOff>220980</xdr:colOff>
      <xdr:row>21</xdr:row>
      <xdr:rowOff>118110</xdr:rowOff>
    </xdr:from>
    <xdr:to>
      <xdr:col>25</xdr:col>
      <xdr:colOff>525780</xdr:colOff>
      <xdr:row>36</xdr:row>
      <xdr:rowOff>118110</xdr:rowOff>
    </xdr:to>
    <xdr:graphicFrame macro="">
      <xdr:nvGraphicFramePr>
        <xdr:cNvPr id="2" name="Chart 1">
          <a:extLst>
            <a:ext uri="{FF2B5EF4-FFF2-40B4-BE49-F238E27FC236}">
              <a16:creationId xmlns:a16="http://schemas.microsoft.com/office/drawing/2014/main" id="{E55AD5B6-7A8A-6690-6E99-836A53CE7C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487680</xdr:colOff>
      <xdr:row>21</xdr:row>
      <xdr:rowOff>80010</xdr:rowOff>
    </xdr:from>
    <xdr:to>
      <xdr:col>9</xdr:col>
      <xdr:colOff>182880</xdr:colOff>
      <xdr:row>36</xdr:row>
      <xdr:rowOff>80010</xdr:rowOff>
    </xdr:to>
    <xdr:graphicFrame macro="">
      <xdr:nvGraphicFramePr>
        <xdr:cNvPr id="5" name="Chart 4">
          <a:extLst>
            <a:ext uri="{FF2B5EF4-FFF2-40B4-BE49-F238E27FC236}">
              <a16:creationId xmlns:a16="http://schemas.microsoft.com/office/drawing/2014/main" id="{73E7C533-5EB0-F2B5-0CBD-52F324D7F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297180</xdr:colOff>
      <xdr:row>21</xdr:row>
      <xdr:rowOff>140970</xdr:rowOff>
    </xdr:from>
    <xdr:to>
      <xdr:col>16</xdr:col>
      <xdr:colOff>601980</xdr:colOff>
      <xdr:row>36</xdr:row>
      <xdr:rowOff>140970</xdr:rowOff>
    </xdr:to>
    <xdr:graphicFrame macro="">
      <xdr:nvGraphicFramePr>
        <xdr:cNvPr id="6" name="Chart 5">
          <a:extLst>
            <a:ext uri="{FF2B5EF4-FFF2-40B4-BE49-F238E27FC236}">
              <a16:creationId xmlns:a16="http://schemas.microsoft.com/office/drawing/2014/main" id="{B24CA96F-468B-7EF1-FEFD-3428FD666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37</xdr:row>
      <xdr:rowOff>0</xdr:rowOff>
    </xdr:from>
    <xdr:to>
      <xdr:col>9</xdr:col>
      <xdr:colOff>304800</xdr:colOff>
      <xdr:row>52</xdr:row>
      <xdr:rowOff>0</xdr:rowOff>
    </xdr:to>
    <xdr:graphicFrame macro="">
      <xdr:nvGraphicFramePr>
        <xdr:cNvPr id="8" name="Chart 7">
          <a:extLst>
            <a:ext uri="{FF2B5EF4-FFF2-40B4-BE49-F238E27FC236}">
              <a16:creationId xmlns:a16="http://schemas.microsoft.com/office/drawing/2014/main" id="{DCA5EF8D-7C58-4C18-9830-7DC7873A4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76200</xdr:colOff>
      <xdr:row>36</xdr:row>
      <xdr:rowOff>171450</xdr:rowOff>
    </xdr:from>
    <xdr:to>
      <xdr:col>17</xdr:col>
      <xdr:colOff>381000</xdr:colOff>
      <xdr:row>51</xdr:row>
      <xdr:rowOff>171450</xdr:rowOff>
    </xdr:to>
    <xdr:graphicFrame macro="">
      <xdr:nvGraphicFramePr>
        <xdr:cNvPr id="9" name="Chart 8">
          <a:extLst>
            <a:ext uri="{FF2B5EF4-FFF2-40B4-BE49-F238E27FC236}">
              <a16:creationId xmlns:a16="http://schemas.microsoft.com/office/drawing/2014/main" id="{25654F6C-15BE-A21F-BAF7-9112342192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45720</xdr:colOff>
      <xdr:row>37</xdr:row>
      <xdr:rowOff>19050</xdr:rowOff>
    </xdr:from>
    <xdr:to>
      <xdr:col>25</xdr:col>
      <xdr:colOff>350520</xdr:colOff>
      <xdr:row>52</xdr:row>
      <xdr:rowOff>19050</xdr:rowOff>
    </xdr:to>
    <xdr:graphicFrame macro="">
      <xdr:nvGraphicFramePr>
        <xdr:cNvPr id="10" name="Chart 9">
          <a:extLst>
            <a:ext uri="{FF2B5EF4-FFF2-40B4-BE49-F238E27FC236}">
              <a16:creationId xmlns:a16="http://schemas.microsoft.com/office/drawing/2014/main" id="{5D717418-BCE3-276C-C415-5485AAF66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518160</xdr:colOff>
      <xdr:row>14</xdr:row>
      <xdr:rowOff>83820</xdr:rowOff>
    </xdr:from>
    <xdr:to>
      <xdr:col>21</xdr:col>
      <xdr:colOff>137160</xdr:colOff>
      <xdr:row>25</xdr:row>
      <xdr:rowOff>106680</xdr:rowOff>
    </xdr:to>
    <xdr:cxnSp macro="">
      <xdr:nvCxnSpPr>
        <xdr:cNvPr id="4" name="Straight Arrow Connector 3">
          <a:extLst>
            <a:ext uri="{FF2B5EF4-FFF2-40B4-BE49-F238E27FC236}">
              <a16:creationId xmlns:a16="http://schemas.microsoft.com/office/drawing/2014/main" id="{AA12AAC9-0150-B4CC-C07E-234093C0532D}"/>
            </a:ext>
          </a:extLst>
        </xdr:cNvPr>
        <xdr:cNvCxnSpPr/>
      </xdr:nvCxnSpPr>
      <xdr:spPr>
        <a:xfrm>
          <a:off x="12710160" y="2766060"/>
          <a:ext cx="228600" cy="20345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662940</xdr:colOff>
      <xdr:row>16</xdr:row>
      <xdr:rowOff>110490</xdr:rowOff>
    </xdr:from>
    <xdr:to>
      <xdr:col>16</xdr:col>
      <xdr:colOff>30480</xdr:colOff>
      <xdr:row>31</xdr:row>
      <xdr:rowOff>110490</xdr:rowOff>
    </xdr:to>
    <xdr:graphicFrame macro="">
      <xdr:nvGraphicFramePr>
        <xdr:cNvPr id="2" name="Chart 1">
          <a:extLst>
            <a:ext uri="{FF2B5EF4-FFF2-40B4-BE49-F238E27FC236}">
              <a16:creationId xmlns:a16="http://schemas.microsoft.com/office/drawing/2014/main" id="{3FD489BC-6127-DF87-377B-0411F58162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601980</xdr:colOff>
      <xdr:row>16</xdr:row>
      <xdr:rowOff>118110</xdr:rowOff>
    </xdr:from>
    <xdr:to>
      <xdr:col>8</xdr:col>
      <xdr:colOff>274320</xdr:colOff>
      <xdr:row>31</xdr:row>
      <xdr:rowOff>118110</xdr:rowOff>
    </xdr:to>
    <xdr:graphicFrame macro="">
      <xdr:nvGraphicFramePr>
        <xdr:cNvPr id="3" name="Chart 2">
          <a:extLst>
            <a:ext uri="{FF2B5EF4-FFF2-40B4-BE49-F238E27FC236}">
              <a16:creationId xmlns:a16="http://schemas.microsoft.com/office/drawing/2014/main" id="{3BF9734F-3F50-54BB-CE82-8571D77143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114300</xdr:colOff>
      <xdr:row>7</xdr:row>
      <xdr:rowOff>83820</xdr:rowOff>
    </xdr:from>
    <xdr:to>
      <xdr:col>8</xdr:col>
      <xdr:colOff>53340</xdr:colOff>
      <xdr:row>33</xdr:row>
      <xdr:rowOff>91440</xdr:rowOff>
    </xdr:to>
    <xdr:graphicFrame macro="">
      <xdr:nvGraphicFramePr>
        <xdr:cNvPr id="8" name="Chart 7">
          <a:extLst>
            <a:ext uri="{FF2B5EF4-FFF2-40B4-BE49-F238E27FC236}">
              <a16:creationId xmlns:a16="http://schemas.microsoft.com/office/drawing/2014/main" id="{E9104CD9-8F8C-882A-1AE9-864DE46A7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294275</xdr:colOff>
      <xdr:row>52</xdr:row>
      <xdr:rowOff>8010</xdr:rowOff>
    </xdr:from>
    <xdr:to>
      <xdr:col>6</xdr:col>
      <xdr:colOff>537776</xdr:colOff>
      <xdr:row>66</xdr:row>
      <xdr:rowOff>51934</xdr:rowOff>
    </xdr:to>
    <xdr:graphicFrame macro="">
      <xdr:nvGraphicFramePr>
        <xdr:cNvPr id="2" name="Chart 1">
          <a:extLst>
            <a:ext uri="{FF2B5EF4-FFF2-40B4-BE49-F238E27FC236}">
              <a16:creationId xmlns:a16="http://schemas.microsoft.com/office/drawing/2014/main" id="{FD1BA67B-6D15-42A6-B027-A86110A25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52</xdr:row>
      <xdr:rowOff>0</xdr:rowOff>
    </xdr:from>
    <xdr:to>
      <xdr:col>3</xdr:col>
      <xdr:colOff>246601</xdr:colOff>
      <xdr:row>66</xdr:row>
      <xdr:rowOff>43924</xdr:rowOff>
    </xdr:to>
    <xdr:graphicFrame macro="">
      <xdr:nvGraphicFramePr>
        <xdr:cNvPr id="3" name="Chart 2">
          <a:extLst>
            <a:ext uri="{FF2B5EF4-FFF2-40B4-BE49-F238E27FC236}">
              <a16:creationId xmlns:a16="http://schemas.microsoft.com/office/drawing/2014/main" id="{00BA9076-C61F-41CB-88B5-B89A8DD77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oorva" refreshedDate="45965.653230324075" createdVersion="8" refreshedVersion="8" minRefreshableVersion="3" recordCount="372" xr:uid="{13E0C167-67B7-418E-A84C-9BD471B1BD2D}">
  <cacheSource type="worksheet">
    <worksheetSource ref="A1:AL373" sheet="Main Data"/>
  </cacheSource>
  <cacheFields count="37">
    <cacheField name="Sector" numFmtId="0">
      <sharedItems count="3">
        <s v="Rural"/>
        <s v="Urban"/>
        <s v="Rural+Urban"/>
      </sharedItems>
    </cacheField>
    <cacheField name="Date " numFmtId="14">
      <sharedItems containsDate="1" containsMixedTypes="1" minDate="2013-01-01T00:00:00" maxDate="2023-05-02T00:00:00"/>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Month Number" numFmtId="0">
      <sharedItems containsMixedTypes="1" containsNumber="1" containsInteger="1" minValue="1" maxValue="12"/>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SemiMixedTypes="0" containsString="0"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 name="Food" numFmtId="0">
      <sharedItems containsSemiMixedTypes="0" containsString="0" containsNumber="1" minValue="1371.6999999999998" maxValue="2335.1" count="360">
        <n v="1371.6999999999998"/>
        <n v="1376.4"/>
        <n v="1373.3000000000002"/>
        <n v="1380.3999999999999"/>
        <n v="1390.6000000000001"/>
        <n v="1384.2"/>
        <n v="1382.2"/>
        <n v="1386.8"/>
        <n v="1384.0000000000002"/>
        <n v="1385.8"/>
        <n v="1397.6999999999998"/>
        <n v="1390.2"/>
        <n v="1394"/>
        <n v="1417.1999999999998"/>
        <n v="1402.1999999999998"/>
        <n v="1420"/>
        <n v="1464.6000000000001"/>
        <n v="1436"/>
        <n v="1445.8999999999996"/>
        <n v="1489.4"/>
        <n v="1461.3999999999999"/>
        <n v="1462.5"/>
        <n v="1506.1000000000001"/>
        <n v="1477.4"/>
        <n v="1488.5000000000002"/>
        <n v="1500.4"/>
        <n v="1491.6999999999998"/>
        <n v="1508"/>
        <n v="1517.1999999999998"/>
        <n v="1510.2000000000003"/>
        <n v="1536.8"/>
        <n v="1544.6"/>
        <n v="1538.8"/>
        <n v="1509"/>
        <n v="1504.4"/>
        <n v="1507.3000000000002"/>
        <n v="1486.6000000000001"/>
        <n v="1484.3"/>
        <n v="1485.7999999999997"/>
        <n v="1482.2"/>
        <n v="1476"/>
        <n v="1480.1"/>
        <n v="1491.4"/>
        <n v="1483"/>
        <n v="1488.2999999999997"/>
        <n v="1504.1000000000001"/>
        <n v="1504.0000000000002"/>
        <n v="1504.1"/>
        <n v="1513.8999999999999"/>
        <n v="1525.3000000000002"/>
        <n v="1518.5000000000005"/>
        <n v="1525.6999999999998"/>
        <n v="1547"/>
        <n v="1533.7000000000003"/>
        <n v="1563.2"/>
        <n v="1599.5"/>
        <n v="1576.3"/>
        <n v="1582.2999999999997"/>
        <n v="1617"/>
        <n v="1594.4999999999998"/>
        <n v="1583.2"/>
        <n v="1593.7000000000003"/>
        <n v="1586.0999999999997"/>
        <n v="1581.1999999999998"/>
        <n v="1587.5"/>
        <n v="1582.7"/>
        <n v="1582"/>
        <n v="1587.8"/>
        <n v="1569.6"/>
        <n v="1577.1999999999998"/>
        <n v="1571.6999999999998"/>
        <n v="1568.1"/>
        <n v="1574.8999999999999"/>
        <n v="1569.3"/>
        <n v="1570.5999999999997"/>
        <n v="1571.1000000000001"/>
        <n v="1569.3999999999996"/>
        <n v="1571.5"/>
        <n v="1568.0000000000002"/>
        <n v="1569.1"/>
        <n v="1577.2"/>
        <n v="1576.1"/>
        <n v="1575.7"/>
        <n v="1587.7"/>
        <n v="1598.9"/>
        <n v="1590.4"/>
        <n v="1617.8999999999999"/>
        <n v="1636.6"/>
        <n v="1623.5"/>
        <n v="1625.3"/>
        <n v="1642.8999999999999"/>
        <n v="1630.6000000000001"/>
        <n v="1646.6"/>
        <n v="1658.8999999999999"/>
        <n v="1649.6"/>
        <n v="1657.6000000000001"/>
        <n v="1664.8"/>
        <n v="1658.3000000000002"/>
        <n v="1674.6"/>
        <n v="1692.8000000000002"/>
        <n v="1678.9999999999998"/>
        <n v="1686.3"/>
        <n v="1708.4999999999998"/>
        <n v="1692.1"/>
        <n v="1682.3000000000002"/>
        <n v="1698.8"/>
        <n v="1686.1000000000001"/>
        <n v="1690.1000000000001"/>
        <n v="1701.4"/>
        <n v="1691.7"/>
        <n v="1682.6"/>
        <n v="1676.1"/>
        <n v="1678.1"/>
        <n v="1682.7000000000003"/>
        <n v="1667.6000000000001"/>
        <n v="1675.2"/>
        <n v="1701.6000000000004"/>
        <n v="1706.3"/>
        <n v="1701.3"/>
        <n v="1723.6999999999998"/>
        <n v="1746.7999999999997"/>
        <n v="1730.4"/>
        <n v="1748.6"/>
        <n v="1787.0000000000002"/>
        <n v="1760.6"/>
        <n v="1770.2999999999997"/>
        <n v="1811.5000000000002"/>
        <n v="1783.5"/>
        <n v="1777.4999999999998"/>
        <n v="1783.9999999999995"/>
        <n v="1777.9"/>
        <n v="1770.7"/>
        <n v="1756.3999999999996"/>
        <n v="1763.6999999999998"/>
        <n v="1771.8000000000002"/>
        <n v="1762.8999999999999"/>
        <n v="1766.7999999999995"/>
        <n v="1764.6"/>
        <n v="1755.2"/>
        <n v="1759.8"/>
        <n v="1749.1"/>
        <n v="1729.8"/>
        <n v="1740.7"/>
        <n v="1737.3000000000002"/>
        <n v="1713.2"/>
        <n v="1727.2999999999995"/>
        <n v="1734.5000000000002"/>
        <n v="1705.3000000000002"/>
        <n v="1722.3000000000002"/>
        <n v="1728.5000000000002"/>
        <n v="1705.6999999999998"/>
        <n v="1718.9"/>
        <n v="1726.3"/>
        <n v="1708.1"/>
        <n v="1718.4"/>
        <n v="1727.4999999999995"/>
        <n v="1709.6"/>
        <n v="1719.6000000000001"/>
        <n v="1738.8000000000002"/>
        <n v="1731.0000000000002"/>
        <n v="1734.7"/>
        <n v="1772.9"/>
        <n v="1768.1"/>
        <n v="1769.3999999999999"/>
        <n v="1792.4999999999998"/>
        <n v="1772.9999999999998"/>
        <n v="1783.8"/>
        <n v="1784.3"/>
        <n v="1749.7"/>
        <n v="1769.9999999999998"/>
        <n v="1790.8999999999999"/>
        <n v="1765.6999999999998"/>
        <n v="1779.6999999999998"/>
        <n v="1817.7000000000003"/>
        <n v="1796.7"/>
        <n v="1808.2"/>
        <n v="1813.6000000000001"/>
        <n v="1767.5"/>
        <n v="1794.9999999999998"/>
        <n v="1800.7"/>
        <n v="1748.3000000000002"/>
        <n v="1779.9"/>
        <n v="1781.5"/>
        <n v="1727.9"/>
        <n v="1760.3999999999996"/>
        <n v="1781.9999999999998"/>
        <n v="1715.5"/>
        <n v="1756"/>
        <n v="1780"/>
        <n v="1720.0000000000002"/>
        <n v="1757.1000000000001"/>
        <n v="1782.4"/>
        <n v="1722.8999999999999"/>
        <n v="1790.2999999999997"/>
        <n v="1747.3000000000002"/>
        <n v="1774.1000000000001"/>
        <n v="1810.5000000000002"/>
        <n v="1771.1"/>
        <n v="1795.3"/>
        <n v="1818.8"/>
        <n v="1767.6"/>
        <n v="1798.7000000000003"/>
        <n v="1799.8000000000002"/>
        <n v="1748.4"/>
        <n v="1779.5"/>
        <n v="1782.2"/>
        <n v="1754.1"/>
        <n v="1776.2"/>
        <n v="1787.4999999999995"/>
        <n v="1757.4999999999998"/>
        <n v="1775.7000000000003"/>
        <n v="1773.1000000000001"/>
        <n v="1746.6"/>
        <n v="1762.7999999999997"/>
        <n v="1759.6000000000001"/>
        <n v="1744.3000000000002"/>
        <n v="1753.3999999999999"/>
        <n v="1759.8000000000002"/>
        <n v="1754.4"/>
        <n v="1757.1"/>
        <n v="1761.2000000000003"/>
        <n v="1768.4"/>
        <n v="1762.9"/>
        <n v="1782.1000000000001"/>
        <n v="1791.9000000000003"/>
        <n v="1804.1999999999998"/>
        <n v="1833.2999999999997"/>
        <n v="1814.1000000000001"/>
        <n v="1826.8999999999999"/>
        <n v="1857.3999999999999"/>
        <n v="1837.5"/>
        <n v="1834.5000000000002"/>
        <n v="1869.1"/>
        <n v="1846.5"/>
        <n v="1848.7"/>
        <n v="1874.9"/>
        <n v="1857.6999999999998"/>
        <n v="1876.8999999999996"/>
        <n v="1902.6000000000001"/>
        <n v="1885.5999999999997"/>
        <n v="1904.6000000000001"/>
        <n v="1923.9999999999998"/>
        <n v="1910.9"/>
        <n v="1940.9999999999995"/>
        <n v="1956.7"/>
        <n v="1946.1000000000001"/>
        <n v="1938.6"/>
        <n v="1945.3999999999999"/>
        <n v="1940.3999999999999"/>
        <n v="1909.7999999999997"/>
        <n v="1916.6"/>
        <n v="1911.6"/>
        <n v="1894.5999999999997"/>
        <n v="1898.5"/>
        <n v="1895.4"/>
        <n v="1941.4"/>
        <n v="1963.3"/>
        <n v="1949.3"/>
        <n v="1951"/>
        <n v="1994.9999999999998"/>
        <n v="1966.8000000000002"/>
        <n v="1978.6"/>
        <n v="2024.8999999999999"/>
        <n v="1995.1999999999998"/>
        <n v="1987.3999999999999"/>
        <n v="2041.6000000000001"/>
        <n v="2007"/>
        <n v="2030.9"/>
        <n v="2080.1999999999998"/>
        <n v="2048.6000000000004"/>
        <n v="2082.4"/>
        <n v="2120.6999999999998"/>
        <n v="2095.6"/>
        <n v="2100.5"/>
        <n v="2125.4"/>
        <n v="2109.1"/>
        <n v="2065.6999999999998"/>
        <n v="2097"/>
        <n v="2076.5"/>
        <n v="2025.3"/>
        <n v="2066"/>
        <n v="2039.3000000000002"/>
        <n v="2025.7"/>
        <n v="2064.4999999999995"/>
        <n v="2039.3999999999999"/>
        <n v="2049.5"/>
        <n v="2089.6"/>
        <n v="2064.1"/>
        <n v="2095.2999999999997"/>
        <n v="2124.7000000000003"/>
        <n v="2105.7000000000003"/>
        <n v="2122.6"/>
        <n v="2154.1999999999998"/>
        <n v="2133.9"/>
        <n v="2132.4"/>
        <n v="2171.8000000000002"/>
        <n v="2147"/>
        <n v="2130.8000000000002"/>
        <n v="2157.9"/>
        <n v="2142"/>
        <n v="2133.6"/>
        <n v="2164.1999999999998"/>
        <n v="2198.4000000000005"/>
        <n v="2175.5"/>
        <n v="2182"/>
        <n v="2217.8999999999996"/>
        <n v="2194.1"/>
        <n v="2168.1999999999998"/>
        <n v="2206.3000000000002"/>
        <n v="2180.9"/>
        <n v="2153"/>
        <n v="2186.6999999999998"/>
        <n v="2150.4"/>
        <n v="2183.5"/>
        <n v="2161.2000000000003"/>
        <n v="2179.1000000000004"/>
        <n v="2196.3000000000002"/>
        <n v="2184.2000000000003"/>
        <n v="2206.6"/>
        <n v="2230.4"/>
        <n v="2214.3000000000002"/>
        <n v="2226.8000000000002"/>
        <n v="2262.2000000000003"/>
        <n v="2238.9000000000005"/>
        <n v="2248.3000000000002"/>
        <n v="2287.5"/>
        <n v="2261.9"/>
        <n v="2252.5"/>
        <n v="2291.6"/>
        <n v="2266.3000000000002"/>
        <n v="2255.7999999999997"/>
        <n v="2293.6999999999998"/>
        <n v="2269.2000000000003"/>
        <n v="2267.8000000000002"/>
        <n v="2306.4"/>
        <n v="2280.9"/>
        <n v="2284.5"/>
        <n v="2322.3000000000002"/>
        <n v="2297.3000000000002"/>
        <n v="2287.6999999999998"/>
        <n v="2314.4"/>
        <n v="2296.8000000000002"/>
        <n v="2277.1"/>
        <n v="2295.7999999999997"/>
        <n v="2283.4"/>
        <n v="2283.2000000000003"/>
        <n v="2310.2000000000003"/>
        <n v="2292.6999999999998"/>
        <n v="2265.6999999999998"/>
        <n v="2303.1999999999998"/>
        <n v="2279.1"/>
        <n v="2265.8000000000002"/>
        <n v="2303.4"/>
        <n v="2279.1999999999998"/>
        <n v="2274.1999999999998"/>
        <n v="2317.7000000000003"/>
        <n v="2289.6000000000004"/>
        <n v="2290.7000000000007"/>
        <n v="2335.1"/>
        <n v="2306.9"/>
      </sharedItems>
    </cacheField>
    <cacheField name="Energy " numFmtId="0">
      <sharedItems containsSemiMixedTypes="0" containsString="0" containsNumber="1" minValue="105.4" maxValue="183.4"/>
    </cacheField>
    <cacheField name="Transportation " numFmtId="0">
      <sharedItems containsSemiMixedTypes="0" containsString="0" containsNumber="1" minValue="103.2" maxValue="169.7"/>
    </cacheField>
    <cacheField name="Education2" numFmtId="0">
      <sharedItems containsSemiMixedTypes="0" containsString="0" containsNumber="1" minValue="103.5" maxValue="180.3"/>
    </cacheField>
    <cacheField name="Others" numFmtId="0">
      <sharedItems containsSemiMixedTypes="0" containsString="0" containsNumber="1" minValue="1042" maxValue="1851.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d v="2013-01-01T00:00:00"/>
    <x v="0"/>
    <s v="January"/>
    <n v="1"/>
    <n v="107.5"/>
    <n v="106.3"/>
    <n v="108.1"/>
    <n v="104.9"/>
    <n v="106.1"/>
    <n v="103.9"/>
    <n v="101.9"/>
    <n v="106.1"/>
    <n v="106.8"/>
    <n v="103.1"/>
    <n v="104.8"/>
    <n v="106.7"/>
    <n v="105.5"/>
    <n v="105.1"/>
    <n v="106.5"/>
    <n v="105.8"/>
    <n v="106.4"/>
    <n v="100.3"/>
    <n v="105.5"/>
    <n v="104.8"/>
    <n v="104"/>
    <n v="103.3"/>
    <n v="103.4"/>
    <n v="103.8"/>
    <n v="104.7"/>
    <n v="104"/>
    <n v="105.1"/>
    <x v="0"/>
    <n v="105.5"/>
    <n v="103.3"/>
    <n v="103.8"/>
    <n v="1045"/>
  </r>
  <r>
    <x v="1"/>
    <d v="2013-01-01T00:00:00"/>
    <x v="0"/>
    <s v="January"/>
    <n v="1"/>
    <n v="110.5"/>
    <n v="109.1"/>
    <n v="113"/>
    <n v="103.6"/>
    <n v="103.4"/>
    <n v="102.3"/>
    <n v="102.9"/>
    <n v="105.8"/>
    <n v="105.1"/>
    <n v="101.8"/>
    <n v="105.1"/>
    <n v="107.9"/>
    <n v="105.9"/>
    <n v="105.2"/>
    <n v="105.9"/>
    <n v="105"/>
    <n v="105.8"/>
    <n v="100.3"/>
    <n v="105.4"/>
    <n v="104.8"/>
    <n v="104.1"/>
    <n v="103.2"/>
    <n v="102.9"/>
    <n v="103.5"/>
    <n v="104.3"/>
    <n v="103.7"/>
    <n v="104"/>
    <x v="1"/>
    <n v="105.4"/>
    <n v="103.2"/>
    <n v="103.5"/>
    <n v="1042"/>
  </r>
  <r>
    <x v="2"/>
    <d v="2013-01-01T00:00:00"/>
    <x v="0"/>
    <s v="January"/>
    <n v="1"/>
    <n v="108.4"/>
    <n v="107.3"/>
    <n v="110"/>
    <n v="104.4"/>
    <n v="105.1"/>
    <n v="103.2"/>
    <n v="102.2"/>
    <n v="106"/>
    <n v="106.2"/>
    <n v="102.7"/>
    <n v="104.9"/>
    <n v="107.3"/>
    <n v="105.6"/>
    <n v="105.1"/>
    <n v="106.3"/>
    <n v="105.5"/>
    <n v="106.2"/>
    <n v="100.3"/>
    <n v="105.5"/>
    <n v="104.8"/>
    <n v="104"/>
    <n v="103.2"/>
    <n v="103.1"/>
    <n v="103.6"/>
    <n v="104.5"/>
    <n v="103.9"/>
    <n v="104.6"/>
    <x v="2"/>
    <n v="105.5"/>
    <n v="103.2"/>
    <n v="103.6"/>
    <n v="1043.7"/>
  </r>
  <r>
    <x v="0"/>
    <d v="2013-02-01T00:00:00"/>
    <x v="0"/>
    <s v="February"/>
    <n v="2"/>
    <n v="109.2"/>
    <n v="108.7"/>
    <n v="110.2"/>
    <n v="105.4"/>
    <n v="106.7"/>
    <n v="104"/>
    <n v="102.4"/>
    <n v="105.9"/>
    <n v="105.7"/>
    <n v="103.1"/>
    <n v="105.1"/>
    <n v="107.7"/>
    <n v="106.3"/>
    <n v="105.6"/>
    <n v="107.1"/>
    <n v="106.3"/>
    <n v="107"/>
    <n v="100.4"/>
    <n v="106.2"/>
    <n v="105.2"/>
    <n v="104.4"/>
    <n v="103.9"/>
    <n v="104"/>
    <n v="104.1"/>
    <n v="104.6"/>
    <n v="104.4"/>
    <n v="105.8"/>
    <x v="3"/>
    <n v="106.2"/>
    <n v="103.9"/>
    <n v="104.1"/>
    <n v="1049"/>
  </r>
  <r>
    <x v="1"/>
    <d v="2013-02-01T00:00:00"/>
    <x v="0"/>
    <s v="February"/>
    <n v="2"/>
    <n v="112.9"/>
    <n v="112.9"/>
    <n v="116.9"/>
    <n v="104"/>
    <n v="103.5"/>
    <n v="103.1"/>
    <n v="104.9"/>
    <n v="104.1"/>
    <n v="103.8"/>
    <n v="102.3"/>
    <n v="106"/>
    <n v="109"/>
    <n v="107.2"/>
    <n v="106"/>
    <n v="106.6"/>
    <n v="105.5"/>
    <n v="106.4"/>
    <n v="100.4"/>
    <n v="105.7"/>
    <n v="105.2"/>
    <n v="104.7"/>
    <n v="104.4"/>
    <n v="103.3"/>
    <n v="103.7"/>
    <n v="104.3"/>
    <n v="104.3"/>
    <n v="104.7"/>
    <x v="4"/>
    <n v="105.7"/>
    <n v="104.4"/>
    <n v="103.7"/>
    <n v="1046.7"/>
  </r>
  <r>
    <x v="2"/>
    <d v="2013-02-01T00:00:00"/>
    <x v="0"/>
    <s v="February"/>
    <n v="2"/>
    <n v="110.4"/>
    <n v="110.2"/>
    <n v="112.8"/>
    <n v="104.9"/>
    <n v="105.5"/>
    <n v="103.6"/>
    <n v="103.2"/>
    <n v="105.3"/>
    <n v="105.1"/>
    <n v="102.8"/>
    <n v="105.5"/>
    <n v="108.3"/>
    <n v="106.6"/>
    <n v="105.7"/>
    <n v="106.9"/>
    <n v="106"/>
    <n v="106.8"/>
    <n v="100.4"/>
    <n v="106"/>
    <n v="105.2"/>
    <n v="104.5"/>
    <n v="104.2"/>
    <n v="103.6"/>
    <n v="103.9"/>
    <n v="104.5"/>
    <n v="104.4"/>
    <n v="105.3"/>
    <x v="5"/>
    <n v="106"/>
    <n v="104.2"/>
    <n v="103.9"/>
    <n v="1048.0000000000002"/>
  </r>
  <r>
    <x v="0"/>
    <d v="2013-03-01T00:00:00"/>
    <x v="0"/>
    <s v="March"/>
    <n v="3"/>
    <n v="110.2"/>
    <n v="108.8"/>
    <n v="109.9"/>
    <n v="105.6"/>
    <n v="106.2"/>
    <n v="105.7"/>
    <n v="101.4"/>
    <n v="105.7"/>
    <n v="105"/>
    <n v="103.3"/>
    <n v="105.6"/>
    <n v="108.2"/>
    <n v="106.6"/>
    <n v="106.5"/>
    <n v="107.6"/>
    <n v="106.8"/>
    <n v="107.5"/>
    <n v="100.4"/>
    <n v="106.1"/>
    <n v="105.6"/>
    <n v="104.7"/>
    <n v="104.6"/>
    <n v="104"/>
    <n v="104.3"/>
    <n v="104.3"/>
    <n v="104.6"/>
    <n v="106"/>
    <x v="6"/>
    <n v="106.1"/>
    <n v="104.6"/>
    <n v="104.3"/>
    <n v="1052"/>
  </r>
  <r>
    <x v="1"/>
    <d v="2013-03-01T00:00:00"/>
    <x v="0"/>
    <s v="March"/>
    <n v="3"/>
    <n v="113.9"/>
    <n v="111.4"/>
    <n v="113.2"/>
    <n v="104.3"/>
    <n v="102.7"/>
    <n v="104.9"/>
    <n v="103.8"/>
    <n v="103.5"/>
    <n v="102.6"/>
    <n v="102.4"/>
    <n v="107"/>
    <n v="109.8"/>
    <n v="107.3"/>
    <n v="106.8"/>
    <n v="107.2"/>
    <n v="106"/>
    <n v="107"/>
    <n v="100.4"/>
    <n v="106"/>
    <n v="105.7"/>
    <n v="105.2"/>
    <n v="105.5"/>
    <n v="103.5"/>
    <n v="103.8"/>
    <n v="104.2"/>
    <n v="104.9"/>
    <n v="105"/>
    <x v="7"/>
    <n v="106"/>
    <n v="105.5"/>
    <n v="103.8"/>
    <n v="1050.9000000000001"/>
  </r>
  <r>
    <x v="2"/>
    <d v="2013-03-01T00:00:00"/>
    <x v="0"/>
    <s v="March"/>
    <n v="3"/>
    <n v="111.4"/>
    <n v="109.7"/>
    <n v="111.2"/>
    <n v="105.1"/>
    <n v="104.9"/>
    <n v="105.3"/>
    <n v="102.2"/>
    <n v="105"/>
    <n v="104.2"/>
    <n v="103"/>
    <n v="106.2"/>
    <n v="108.9"/>
    <n v="106.9"/>
    <n v="106.6"/>
    <n v="107.4"/>
    <n v="106.5"/>
    <n v="107.3"/>
    <n v="100.4"/>
    <n v="106.1"/>
    <n v="105.6"/>
    <n v="104.9"/>
    <n v="105.1"/>
    <n v="103.7"/>
    <n v="104"/>
    <n v="104.3"/>
    <n v="104.7"/>
    <n v="105.5"/>
    <x v="8"/>
    <n v="106.1"/>
    <n v="105.1"/>
    <n v="104"/>
    <n v="1051.4000000000001"/>
  </r>
  <r>
    <x v="0"/>
    <d v="2013-04-01T00:00:00"/>
    <x v="0"/>
    <s v="April"/>
    <n v="4"/>
    <n v="110.2"/>
    <n v="109.5"/>
    <n v="106.9"/>
    <n v="106.3"/>
    <n v="105.7"/>
    <n v="108.3"/>
    <n v="103.4"/>
    <n v="105.7"/>
    <n v="104.2"/>
    <n v="103.2"/>
    <n v="106.5"/>
    <n v="108.8"/>
    <n v="107.1"/>
    <n v="107.1"/>
    <n v="108.1"/>
    <n v="107.4"/>
    <n v="108"/>
    <n v="100.5"/>
    <n v="106.5"/>
    <n v="106.1"/>
    <n v="105.1"/>
    <n v="104.4"/>
    <n v="104.5"/>
    <n v="104.8"/>
    <n v="102.7"/>
    <n v="104.6"/>
    <n v="106.4"/>
    <x v="9"/>
    <n v="106.5"/>
    <n v="104.4"/>
    <n v="104.8"/>
    <n v="1054.1000000000001"/>
  </r>
  <r>
    <x v="1"/>
    <d v="2013-04-01T00:00:00"/>
    <x v="0"/>
    <s v="April"/>
    <n v="4"/>
    <n v="114.6"/>
    <n v="113.4"/>
    <n v="106"/>
    <n v="104.7"/>
    <n v="102.1"/>
    <n v="109.5"/>
    <n v="109.7"/>
    <n v="104.6"/>
    <n v="102"/>
    <n v="103.5"/>
    <n v="108.2"/>
    <n v="110.6"/>
    <n v="108.8"/>
    <n v="108.5"/>
    <n v="107.9"/>
    <n v="106.4"/>
    <n v="107.7"/>
    <n v="100.5"/>
    <n v="106.4"/>
    <n v="106.5"/>
    <n v="105.7"/>
    <n v="105"/>
    <n v="104"/>
    <n v="105.2"/>
    <n v="103.2"/>
    <n v="105.1"/>
    <n v="105.7"/>
    <x v="10"/>
    <n v="106.4"/>
    <n v="105"/>
    <n v="105.2"/>
    <n v="1055.5"/>
  </r>
  <r>
    <x v="2"/>
    <d v="2013-04-01T00:00:00"/>
    <x v="0"/>
    <s v="April"/>
    <n v="4"/>
    <n v="111.6"/>
    <n v="110.9"/>
    <n v="106.6"/>
    <n v="105.7"/>
    <n v="104.4"/>
    <n v="108.9"/>
    <n v="105.5"/>
    <n v="105.3"/>
    <n v="103.5"/>
    <n v="103.3"/>
    <n v="107.2"/>
    <n v="109.6"/>
    <n v="107.7"/>
    <n v="107.5"/>
    <n v="108"/>
    <n v="107"/>
    <n v="107.9"/>
    <n v="100.5"/>
    <n v="106.5"/>
    <n v="106.3"/>
    <n v="105.3"/>
    <n v="104.7"/>
    <n v="104.2"/>
    <n v="105"/>
    <n v="102.9"/>
    <n v="104.8"/>
    <n v="106.1"/>
    <x v="11"/>
    <n v="106.5"/>
    <n v="104.7"/>
    <n v="105"/>
    <n v="1054.3999999999999"/>
  </r>
  <r>
    <x v="0"/>
    <d v="2013-05-01T00:00:00"/>
    <x v="0"/>
    <s v="May"/>
    <n v="5"/>
    <n v="110.9"/>
    <n v="109.8"/>
    <n v="105.9"/>
    <n v="107.5"/>
    <n v="105.3"/>
    <n v="108.1"/>
    <n v="107.3"/>
    <n v="106.1"/>
    <n v="103.7"/>
    <n v="104"/>
    <n v="107.4"/>
    <n v="109.9"/>
    <n v="108.1"/>
    <n v="108.1"/>
    <n v="108.8"/>
    <n v="107.9"/>
    <n v="108.6"/>
    <n v="100.5"/>
    <n v="107.5"/>
    <n v="106.8"/>
    <n v="105.7"/>
    <n v="104.1"/>
    <n v="105"/>
    <n v="105.5"/>
    <n v="102.1"/>
    <n v="104.8"/>
    <n v="107.2"/>
    <x v="12"/>
    <n v="107.5"/>
    <n v="104.1"/>
    <n v="105.5"/>
    <n v="1058.3"/>
  </r>
  <r>
    <x v="1"/>
    <d v="2013-05-01T00:00:00"/>
    <x v="0"/>
    <s v="May"/>
    <n v="5"/>
    <n v="115.4"/>
    <n v="114.2"/>
    <n v="102.7"/>
    <n v="105.5"/>
    <n v="101.5"/>
    <n v="110.6"/>
    <n v="123.7"/>
    <n v="105.2"/>
    <n v="101.9"/>
    <n v="105"/>
    <n v="109.1"/>
    <n v="111.3"/>
    <n v="111.1"/>
    <n v="109.8"/>
    <n v="108.5"/>
    <n v="106.7"/>
    <n v="108.3"/>
    <n v="100.5"/>
    <n v="107.2"/>
    <n v="107.1"/>
    <n v="106.2"/>
    <n v="103.9"/>
    <n v="104.6"/>
    <n v="105.7"/>
    <n v="102.6"/>
    <n v="104.9"/>
    <n v="106.6"/>
    <x v="13"/>
    <n v="107.2"/>
    <n v="103.9"/>
    <n v="105.7"/>
    <n v="1059.2"/>
  </r>
  <r>
    <x v="2"/>
    <d v="2013-05-01T00:00:00"/>
    <x v="0"/>
    <s v="May"/>
    <n v="5"/>
    <n v="112.3"/>
    <n v="111.3"/>
    <n v="104.7"/>
    <n v="106.8"/>
    <n v="103.9"/>
    <n v="109.3"/>
    <n v="112.9"/>
    <n v="105.8"/>
    <n v="103.1"/>
    <n v="104.3"/>
    <n v="108.1"/>
    <n v="110.5"/>
    <n v="109.2"/>
    <n v="108.6"/>
    <n v="108.7"/>
    <n v="107.4"/>
    <n v="108.5"/>
    <n v="100.5"/>
    <n v="107.4"/>
    <n v="106.9"/>
    <n v="105.9"/>
    <n v="104"/>
    <n v="104.8"/>
    <n v="105.6"/>
    <n v="102.3"/>
    <n v="104.8"/>
    <n v="106.9"/>
    <x v="14"/>
    <n v="107.4"/>
    <n v="104"/>
    <n v="105.6"/>
    <n v="1058.3999999999999"/>
  </r>
  <r>
    <x v="0"/>
    <d v="2013-06-01T00:00:00"/>
    <x v="0"/>
    <s v="June"/>
    <n v="6"/>
    <n v="112.3"/>
    <n v="112.1"/>
    <n v="108.1"/>
    <n v="108.3"/>
    <n v="105.9"/>
    <n v="109.2"/>
    <n v="118"/>
    <n v="106.8"/>
    <n v="104.1"/>
    <n v="105.4"/>
    <n v="108.2"/>
    <n v="111"/>
    <n v="110.6"/>
    <n v="109"/>
    <n v="109.7"/>
    <n v="108.8"/>
    <n v="109.5"/>
    <n v="106.6"/>
    <n v="108.5"/>
    <n v="107.5"/>
    <n v="106.3"/>
    <n v="105"/>
    <n v="105.6"/>
    <n v="106.5"/>
    <n v="102.5"/>
    <n v="105.5"/>
    <n v="108.9"/>
    <x v="15"/>
    <n v="108.5"/>
    <n v="105"/>
    <n v="106.5"/>
    <n v="1071"/>
  </r>
  <r>
    <x v="1"/>
    <d v="2013-06-01T00:00:00"/>
    <x v="0"/>
    <s v="June"/>
    <n v="6"/>
    <n v="117"/>
    <n v="120.1"/>
    <n v="112.5"/>
    <n v="107.3"/>
    <n v="101.3"/>
    <n v="112.4"/>
    <n v="143.6"/>
    <n v="105.4"/>
    <n v="101.4"/>
    <n v="106.4"/>
    <n v="110"/>
    <n v="112.2"/>
    <n v="115"/>
    <n v="110.9"/>
    <n v="109.2"/>
    <n v="107.2"/>
    <n v="108.9"/>
    <n v="106.6"/>
    <n v="108"/>
    <n v="107.7"/>
    <n v="106.5"/>
    <n v="105.2"/>
    <n v="105.2"/>
    <n v="108.1"/>
    <n v="103.3"/>
    <n v="106.1"/>
    <n v="109.7"/>
    <x v="16"/>
    <n v="108"/>
    <n v="105.2"/>
    <n v="108.1"/>
    <n v="1071.6000000000001"/>
  </r>
  <r>
    <x v="2"/>
    <d v="2013-06-01T00:00:00"/>
    <x v="0"/>
    <s v="June"/>
    <n v="6"/>
    <n v="113.8"/>
    <n v="114.9"/>
    <n v="109.8"/>
    <n v="107.9"/>
    <n v="104.2"/>
    <n v="110.7"/>
    <n v="126.7"/>
    <n v="106.3"/>
    <n v="103.2"/>
    <n v="105.7"/>
    <n v="109"/>
    <n v="111.6"/>
    <n v="112.2"/>
    <n v="109.5"/>
    <n v="109.5"/>
    <n v="108.1"/>
    <n v="109.3"/>
    <n v="106.6"/>
    <n v="108.3"/>
    <n v="107.6"/>
    <n v="106.4"/>
    <n v="105.1"/>
    <n v="105.4"/>
    <n v="107.4"/>
    <n v="102.8"/>
    <n v="105.8"/>
    <n v="109.3"/>
    <x v="17"/>
    <n v="108.3"/>
    <n v="105.1"/>
    <n v="107.4"/>
    <n v="1071"/>
  </r>
  <r>
    <x v="0"/>
    <d v="2013-07-01T00:00:00"/>
    <x v="0"/>
    <s v="July"/>
    <n v="7"/>
    <n v="113.4"/>
    <n v="114.9"/>
    <n v="110.5"/>
    <n v="109.3"/>
    <n v="106.2"/>
    <n v="110.3"/>
    <n v="129.19999999999999"/>
    <n v="107.1"/>
    <n v="104.3"/>
    <n v="106.4"/>
    <n v="109.1"/>
    <n v="112.1"/>
    <n v="113.1"/>
    <n v="109.8"/>
    <n v="110.5"/>
    <n v="109.5"/>
    <n v="110.3"/>
    <n v="107.7"/>
    <n v="109.5"/>
    <n v="108.3"/>
    <n v="106.9"/>
    <n v="106.8"/>
    <n v="106.4"/>
    <n v="107.8"/>
    <n v="102.5"/>
    <n v="106.5"/>
    <n v="110.7"/>
    <x v="18"/>
    <n v="109.5"/>
    <n v="106.8"/>
    <n v="107.8"/>
    <n v="1078.4000000000001"/>
  </r>
  <r>
    <x v="1"/>
    <d v="2013-07-01T00:00:00"/>
    <x v="0"/>
    <s v="July"/>
    <n v="7"/>
    <n v="117.8"/>
    <n v="119.2"/>
    <n v="114"/>
    <n v="108.3"/>
    <n v="101.1"/>
    <n v="113.2"/>
    <n v="160.9"/>
    <n v="105.1"/>
    <n v="101.3"/>
    <n v="107.5"/>
    <n v="110.4"/>
    <n v="113.1"/>
    <n v="117.5"/>
    <n v="111.7"/>
    <n v="109.8"/>
    <n v="107.8"/>
    <n v="109.5"/>
    <n v="107.7"/>
    <n v="108.6"/>
    <n v="108.1"/>
    <n v="107.1"/>
    <n v="107.3"/>
    <n v="105.9"/>
    <n v="110.1"/>
    <n v="103.2"/>
    <n v="107.3"/>
    <n v="111.4"/>
    <x v="19"/>
    <n v="108.6"/>
    <n v="107.3"/>
    <n v="110.1"/>
    <n v="1078.1000000000001"/>
  </r>
  <r>
    <x v="2"/>
    <d v="2013-07-01T00:00:00"/>
    <x v="0"/>
    <s v="July"/>
    <n v="7"/>
    <n v="114.8"/>
    <n v="116.4"/>
    <n v="111.9"/>
    <n v="108.9"/>
    <n v="104.3"/>
    <n v="111.7"/>
    <n v="140"/>
    <n v="106.4"/>
    <n v="103.3"/>
    <n v="106.8"/>
    <n v="109.6"/>
    <n v="112.6"/>
    <n v="114.7"/>
    <n v="110.3"/>
    <n v="110.2"/>
    <n v="108.8"/>
    <n v="110"/>
    <n v="107.7"/>
    <n v="109.2"/>
    <n v="108.2"/>
    <n v="107"/>
    <n v="107.1"/>
    <n v="106.1"/>
    <n v="109.1"/>
    <n v="102.8"/>
    <n v="106.9"/>
    <n v="111"/>
    <x v="20"/>
    <n v="109.2"/>
    <n v="107.1"/>
    <n v="109.1"/>
    <n v="1078"/>
  </r>
  <r>
    <x v="0"/>
    <d v="2013-08-01T00:00:00"/>
    <x v="0"/>
    <s v="August"/>
    <n v="8"/>
    <n v="114.3"/>
    <n v="115.4"/>
    <n v="111.1"/>
    <n v="110"/>
    <n v="106.4"/>
    <n v="110.8"/>
    <n v="138.9"/>
    <n v="107.4"/>
    <n v="104.1"/>
    <n v="106.9"/>
    <n v="109.7"/>
    <n v="112.6"/>
    <n v="114.9"/>
    <n v="110.7"/>
    <n v="111.3"/>
    <n v="110.2"/>
    <n v="111.1"/>
    <n v="108.9"/>
    <n v="109.9"/>
    <n v="108.7"/>
    <n v="107.5"/>
    <n v="107.8"/>
    <n v="106.8"/>
    <n v="108.7"/>
    <n v="105"/>
    <n v="107.5"/>
    <n v="112.1"/>
    <x v="21"/>
    <n v="109.9"/>
    <n v="107.8"/>
    <n v="108.7"/>
    <n v="1087.6999999999998"/>
  </r>
  <r>
    <x v="1"/>
    <d v="2013-08-01T00:00:00"/>
    <x v="0"/>
    <s v="August"/>
    <n v="8"/>
    <n v="118.3"/>
    <n v="120.4"/>
    <n v="112.7"/>
    <n v="108.9"/>
    <n v="101.1"/>
    <n v="108.7"/>
    <n v="177"/>
    <n v="104.7"/>
    <n v="101"/>
    <n v="108.5"/>
    <n v="110.9"/>
    <n v="114.3"/>
    <n v="119.6"/>
    <n v="112.4"/>
    <n v="110.6"/>
    <n v="108.3"/>
    <n v="110.2"/>
    <n v="108.9"/>
    <n v="109.3"/>
    <n v="108.7"/>
    <n v="107.6"/>
    <n v="108.1"/>
    <n v="106.5"/>
    <n v="110.8"/>
    <n v="106"/>
    <n v="108.3"/>
    <n v="112.7"/>
    <x v="22"/>
    <n v="109.3"/>
    <n v="108.1"/>
    <n v="110.8"/>
    <n v="1087.5"/>
  </r>
  <r>
    <x v="2"/>
    <d v="2013-08-01T00:00:00"/>
    <x v="0"/>
    <s v="August"/>
    <n v="8"/>
    <n v="115.6"/>
    <n v="117.2"/>
    <n v="111.7"/>
    <n v="109.6"/>
    <n v="104.5"/>
    <n v="109.8"/>
    <n v="151.80000000000001"/>
    <n v="106.5"/>
    <n v="103.1"/>
    <n v="107.4"/>
    <n v="110.2"/>
    <n v="113.4"/>
    <n v="116.6"/>
    <n v="111.2"/>
    <n v="111"/>
    <n v="109.4"/>
    <n v="110.7"/>
    <n v="108.9"/>
    <n v="109.7"/>
    <n v="108.7"/>
    <n v="107.5"/>
    <n v="108"/>
    <n v="106.6"/>
    <n v="109.9"/>
    <n v="105.4"/>
    <n v="107.9"/>
    <n v="112.4"/>
    <x v="23"/>
    <n v="109.7"/>
    <n v="108"/>
    <n v="109.9"/>
    <n v="1087.3000000000002"/>
  </r>
  <r>
    <x v="0"/>
    <d v="2013-09-01T00:00:00"/>
    <x v="0"/>
    <s v="September"/>
    <n v="9"/>
    <n v="115.4"/>
    <n v="115.7"/>
    <n v="111.7"/>
    <n v="111"/>
    <n v="107.4"/>
    <n v="110.9"/>
    <n v="154"/>
    <n v="108.1"/>
    <n v="104.2"/>
    <n v="107.9"/>
    <n v="110.4"/>
    <n v="114"/>
    <n v="117.8"/>
    <n v="111.7"/>
    <n v="112.7"/>
    <n v="111.4"/>
    <n v="112.5"/>
    <n v="109.7"/>
    <n v="111.1"/>
    <n v="109.6"/>
    <n v="108.3"/>
    <n v="109.3"/>
    <n v="107.7"/>
    <n v="109.8"/>
    <n v="106.7"/>
    <n v="108.7"/>
    <n v="114.2"/>
    <x v="24"/>
    <n v="111.1"/>
    <n v="109.3"/>
    <n v="109.8"/>
    <n v="1099"/>
  </r>
  <r>
    <x v="1"/>
    <d v="2013-09-01T00:00:00"/>
    <x v="0"/>
    <s v="September"/>
    <n v="9"/>
    <n v="118.6"/>
    <n v="119.1"/>
    <n v="113.2"/>
    <n v="109.6"/>
    <n v="101.7"/>
    <n v="103.2"/>
    <n v="174.3"/>
    <n v="105.1"/>
    <n v="100.8"/>
    <n v="109.1"/>
    <n v="111.1"/>
    <n v="115.4"/>
    <n v="119.2"/>
    <n v="112.9"/>
    <n v="111.4"/>
    <n v="109"/>
    <n v="111.1"/>
    <n v="109.7"/>
    <n v="109.5"/>
    <n v="109.6"/>
    <n v="107.9"/>
    <n v="110.4"/>
    <n v="107.4"/>
    <n v="111.2"/>
    <n v="106.9"/>
    <n v="109.4"/>
    <n v="113.2"/>
    <x v="25"/>
    <n v="109.5"/>
    <n v="110.4"/>
    <n v="111.2"/>
    <n v="1095.3"/>
  </r>
  <r>
    <x v="2"/>
    <d v="2013-09-01T00:00:00"/>
    <x v="0"/>
    <s v="September"/>
    <n v="9"/>
    <n v="116.4"/>
    <n v="116.9"/>
    <n v="112.3"/>
    <n v="110.5"/>
    <n v="105.3"/>
    <n v="107.3"/>
    <n v="160.9"/>
    <n v="107.1"/>
    <n v="103.1"/>
    <n v="108.3"/>
    <n v="110.7"/>
    <n v="114.6"/>
    <n v="118.3"/>
    <n v="112"/>
    <n v="112.2"/>
    <n v="110.4"/>
    <n v="111.9"/>
    <n v="109.7"/>
    <n v="110.5"/>
    <n v="109.6"/>
    <n v="108.1"/>
    <n v="109.9"/>
    <n v="107.5"/>
    <n v="110.6"/>
    <n v="106.8"/>
    <n v="109"/>
    <n v="113.7"/>
    <x v="26"/>
    <n v="110.5"/>
    <n v="109.9"/>
    <n v="110.6"/>
    <n v="1097.2"/>
  </r>
  <r>
    <x v="0"/>
    <d v="2013-10-01T00:00:00"/>
    <x v="0"/>
    <s v="October"/>
    <n v="10"/>
    <n v="116.3"/>
    <n v="115.4"/>
    <n v="112.6"/>
    <n v="111.7"/>
    <n v="107.7"/>
    <n v="113.2"/>
    <n v="164.9"/>
    <n v="108.3"/>
    <n v="103.9"/>
    <n v="108.2"/>
    <n v="111.1"/>
    <n v="114.9"/>
    <n v="119.8"/>
    <n v="112.2"/>
    <n v="113.6"/>
    <n v="112.3"/>
    <n v="113.4"/>
    <n v="110.5"/>
    <n v="111.6"/>
    <n v="110.4"/>
    <n v="108.9"/>
    <n v="109.3"/>
    <n v="108.3"/>
    <n v="110.2"/>
    <n v="107.5"/>
    <n v="109.1"/>
    <n v="115.5"/>
    <x v="27"/>
    <n v="111.6"/>
    <n v="109.3"/>
    <n v="110.2"/>
    <n v="1106.1999999999998"/>
  </r>
  <r>
    <x v="1"/>
    <d v="2013-10-01T00:00:00"/>
    <x v="0"/>
    <s v="October"/>
    <n v="10"/>
    <n v="118.9"/>
    <n v="118.1"/>
    <n v="114.5"/>
    <n v="110.4"/>
    <n v="102.3"/>
    <n v="106.2"/>
    <n v="183.5"/>
    <n v="105.3"/>
    <n v="100.2"/>
    <n v="109.6"/>
    <n v="111.4"/>
    <n v="116"/>
    <n v="120.8"/>
    <n v="113.5"/>
    <n v="112.5"/>
    <n v="109.7"/>
    <n v="112"/>
    <n v="110.5"/>
    <n v="109.7"/>
    <n v="110.2"/>
    <n v="108.2"/>
    <n v="109.7"/>
    <n v="108"/>
    <n v="111.3"/>
    <n v="107.3"/>
    <n v="109.4"/>
    <n v="114"/>
    <x v="28"/>
    <n v="109.7"/>
    <n v="109.7"/>
    <n v="111.3"/>
    <n v="1101.3000000000002"/>
  </r>
  <r>
    <x v="2"/>
    <d v="2013-10-01T00:00:00"/>
    <x v="0"/>
    <s v="October"/>
    <n v="10"/>
    <n v="117.1"/>
    <n v="116.3"/>
    <n v="113.3"/>
    <n v="111.2"/>
    <n v="105.7"/>
    <n v="109.9"/>
    <n v="171.2"/>
    <n v="107.3"/>
    <n v="102.7"/>
    <n v="108.7"/>
    <n v="111.2"/>
    <n v="115.4"/>
    <n v="120.2"/>
    <n v="112.5"/>
    <n v="113.2"/>
    <n v="111.2"/>
    <n v="112.8"/>
    <n v="110.5"/>
    <n v="110.9"/>
    <n v="110.3"/>
    <n v="108.6"/>
    <n v="109.5"/>
    <n v="108.1"/>
    <n v="110.8"/>
    <n v="107.4"/>
    <n v="109.2"/>
    <n v="114.8"/>
    <x v="29"/>
    <n v="110.9"/>
    <n v="109.5"/>
    <n v="110.8"/>
    <n v="1103.8"/>
  </r>
  <r>
    <x v="0"/>
    <e v="#N/A"/>
    <x v="0"/>
    <s v="November "/>
    <e v="#N/A"/>
    <n v="117.3"/>
    <n v="114.9"/>
    <n v="116.2"/>
    <n v="112.8"/>
    <n v="108.9"/>
    <n v="116.6"/>
    <n v="178.1"/>
    <n v="109.1"/>
    <n v="103.6"/>
    <n v="109"/>
    <n v="111.8"/>
    <n v="116"/>
    <n v="122.5"/>
    <n v="112.8"/>
    <n v="114.6"/>
    <n v="113.1"/>
    <n v="114.4"/>
    <n v="111.1"/>
    <n v="112.6"/>
    <n v="111.3"/>
    <n v="109.7"/>
    <n v="109.6"/>
    <n v="108.7"/>
    <n v="111"/>
    <n v="108.2"/>
    <n v="109.8"/>
    <n v="117.4"/>
    <x v="30"/>
    <n v="112.6"/>
    <n v="109.6"/>
    <n v="111"/>
    <n v="1113.7"/>
  </r>
  <r>
    <x v="1"/>
    <d v="2013-11-01T00:00:00"/>
    <x v="0"/>
    <s v="November"/>
    <n v="11"/>
    <n v="119.8"/>
    <n v="116.3"/>
    <n v="122.6"/>
    <n v="112"/>
    <n v="103.2"/>
    <n v="110"/>
    <n v="192.8"/>
    <n v="106.3"/>
    <n v="99.5"/>
    <n v="110.3"/>
    <n v="111.8"/>
    <n v="117.1"/>
    <n v="122.9"/>
    <n v="114.1"/>
    <n v="113.5"/>
    <n v="110.3"/>
    <n v="113"/>
    <n v="111.1"/>
    <n v="110"/>
    <n v="110.9"/>
    <n v="108.6"/>
    <n v="109.5"/>
    <n v="108.5"/>
    <n v="111.3"/>
    <n v="107.9"/>
    <n v="109.6"/>
    <n v="115"/>
    <x v="31"/>
    <n v="110"/>
    <n v="109.5"/>
    <n v="111.3"/>
    <n v="1107.5"/>
  </r>
  <r>
    <x v="2"/>
    <d v="2013-11-01T00:00:00"/>
    <x v="0"/>
    <s v="November"/>
    <n v="11"/>
    <n v="118.1"/>
    <n v="115.4"/>
    <n v="118.7"/>
    <n v="112.5"/>
    <n v="106.8"/>
    <n v="113.5"/>
    <n v="183.1"/>
    <n v="108.2"/>
    <n v="102.2"/>
    <n v="109.4"/>
    <n v="111.8"/>
    <n v="116.5"/>
    <n v="122.6"/>
    <n v="113.1"/>
    <n v="114.2"/>
    <n v="111.9"/>
    <n v="113.8"/>
    <n v="111.1"/>
    <n v="111.6"/>
    <n v="111.1"/>
    <n v="109.3"/>
    <n v="109.5"/>
    <n v="108.6"/>
    <n v="111.2"/>
    <n v="108.1"/>
    <n v="109.7"/>
    <n v="116.3"/>
    <x v="32"/>
    <n v="111.6"/>
    <n v="109.5"/>
    <n v="111.2"/>
    <n v="1110.9000000000001"/>
  </r>
  <r>
    <x v="0"/>
    <d v="2013-12-01T00:00:00"/>
    <x v="0"/>
    <s v="December"/>
    <n v="12"/>
    <n v="118.4"/>
    <n v="115.9"/>
    <n v="120.4"/>
    <n v="113.8"/>
    <n v="109.5"/>
    <n v="115.5"/>
    <n v="145.69999999999999"/>
    <n v="109.5"/>
    <n v="102.9"/>
    <n v="109.8"/>
    <n v="112.1"/>
    <n v="116.8"/>
    <n v="118.7"/>
    <n v="113.6"/>
    <n v="115.8"/>
    <n v="114"/>
    <n v="115.5"/>
    <n v="110.7"/>
    <n v="112.8"/>
    <n v="112.1"/>
    <n v="110.1"/>
    <n v="109.9"/>
    <n v="109.2"/>
    <n v="111.6"/>
    <n v="108.1"/>
    <n v="110.1"/>
    <n v="115.5"/>
    <x v="33"/>
    <n v="112.8"/>
    <n v="109.9"/>
    <n v="111.6"/>
    <n v="1119.2"/>
  </r>
  <r>
    <x v="1"/>
    <d v="2013-12-01T00:00:00"/>
    <x v="0"/>
    <s v="December"/>
    <n v="12"/>
    <n v="120.5"/>
    <n v="118.1"/>
    <n v="128.5"/>
    <n v="112.8"/>
    <n v="103.4"/>
    <n v="110.7"/>
    <n v="144.80000000000001"/>
    <n v="107.1"/>
    <n v="98.6"/>
    <n v="111.9"/>
    <n v="112.1"/>
    <n v="118.1"/>
    <n v="117.8"/>
    <n v="115"/>
    <n v="114.2"/>
    <n v="110.9"/>
    <n v="113.7"/>
    <n v="110.7"/>
    <n v="110.4"/>
    <n v="111.3"/>
    <n v="109"/>
    <n v="109.7"/>
    <n v="108.9"/>
    <n v="111.4"/>
    <n v="107.7"/>
    <n v="109.8"/>
    <n v="113.3"/>
    <x v="34"/>
    <n v="110.4"/>
    <n v="109.7"/>
    <n v="111.4"/>
    <n v="1111.2"/>
  </r>
  <r>
    <x v="2"/>
    <d v="2013-12-01T00:00:00"/>
    <x v="0"/>
    <s v="December"/>
    <n v="12"/>
    <n v="119.1"/>
    <n v="116.7"/>
    <n v="123.5"/>
    <n v="113.4"/>
    <n v="107.3"/>
    <n v="113.3"/>
    <n v="145.4"/>
    <n v="108.7"/>
    <n v="101.5"/>
    <n v="110.5"/>
    <n v="112.1"/>
    <n v="117.4"/>
    <n v="118.4"/>
    <n v="114"/>
    <n v="115.2"/>
    <n v="112.7"/>
    <n v="114.8"/>
    <n v="110.7"/>
    <n v="111.9"/>
    <n v="111.7"/>
    <n v="109.7"/>
    <n v="109.8"/>
    <n v="109"/>
    <n v="111.5"/>
    <n v="107.9"/>
    <n v="110"/>
    <n v="114.5"/>
    <x v="35"/>
    <n v="111.9"/>
    <n v="109.8"/>
    <n v="111.5"/>
    <n v="1115.7"/>
  </r>
  <r>
    <x v="0"/>
    <d v="2014-01-01T00:00:00"/>
    <x v="1"/>
    <s v="January"/>
    <n v="1"/>
    <n v="118.9"/>
    <n v="117.1"/>
    <n v="120.5"/>
    <n v="114.4"/>
    <n v="109"/>
    <n v="115.5"/>
    <n v="123.9"/>
    <n v="109.6"/>
    <n v="101.8"/>
    <n v="110.2"/>
    <n v="112.4"/>
    <n v="117.3"/>
    <n v="116"/>
    <n v="114"/>
    <n v="116.5"/>
    <n v="114.5"/>
    <n v="116.2"/>
    <n v="111.6"/>
    <n v="113"/>
    <n v="112.6"/>
    <n v="110.6"/>
    <n v="110.5"/>
    <n v="109.6"/>
    <n v="111.8"/>
    <n v="108.3"/>
    <n v="110.6"/>
    <n v="114.2"/>
    <x v="36"/>
    <n v="113"/>
    <n v="110.5"/>
    <n v="111.8"/>
    <n v="1124.5"/>
  </r>
  <r>
    <x v="1"/>
    <d v="2014-01-01T00:00:00"/>
    <x v="1"/>
    <s v="January"/>
    <n v="1"/>
    <n v="121.2"/>
    <n v="122"/>
    <n v="129.9"/>
    <n v="113.6"/>
    <n v="102.9"/>
    <n v="112.1"/>
    <n v="118.9"/>
    <n v="107.5"/>
    <n v="96.9"/>
    <n v="112.7"/>
    <n v="112.1"/>
    <n v="119"/>
    <n v="115.5"/>
    <n v="115.7"/>
    <n v="114.8"/>
    <n v="111.3"/>
    <n v="114.3"/>
    <n v="111.6"/>
    <n v="111"/>
    <n v="111.9"/>
    <n v="109.7"/>
    <n v="110.8"/>
    <n v="109.8"/>
    <n v="111.5"/>
    <n v="108"/>
    <n v="110.5"/>
    <n v="112.9"/>
    <x v="37"/>
    <n v="111"/>
    <n v="110.8"/>
    <n v="111.5"/>
    <n v="1117.5999999999999"/>
  </r>
  <r>
    <x v="2"/>
    <d v="2014-01-01T00:00:00"/>
    <x v="1"/>
    <s v="January"/>
    <n v="1"/>
    <n v="119.6"/>
    <n v="118.8"/>
    <n v="124.1"/>
    <n v="114.1"/>
    <n v="106.8"/>
    <n v="113.9"/>
    <n v="122.2"/>
    <n v="108.9"/>
    <n v="100.2"/>
    <n v="111"/>
    <n v="112.3"/>
    <n v="118.1"/>
    <n v="115.8"/>
    <n v="114.5"/>
    <n v="115.8"/>
    <n v="113.2"/>
    <n v="115.4"/>
    <n v="111.6"/>
    <n v="112.2"/>
    <n v="112.3"/>
    <n v="110.3"/>
    <n v="110.7"/>
    <n v="109.7"/>
    <n v="111.6"/>
    <n v="108.2"/>
    <n v="110.6"/>
    <n v="113.6"/>
    <x v="38"/>
    <n v="112.2"/>
    <n v="110.7"/>
    <n v="111.6"/>
    <n v="1121.5999999999999"/>
  </r>
  <r>
    <x v="0"/>
    <d v="2014-02-01T00:00:00"/>
    <x v="1"/>
    <s v="February"/>
    <n v="2"/>
    <n v="119.4"/>
    <n v="117.7"/>
    <n v="121.2"/>
    <n v="115"/>
    <n v="109"/>
    <n v="116.6"/>
    <n v="116"/>
    <n v="109.8"/>
    <n v="101.1"/>
    <n v="110.4"/>
    <n v="112.9"/>
    <n v="117.8"/>
    <n v="115.3"/>
    <n v="114.2"/>
    <n v="117.1"/>
    <n v="114.5"/>
    <n v="116.7"/>
    <n v="112.5"/>
    <n v="113.2"/>
    <n v="112.9"/>
    <n v="110.9"/>
    <n v="110.8"/>
    <n v="109.9"/>
    <n v="112"/>
    <n v="108.7"/>
    <n v="110.9"/>
    <n v="114"/>
    <x v="39"/>
    <n v="113.2"/>
    <n v="110.8"/>
    <n v="112"/>
    <n v="1128.3"/>
  </r>
  <r>
    <x v="1"/>
    <d v="2014-02-01T00:00:00"/>
    <x v="1"/>
    <s v="February"/>
    <n v="2"/>
    <n v="121.9"/>
    <n v="122"/>
    <n v="124.5"/>
    <n v="115.2"/>
    <n v="102.5"/>
    <n v="114.1"/>
    <n v="111.5"/>
    <n v="108.2"/>
    <n v="95.4"/>
    <n v="113.5"/>
    <n v="112.1"/>
    <n v="119.9"/>
    <n v="115.2"/>
    <n v="116.2"/>
    <n v="115.3"/>
    <n v="111.7"/>
    <n v="114.7"/>
    <n v="112.5"/>
    <n v="111.1"/>
    <n v="112.6"/>
    <n v="110.4"/>
    <n v="111.3"/>
    <n v="110.3"/>
    <n v="111.6"/>
    <n v="108.7"/>
    <n v="111"/>
    <n v="113.1"/>
    <x v="40"/>
    <n v="111.1"/>
    <n v="111.3"/>
    <n v="111.6"/>
    <n v="1123.4000000000001"/>
  </r>
  <r>
    <x v="2"/>
    <d v="2014-02-01T00:00:00"/>
    <x v="1"/>
    <s v="February"/>
    <n v="2"/>
    <n v="120.2"/>
    <n v="119.2"/>
    <n v="122.5"/>
    <n v="115.1"/>
    <n v="106.6"/>
    <n v="115.4"/>
    <n v="114.5"/>
    <n v="109.3"/>
    <n v="99.2"/>
    <n v="111.4"/>
    <n v="112.6"/>
    <n v="118.8"/>
    <n v="115.3"/>
    <n v="114.7"/>
    <n v="116.4"/>
    <n v="113.3"/>
    <n v="115.9"/>
    <n v="112.5"/>
    <n v="112.4"/>
    <n v="112.8"/>
    <n v="110.7"/>
    <n v="111.1"/>
    <n v="110.1"/>
    <n v="111.8"/>
    <n v="108.7"/>
    <n v="110.9"/>
    <n v="113.6"/>
    <x v="41"/>
    <n v="112.4"/>
    <n v="111.1"/>
    <n v="111.8"/>
    <n v="1126.0000000000002"/>
  </r>
  <r>
    <x v="0"/>
    <d v="2014-03-01T00:00:00"/>
    <x v="1"/>
    <s v="March"/>
    <n v="3"/>
    <n v="120.1"/>
    <n v="118.1"/>
    <n v="120.7"/>
    <n v="116.1"/>
    <n v="109.3"/>
    <n v="119.6"/>
    <n v="117.9"/>
    <n v="110.2"/>
    <n v="101.2"/>
    <n v="110.7"/>
    <n v="113"/>
    <n v="118.3"/>
    <n v="116.2"/>
    <n v="114.6"/>
    <n v="117.5"/>
    <n v="114.9"/>
    <n v="117.2"/>
    <n v="113.2"/>
    <n v="113.4"/>
    <n v="113.4"/>
    <n v="111.4"/>
    <n v="111.2"/>
    <n v="110.2"/>
    <n v="112.4"/>
    <n v="108.9"/>
    <n v="111.3"/>
    <n v="114.6"/>
    <x v="42"/>
    <n v="113.4"/>
    <n v="111.2"/>
    <n v="112.4"/>
    <n v="1132.5999999999999"/>
  </r>
  <r>
    <x v="1"/>
    <d v="2014-03-01T00:00:00"/>
    <x v="1"/>
    <s v="March"/>
    <n v="3"/>
    <n v="122.1"/>
    <n v="121.4"/>
    <n v="121.5"/>
    <n v="116.2"/>
    <n v="102.8"/>
    <n v="117.7"/>
    <n v="113.3"/>
    <n v="108.9"/>
    <n v="96.3"/>
    <n v="114.1"/>
    <n v="112.2"/>
    <n v="120.5"/>
    <n v="116"/>
    <n v="116.7"/>
    <n v="115.8"/>
    <n v="112.1"/>
    <n v="115.2"/>
    <n v="113.2"/>
    <n v="110.9"/>
    <n v="113"/>
    <n v="110.8"/>
    <n v="111.6"/>
    <n v="110.9"/>
    <n v="111.8"/>
    <n v="109.2"/>
    <n v="111.4"/>
    <n v="113.7"/>
    <x v="43"/>
    <n v="110.9"/>
    <n v="111.6"/>
    <n v="111.8"/>
    <n v="1128.3"/>
  </r>
  <r>
    <x v="2"/>
    <d v="2014-03-01T00:00:00"/>
    <x v="1"/>
    <s v="March"/>
    <n v="3"/>
    <n v="120.7"/>
    <n v="119.3"/>
    <n v="121"/>
    <n v="116.1"/>
    <n v="106.9"/>
    <n v="118.7"/>
    <n v="116.3"/>
    <n v="109.8"/>
    <n v="99.6"/>
    <n v="111.8"/>
    <n v="112.7"/>
    <n v="119.3"/>
    <n v="116.1"/>
    <n v="115.2"/>
    <n v="116.8"/>
    <n v="113.7"/>
    <n v="116.4"/>
    <n v="113.2"/>
    <n v="112.5"/>
    <n v="113.2"/>
    <n v="111.2"/>
    <n v="111.4"/>
    <n v="110.6"/>
    <n v="112"/>
    <n v="109"/>
    <n v="111.3"/>
    <n v="114.2"/>
    <x v="44"/>
    <n v="112.5"/>
    <n v="111.4"/>
    <n v="112"/>
    <n v="1130.6000000000001"/>
  </r>
  <r>
    <x v="0"/>
    <d v="2014-04-01T00:00:00"/>
    <x v="1"/>
    <s v="April"/>
    <n v="4"/>
    <n v="120.2"/>
    <n v="118.9"/>
    <n v="118.1"/>
    <n v="117"/>
    <n v="109.7"/>
    <n v="125.5"/>
    <n v="120.5"/>
    <n v="111"/>
    <n v="102.6"/>
    <n v="111.2"/>
    <n v="113.5"/>
    <n v="118.7"/>
    <n v="117.2"/>
    <n v="115.4"/>
    <n v="118.1"/>
    <n v="116.1"/>
    <n v="117.8"/>
    <n v="113.9"/>
    <n v="113.4"/>
    <n v="113.7"/>
    <n v="111.8"/>
    <n v="111.2"/>
    <n v="110.5"/>
    <n v="113"/>
    <n v="108.9"/>
    <n v="111.5"/>
    <n v="115.4"/>
    <x v="45"/>
    <n v="113.4"/>
    <n v="111.2"/>
    <n v="113"/>
    <n v="1137.7"/>
  </r>
  <r>
    <x v="1"/>
    <d v="2014-04-01T00:00:00"/>
    <x v="1"/>
    <s v="April"/>
    <n v="4"/>
    <n v="122.5"/>
    <n v="121.7"/>
    <n v="113.3"/>
    <n v="117"/>
    <n v="103.1"/>
    <n v="126.7"/>
    <n v="121.2"/>
    <n v="111"/>
    <n v="100.3"/>
    <n v="115.3"/>
    <n v="112.7"/>
    <n v="121"/>
    <n v="118.2"/>
    <n v="117.6"/>
    <n v="116.3"/>
    <n v="112.5"/>
    <n v="115.7"/>
    <n v="113.9"/>
    <n v="110.9"/>
    <n v="113.4"/>
    <n v="111"/>
    <n v="111.2"/>
    <n v="111.2"/>
    <n v="112.5"/>
    <n v="109.1"/>
    <n v="111.4"/>
    <n v="114.7"/>
    <x v="46"/>
    <n v="110.9"/>
    <n v="111.2"/>
    <n v="112.5"/>
    <n v="1132.1000000000001"/>
  </r>
  <r>
    <x v="2"/>
    <d v="2014-04-01T00:00:00"/>
    <x v="1"/>
    <s v="April"/>
    <n v="4"/>
    <n v="120.9"/>
    <n v="119.9"/>
    <n v="116.2"/>
    <n v="117"/>
    <n v="107.3"/>
    <n v="126.1"/>
    <n v="120.7"/>
    <n v="111"/>
    <n v="101.8"/>
    <n v="112.6"/>
    <n v="113.2"/>
    <n v="119.8"/>
    <n v="117.6"/>
    <n v="116"/>
    <n v="117.4"/>
    <n v="114.6"/>
    <n v="117"/>
    <n v="113.9"/>
    <n v="112.5"/>
    <n v="113.6"/>
    <n v="111.5"/>
    <n v="111.2"/>
    <n v="110.9"/>
    <n v="112.7"/>
    <n v="109"/>
    <n v="111.5"/>
    <n v="115.1"/>
    <x v="47"/>
    <n v="112.5"/>
    <n v="111.2"/>
    <n v="112.7"/>
    <n v="1135.4000000000001"/>
  </r>
  <r>
    <x v="0"/>
    <d v="2014-05-01T00:00:00"/>
    <x v="1"/>
    <s v="May"/>
    <n v="5"/>
    <n v="120.3"/>
    <n v="120.2"/>
    <n v="116.9"/>
    <n v="118"/>
    <n v="110.1"/>
    <n v="126.3"/>
    <n v="123.9"/>
    <n v="111.5"/>
    <n v="103.5"/>
    <n v="111.6"/>
    <n v="114.2"/>
    <n v="119.2"/>
    <n v="118.2"/>
    <n v="116.3"/>
    <n v="118.7"/>
    <n v="116.8"/>
    <n v="118.5"/>
    <n v="114.3"/>
    <n v="113.4"/>
    <n v="114.1"/>
    <n v="112.1"/>
    <n v="111.4"/>
    <n v="110.9"/>
    <n v="113.1"/>
    <n v="108.9"/>
    <n v="111.8"/>
    <n v="116"/>
    <x v="48"/>
    <n v="113.4"/>
    <n v="111.4"/>
    <n v="113.1"/>
    <n v="1142.4000000000001"/>
  </r>
  <r>
    <x v="1"/>
    <d v="2014-05-01T00:00:00"/>
    <x v="1"/>
    <s v="May"/>
    <n v="5"/>
    <n v="122.7"/>
    <n v="124.1"/>
    <n v="114.2"/>
    <n v="119.1"/>
    <n v="103.5"/>
    <n v="129.19999999999999"/>
    <n v="127"/>
    <n v="112.6"/>
    <n v="101.3"/>
    <n v="117"/>
    <n v="112.9"/>
    <n v="121.7"/>
    <n v="120"/>
    <n v="118.3"/>
    <n v="116.8"/>
    <n v="112.9"/>
    <n v="116.2"/>
    <n v="114.3"/>
    <n v="111.1"/>
    <n v="114.1"/>
    <n v="111.2"/>
    <n v="111.3"/>
    <n v="111.5"/>
    <n v="112.9"/>
    <n v="109.3"/>
    <n v="111.7"/>
    <n v="115.6"/>
    <x v="49"/>
    <n v="111.1"/>
    <n v="111.3"/>
    <n v="112.9"/>
    <n v="1136.3000000000002"/>
  </r>
  <r>
    <x v="2"/>
    <d v="2014-05-01T00:00:00"/>
    <x v="1"/>
    <s v="May"/>
    <n v="5"/>
    <n v="121.1"/>
    <n v="121.6"/>
    <n v="115.9"/>
    <n v="118.4"/>
    <n v="107.7"/>
    <n v="127.7"/>
    <n v="125"/>
    <n v="111.9"/>
    <n v="102.8"/>
    <n v="113.4"/>
    <n v="113.7"/>
    <n v="120.4"/>
    <n v="118.9"/>
    <n v="116.8"/>
    <n v="118"/>
    <n v="115.2"/>
    <n v="117.6"/>
    <n v="114.3"/>
    <n v="112.5"/>
    <n v="114.1"/>
    <n v="111.8"/>
    <n v="111.3"/>
    <n v="111.2"/>
    <n v="113"/>
    <n v="109.1"/>
    <n v="111.8"/>
    <n v="115.8"/>
    <x v="50"/>
    <n v="112.5"/>
    <n v="111.3"/>
    <n v="113"/>
    <n v="1139.8999999999999"/>
  </r>
  <r>
    <x v="0"/>
    <d v="2014-06-01T00:00:00"/>
    <x v="1"/>
    <s v="June"/>
    <n v="6"/>
    <n v="120.7"/>
    <n v="121.6"/>
    <n v="116.1"/>
    <n v="119.3"/>
    <n v="110.3"/>
    <n v="125.8"/>
    <n v="129.30000000000001"/>
    <n v="112.2"/>
    <n v="103.6"/>
    <n v="112.3"/>
    <n v="114.9"/>
    <n v="120.1"/>
    <n v="119.5"/>
    <n v="117.3"/>
    <n v="119.7"/>
    <n v="117.3"/>
    <n v="119.3"/>
    <n v="113.9"/>
    <n v="114.4"/>
    <n v="114.9"/>
    <n v="112.8"/>
    <n v="112.2"/>
    <n v="111.4"/>
    <n v="114.3"/>
    <n v="108"/>
    <n v="112.3"/>
    <n v="117"/>
    <x v="51"/>
    <n v="114.4"/>
    <n v="112.2"/>
    <n v="114.3"/>
    <n v="1146.8999999999999"/>
  </r>
  <r>
    <x v="1"/>
    <d v="2014-06-01T00:00:00"/>
    <x v="1"/>
    <s v="June"/>
    <n v="6"/>
    <n v="123.1"/>
    <n v="125.9"/>
    <n v="115.4"/>
    <n v="120.4"/>
    <n v="103.4"/>
    <n v="131.19999999999999"/>
    <n v="137.5"/>
    <n v="112.8"/>
    <n v="101.4"/>
    <n v="118.3"/>
    <n v="113.2"/>
    <n v="122.4"/>
    <n v="122"/>
    <n v="119"/>
    <n v="117.4"/>
    <n v="113.2"/>
    <n v="116.7"/>
    <n v="113.9"/>
    <n v="111.2"/>
    <n v="114.3"/>
    <n v="111.4"/>
    <n v="111.5"/>
    <n v="111.8"/>
    <n v="115.1"/>
    <n v="108.7"/>
    <n v="112.2"/>
    <n v="116.4"/>
    <x v="52"/>
    <n v="111.2"/>
    <n v="111.5"/>
    <n v="115.1"/>
    <n v="1138.5999999999999"/>
  </r>
  <r>
    <x v="2"/>
    <d v="2014-06-01T00:00:00"/>
    <x v="1"/>
    <s v="June"/>
    <n v="6"/>
    <n v="121.5"/>
    <n v="123.1"/>
    <n v="115.8"/>
    <n v="119.7"/>
    <n v="107.8"/>
    <n v="128.30000000000001"/>
    <n v="132.1"/>
    <n v="112.4"/>
    <n v="102.9"/>
    <n v="114.3"/>
    <n v="114.2"/>
    <n v="121.2"/>
    <n v="120.4"/>
    <n v="117.8"/>
    <n v="118.8"/>
    <n v="115.6"/>
    <n v="118.3"/>
    <n v="113.9"/>
    <n v="113.2"/>
    <n v="114.6"/>
    <n v="112.3"/>
    <n v="111.8"/>
    <n v="111.6"/>
    <n v="114.8"/>
    <n v="108.3"/>
    <n v="112.3"/>
    <n v="116.7"/>
    <x v="53"/>
    <n v="113.2"/>
    <n v="111.8"/>
    <n v="114.8"/>
    <n v="1143.5"/>
  </r>
  <r>
    <x v="0"/>
    <d v="2014-07-01T00:00:00"/>
    <x v="1"/>
    <s v="July"/>
    <n v="7"/>
    <n v="121.7"/>
    <n v="122.5"/>
    <n v="117.7"/>
    <n v="120.6"/>
    <n v="110.4"/>
    <n v="129.1"/>
    <n v="150.1"/>
    <n v="113.2"/>
    <n v="104.8"/>
    <n v="113.3"/>
    <n v="115.6"/>
    <n v="120.9"/>
    <n v="123.3"/>
    <n v="118"/>
    <n v="120.7"/>
    <n v="118.3"/>
    <n v="120.3"/>
    <n v="114.8"/>
    <n v="115.3"/>
    <n v="115.4"/>
    <n v="113.4"/>
    <n v="113.2"/>
    <n v="111.8"/>
    <n v="115.5"/>
    <n v="108.8"/>
    <n v="113.1"/>
    <n v="119.5"/>
    <x v="54"/>
    <n v="115.3"/>
    <n v="113.2"/>
    <n v="115.5"/>
    <n v="1154.5999999999999"/>
  </r>
  <r>
    <x v="1"/>
    <d v="2014-07-01T00:00:00"/>
    <x v="1"/>
    <s v="July"/>
    <n v="7"/>
    <n v="123.8"/>
    <n v="126.4"/>
    <n v="118"/>
    <n v="121.6"/>
    <n v="103.5"/>
    <n v="133.69999999999999"/>
    <n v="172.4"/>
    <n v="113.1"/>
    <n v="102.7"/>
    <n v="120"/>
    <n v="113.8"/>
    <n v="123.4"/>
    <n v="127.1"/>
    <n v="121"/>
    <n v="118"/>
    <n v="113.6"/>
    <n v="117.4"/>
    <n v="114.8"/>
    <n v="111.6"/>
    <n v="114.9"/>
    <n v="111.5"/>
    <n v="113"/>
    <n v="112.4"/>
    <n v="117.8"/>
    <n v="109.7"/>
    <n v="113.5"/>
    <n v="118.9"/>
    <x v="55"/>
    <n v="111.6"/>
    <n v="113"/>
    <n v="117.8"/>
    <n v="1146.8"/>
  </r>
  <r>
    <x v="2"/>
    <d v="2014-07-01T00:00:00"/>
    <x v="1"/>
    <s v="July"/>
    <n v="7"/>
    <n v="122.4"/>
    <n v="123.9"/>
    <n v="117.8"/>
    <n v="121"/>
    <n v="107.9"/>
    <n v="131.19999999999999"/>
    <n v="157.69999999999999"/>
    <n v="113.2"/>
    <n v="104.1"/>
    <n v="115.5"/>
    <n v="114.8"/>
    <n v="122.1"/>
    <n v="124.7"/>
    <n v="118.8"/>
    <n v="119.6"/>
    <n v="116.3"/>
    <n v="119.1"/>
    <n v="114.8"/>
    <n v="113.9"/>
    <n v="115.2"/>
    <n v="112.7"/>
    <n v="113.1"/>
    <n v="112.1"/>
    <n v="116.8"/>
    <n v="109.2"/>
    <n v="113.3"/>
    <n v="119.2"/>
    <x v="56"/>
    <n v="113.9"/>
    <n v="113.1"/>
    <n v="116.8"/>
    <n v="1151.0999999999999"/>
  </r>
  <r>
    <x v="0"/>
    <d v="2014-08-01T00:00:00"/>
    <x v="1"/>
    <s v="August"/>
    <n v="8"/>
    <n v="121.8"/>
    <n v="122.8"/>
    <n v="117.8"/>
    <n v="121.9"/>
    <n v="110.6"/>
    <n v="129.69999999999999"/>
    <n v="161.1"/>
    <n v="114.1"/>
    <n v="105.1"/>
    <n v="114.6"/>
    <n v="115.8"/>
    <n v="121.7"/>
    <n v="125.3"/>
    <n v="118.8"/>
    <n v="120.9"/>
    <n v="118.8"/>
    <n v="120.7"/>
    <n v="115.5"/>
    <n v="115.4"/>
    <n v="115.9"/>
    <n v="114"/>
    <n v="113.2"/>
    <n v="112.2"/>
    <n v="116.2"/>
    <n v="109.4"/>
    <n v="113.5"/>
    <n v="120.7"/>
    <x v="57"/>
    <n v="115.4"/>
    <n v="113.2"/>
    <n v="116.2"/>
    <n v="1159.7"/>
  </r>
  <r>
    <x v="1"/>
    <d v="2014-08-01T00:00:00"/>
    <x v="1"/>
    <s v="August"/>
    <n v="8"/>
    <n v="124.8"/>
    <n v="127.3"/>
    <n v="116.5"/>
    <n v="122.2"/>
    <n v="103.6"/>
    <n v="132.69999999999999"/>
    <n v="181.9"/>
    <n v="115.2"/>
    <n v="102.7"/>
    <n v="122.1"/>
    <n v="114.4"/>
    <n v="124.7"/>
    <n v="128.9"/>
    <n v="123"/>
    <n v="118.6"/>
    <n v="114.1"/>
    <n v="117.9"/>
    <n v="115.5"/>
    <n v="111.8"/>
    <n v="115.3"/>
    <n v="112.2"/>
    <n v="112.5"/>
    <n v="112.9"/>
    <n v="119.2"/>
    <n v="110.5"/>
    <n v="113.9"/>
    <n v="119.9"/>
    <x v="58"/>
    <n v="111.8"/>
    <n v="112.5"/>
    <n v="119.2"/>
    <n v="1153.9000000000001"/>
  </r>
  <r>
    <x v="2"/>
    <d v="2014-08-01T00:00:00"/>
    <x v="1"/>
    <s v="August"/>
    <n v="8"/>
    <n v="122.7"/>
    <n v="124.4"/>
    <n v="117.3"/>
    <n v="122"/>
    <n v="108"/>
    <n v="131.1"/>
    <n v="168.2"/>
    <n v="114.5"/>
    <n v="104.3"/>
    <n v="117.1"/>
    <n v="115.2"/>
    <n v="123.1"/>
    <n v="126.6"/>
    <n v="119.9"/>
    <n v="120"/>
    <n v="116.8"/>
    <n v="119.6"/>
    <n v="115.5"/>
    <n v="114"/>
    <n v="115.6"/>
    <n v="113.3"/>
    <n v="112.8"/>
    <n v="112.6"/>
    <n v="118"/>
    <n v="109.9"/>
    <n v="113.7"/>
    <n v="120.3"/>
    <x v="59"/>
    <n v="114"/>
    <n v="112.8"/>
    <n v="118"/>
    <n v="1156.9000000000001"/>
  </r>
  <r>
    <x v="0"/>
    <d v="2014-09-01T00:00:00"/>
    <x v="1"/>
    <s v="September"/>
    <n v="9"/>
    <n v="122.3"/>
    <n v="122.4"/>
    <n v="117.8"/>
    <n v="122.7"/>
    <n v="110.4"/>
    <n v="129.80000000000001"/>
    <n v="158.80000000000001"/>
    <n v="115"/>
    <n v="104.7"/>
    <n v="114.9"/>
    <n v="116.5"/>
    <n v="122.6"/>
    <n v="125.3"/>
    <n v="119.5"/>
    <n v="121.7"/>
    <n v="119.2"/>
    <n v="121.3"/>
    <n v="116.1"/>
    <n v="115.8"/>
    <n v="116.7"/>
    <n v="114.5"/>
    <n v="112.8"/>
    <n v="112.6"/>
    <n v="116.6"/>
    <n v="109.1"/>
    <n v="113.7"/>
    <n v="120.9"/>
    <x v="60"/>
    <n v="115.8"/>
    <n v="112.8"/>
    <n v="116.6"/>
    <n v="1164.4000000000001"/>
  </r>
  <r>
    <x v="1"/>
    <d v="2014-09-01T00:00:00"/>
    <x v="1"/>
    <s v="September"/>
    <n v="9"/>
    <n v="124.2"/>
    <n v="125.4"/>
    <n v="116.4"/>
    <n v="122.7"/>
    <n v="103.5"/>
    <n v="124.5"/>
    <n v="168.6"/>
    <n v="116.9"/>
    <n v="101.9"/>
    <n v="122.9"/>
    <n v="114.8"/>
    <n v="125.2"/>
    <n v="126.7"/>
    <n v="124.3"/>
    <n v="119.2"/>
    <n v="114.5"/>
    <n v="118.4"/>
    <n v="116.1"/>
    <n v="111.8"/>
    <n v="115.5"/>
    <n v="112.3"/>
    <n v="111.2"/>
    <n v="113.4"/>
    <n v="120"/>
    <n v="110"/>
    <n v="113.6"/>
    <n v="119.2"/>
    <x v="61"/>
    <n v="111.8"/>
    <n v="111.2"/>
    <n v="120"/>
    <n v="1157.2999999999997"/>
  </r>
  <r>
    <x v="2"/>
    <d v="2014-09-01T00:00:00"/>
    <x v="1"/>
    <s v="September"/>
    <n v="9"/>
    <n v="122.9"/>
    <n v="123.5"/>
    <n v="117.3"/>
    <n v="122.7"/>
    <n v="107.9"/>
    <n v="127.3"/>
    <n v="162.1"/>
    <n v="115.6"/>
    <n v="103.8"/>
    <n v="117.6"/>
    <n v="115.8"/>
    <n v="123.8"/>
    <n v="125.8"/>
    <n v="120.8"/>
    <n v="120.7"/>
    <n v="117.2"/>
    <n v="120.1"/>
    <n v="116.1"/>
    <n v="114.3"/>
    <n v="116.1"/>
    <n v="113.7"/>
    <n v="112"/>
    <n v="113.1"/>
    <n v="118.6"/>
    <n v="109.5"/>
    <n v="113.7"/>
    <n v="120.1"/>
    <x v="62"/>
    <n v="114.3"/>
    <n v="112"/>
    <n v="118.6"/>
    <n v="1161.0000000000002"/>
  </r>
  <r>
    <x v="0"/>
    <d v="2014-10-01T00:00:00"/>
    <x v="1"/>
    <s v="October"/>
    <n v="10"/>
    <n v="122.6"/>
    <n v="122.5"/>
    <n v="118.3"/>
    <n v="123.2"/>
    <n v="110.5"/>
    <n v="128.9"/>
    <n v="155.30000000000001"/>
    <n v="115.5"/>
    <n v="104"/>
    <n v="115.3"/>
    <n v="116.8"/>
    <n v="123.2"/>
    <n v="125.1"/>
    <n v="120"/>
    <n v="122.7"/>
    <n v="120.3"/>
    <n v="122.3"/>
    <n v="116.7"/>
    <n v="116.4"/>
    <n v="117.5"/>
    <n v="115.3"/>
    <n v="112.6"/>
    <n v="113"/>
    <n v="116.9"/>
    <n v="109.3"/>
    <n v="114"/>
    <n v="121"/>
    <x v="63"/>
    <n v="116.4"/>
    <n v="112.6"/>
    <n v="116.9"/>
    <n v="1171.0999999999999"/>
  </r>
  <r>
    <x v="1"/>
    <d v="2014-10-01T00:00:00"/>
    <x v="1"/>
    <s v="October"/>
    <n v="10"/>
    <n v="124.6"/>
    <n v="126.1"/>
    <n v="117.8"/>
    <n v="123.1"/>
    <n v="103.5"/>
    <n v="123.5"/>
    <n v="159.6"/>
    <n v="117.4"/>
    <n v="101.2"/>
    <n v="123.8"/>
    <n v="115.2"/>
    <n v="125.9"/>
    <n v="125.8"/>
    <n v="124.3"/>
    <n v="119.6"/>
    <n v="114.9"/>
    <n v="118.9"/>
    <n v="116.7"/>
    <n v="112"/>
    <n v="115.8"/>
    <n v="112.6"/>
    <n v="111"/>
    <n v="113.6"/>
    <n v="120.2"/>
    <n v="110.1"/>
    <n v="113.7"/>
    <n v="119.1"/>
    <x v="64"/>
    <n v="112"/>
    <n v="111"/>
    <n v="120.2"/>
    <n v="1160.2"/>
  </r>
  <r>
    <x v="2"/>
    <d v="2014-10-01T00:00:00"/>
    <x v="1"/>
    <s v="October"/>
    <n v="10"/>
    <n v="123.2"/>
    <n v="123.8"/>
    <n v="118.1"/>
    <n v="123.2"/>
    <n v="107.9"/>
    <n v="126.4"/>
    <n v="156.80000000000001"/>
    <n v="116.1"/>
    <n v="103.1"/>
    <n v="118.1"/>
    <n v="116.1"/>
    <n v="124.5"/>
    <n v="125.4"/>
    <n v="121.1"/>
    <n v="121.5"/>
    <n v="118.1"/>
    <n v="121"/>
    <n v="116.7"/>
    <n v="114.7"/>
    <n v="116.7"/>
    <n v="114.3"/>
    <n v="111.8"/>
    <n v="113.3"/>
    <n v="118.8"/>
    <n v="109.6"/>
    <n v="113.9"/>
    <n v="120.1"/>
    <x v="65"/>
    <n v="114.7"/>
    <n v="111.8"/>
    <n v="118.8"/>
    <n v="1166.2"/>
  </r>
  <r>
    <x v="0"/>
    <d v="2014-11-01T00:00:00"/>
    <x v="1"/>
    <s v="November"/>
    <n v="11"/>
    <n v="122.7"/>
    <n v="122.6"/>
    <n v="119.9"/>
    <n v="124"/>
    <n v="110.5"/>
    <n v="128.80000000000001"/>
    <n v="152"/>
    <n v="116.2"/>
    <n v="103.3"/>
    <n v="115.8"/>
    <n v="116.8"/>
    <n v="124.5"/>
    <n v="124.9"/>
    <n v="120.8"/>
    <n v="123.3"/>
    <n v="120.5"/>
    <n v="122.9"/>
    <n v="117.1"/>
    <n v="117.3"/>
    <n v="118.1"/>
    <n v="115.9"/>
    <n v="112"/>
    <n v="113.3"/>
    <n v="117.2"/>
    <n v="108.8"/>
    <n v="114.1"/>
    <n v="121.1"/>
    <x v="66"/>
    <n v="117.3"/>
    <n v="112"/>
    <n v="117.2"/>
    <n v="1174.8"/>
  </r>
  <r>
    <x v="1"/>
    <d v="2014-11-01T00:00:00"/>
    <x v="1"/>
    <s v="November"/>
    <n v="11"/>
    <n v="124.5"/>
    <n v="125.6"/>
    <n v="122.7"/>
    <n v="124.6"/>
    <n v="103.2"/>
    <n v="122.2"/>
    <n v="153.19999999999999"/>
    <n v="119.3"/>
    <n v="99.8"/>
    <n v="124.6"/>
    <n v="115.8"/>
    <n v="126.9"/>
    <n v="125.4"/>
    <n v="125.8"/>
    <n v="120.3"/>
    <n v="115.4"/>
    <n v="119.5"/>
    <n v="117.1"/>
    <n v="112.6"/>
    <n v="116.4"/>
    <n v="113"/>
    <n v="109.7"/>
    <n v="114"/>
    <n v="120.3"/>
    <n v="109.6"/>
    <n v="113.4"/>
    <n v="119"/>
    <x v="67"/>
    <n v="112.6"/>
    <n v="109.7"/>
    <n v="120.3"/>
    <n v="1164.5"/>
  </r>
  <r>
    <x v="2"/>
    <d v="2014-11-01T00:00:00"/>
    <x v="1"/>
    <s v="November"/>
    <n v="11"/>
    <n v="123.3"/>
    <n v="123.7"/>
    <n v="121"/>
    <n v="124.2"/>
    <n v="107.8"/>
    <n v="125.7"/>
    <n v="152.4"/>
    <n v="117.2"/>
    <n v="102.1"/>
    <n v="118.7"/>
    <n v="116.4"/>
    <n v="125.6"/>
    <n v="125.1"/>
    <n v="122.1"/>
    <n v="122.1"/>
    <n v="118.4"/>
    <n v="121.6"/>
    <n v="117.1"/>
    <n v="115.5"/>
    <n v="117.3"/>
    <n v="114.8"/>
    <n v="110.8"/>
    <n v="113.7"/>
    <n v="119"/>
    <n v="109.1"/>
    <n v="113.8"/>
    <n v="120.1"/>
    <x v="60"/>
    <n v="115.5"/>
    <n v="110.8"/>
    <n v="119"/>
    <n v="1170"/>
  </r>
  <r>
    <x v="0"/>
    <d v="2014-12-01T00:00:00"/>
    <x v="1"/>
    <s v="December"/>
    <n v="12"/>
    <n v="122.4"/>
    <n v="122.4"/>
    <n v="121.8"/>
    <n v="124.2"/>
    <n v="110.2"/>
    <n v="128.6"/>
    <n v="140.30000000000001"/>
    <n v="116.3"/>
    <n v="102"/>
    <n v="116"/>
    <n v="117.3"/>
    <n v="124.8"/>
    <n v="123.3"/>
    <n v="121.7"/>
    <n v="123.8"/>
    <n v="120.6"/>
    <n v="123.3"/>
    <n v="116.5"/>
    <n v="117.4"/>
    <n v="118.2"/>
    <n v="116.2"/>
    <n v="111.5"/>
    <n v="113.3"/>
    <n v="117.7"/>
    <n v="109.4"/>
    <n v="114.2"/>
    <n v="120.3"/>
    <x v="68"/>
    <n v="117.4"/>
    <n v="111.5"/>
    <n v="117.7"/>
    <n v="1177.2000000000003"/>
  </r>
  <r>
    <x v="1"/>
    <d v="2014-12-01T00:00:00"/>
    <x v="1"/>
    <s v="December"/>
    <n v="12"/>
    <n v="124"/>
    <n v="124.7"/>
    <n v="126.3"/>
    <n v="124.9"/>
    <n v="103"/>
    <n v="122.3"/>
    <n v="141"/>
    <n v="120.1"/>
    <n v="97.8"/>
    <n v="125.4"/>
    <n v="116.1"/>
    <n v="127.6"/>
    <n v="124"/>
    <n v="126.4"/>
    <n v="120.7"/>
    <n v="115.8"/>
    <n v="120"/>
    <n v="116.5"/>
    <n v="113"/>
    <n v="116.8"/>
    <n v="113.2"/>
    <n v="108.8"/>
    <n v="114.3"/>
    <n v="120.7"/>
    <n v="110.4"/>
    <n v="113.4"/>
    <n v="118.4"/>
    <x v="69"/>
    <n v="113"/>
    <n v="108.8"/>
    <n v="120.7"/>
    <n v="1167.5000000000002"/>
  </r>
  <r>
    <x v="2"/>
    <d v="2014-12-01T00:00:00"/>
    <x v="1"/>
    <s v="December"/>
    <n v="12"/>
    <n v="122.9"/>
    <n v="123.2"/>
    <n v="123.5"/>
    <n v="124.5"/>
    <n v="107.6"/>
    <n v="125.7"/>
    <n v="140.5"/>
    <n v="117.6"/>
    <n v="100.6"/>
    <n v="119.1"/>
    <n v="116.8"/>
    <n v="126.1"/>
    <n v="123.6"/>
    <n v="123"/>
    <n v="122.6"/>
    <n v="118.6"/>
    <n v="122"/>
    <n v="116.5"/>
    <n v="115.7"/>
    <n v="117.5"/>
    <n v="115.1"/>
    <n v="110.1"/>
    <n v="113.9"/>
    <n v="119.5"/>
    <n v="109.8"/>
    <n v="113.8"/>
    <n v="119.4"/>
    <x v="70"/>
    <n v="115.7"/>
    <n v="110.1"/>
    <n v="119.5"/>
    <n v="1172.8"/>
  </r>
  <r>
    <x v="0"/>
    <d v="2015-01-01T00:00:00"/>
    <x v="2"/>
    <s v="January"/>
    <n v="1"/>
    <n v="123.1"/>
    <n v="123.1"/>
    <n v="122.1"/>
    <n v="124.9"/>
    <n v="111"/>
    <n v="130.4"/>
    <n v="132.30000000000001"/>
    <n v="117.2"/>
    <n v="100.5"/>
    <n v="117.2"/>
    <n v="117.9"/>
    <n v="125.6"/>
    <n v="122.8"/>
    <n v="122.7"/>
    <n v="124.4"/>
    <n v="121.6"/>
    <n v="124"/>
    <n v="117.3"/>
    <n v="118.4"/>
    <n v="118.9"/>
    <n v="116.6"/>
    <n v="111"/>
    <n v="114"/>
    <n v="118.2"/>
    <n v="110.2"/>
    <n v="114.5"/>
    <n v="120.3"/>
    <x v="71"/>
    <n v="118.4"/>
    <n v="111"/>
    <n v="118.2"/>
    <n v="1184.2"/>
  </r>
  <r>
    <x v="1"/>
    <d v="2015-01-01T00:00:00"/>
    <x v="2"/>
    <s v="January"/>
    <n v="1"/>
    <n v="124"/>
    <n v="125.5"/>
    <n v="126.6"/>
    <n v="125.2"/>
    <n v="104.3"/>
    <n v="121.3"/>
    <n v="134.4"/>
    <n v="122.9"/>
    <n v="96.1"/>
    <n v="126.6"/>
    <n v="116.5"/>
    <n v="128"/>
    <n v="123.5"/>
    <n v="127.4"/>
    <n v="121"/>
    <n v="116.1"/>
    <n v="120.2"/>
    <n v="117.3"/>
    <n v="113.4"/>
    <n v="117.2"/>
    <n v="113.7"/>
    <n v="107.9"/>
    <n v="114.6"/>
    <n v="120.8"/>
    <n v="111.4"/>
    <n v="113.4"/>
    <n v="118.5"/>
    <x v="72"/>
    <n v="113.4"/>
    <n v="107.9"/>
    <n v="120.8"/>
    <n v="1172.3000000000002"/>
  </r>
  <r>
    <x v="2"/>
    <d v="2015-01-01T00:00:00"/>
    <x v="2"/>
    <s v="January"/>
    <n v="1"/>
    <n v="123.4"/>
    <n v="123.9"/>
    <n v="123.8"/>
    <n v="125"/>
    <n v="108.5"/>
    <n v="126.2"/>
    <n v="133"/>
    <n v="119.1"/>
    <n v="99"/>
    <n v="120.3"/>
    <n v="117.3"/>
    <n v="126.7"/>
    <n v="123.1"/>
    <n v="124"/>
    <n v="123.1"/>
    <n v="119.3"/>
    <n v="122.5"/>
    <n v="117.3"/>
    <n v="116.5"/>
    <n v="118.1"/>
    <n v="115.5"/>
    <n v="109.4"/>
    <n v="114.3"/>
    <n v="119.7"/>
    <n v="110.7"/>
    <n v="114"/>
    <n v="119.5"/>
    <x v="73"/>
    <n v="116.5"/>
    <n v="109.4"/>
    <n v="119.7"/>
    <n v="1178.8"/>
  </r>
  <r>
    <x v="0"/>
    <d v="2015-02-01T00:00:00"/>
    <x v="2"/>
    <s v="February"/>
    <n v="2"/>
    <n v="123.4"/>
    <n v="124.4"/>
    <n v="122.1"/>
    <n v="125.8"/>
    <n v="111.5"/>
    <n v="129.4"/>
    <n v="128.19999999999999"/>
    <n v="118.8"/>
    <n v="100"/>
    <n v="118.6"/>
    <n v="118.8"/>
    <n v="126.8"/>
    <n v="122.8"/>
    <n v="124.2"/>
    <n v="125.4"/>
    <n v="122.7"/>
    <n v="125"/>
    <n v="118.1"/>
    <n v="120"/>
    <n v="119.6"/>
    <n v="117.7"/>
    <n v="110.9"/>
    <n v="114.8"/>
    <n v="118.7"/>
    <n v="110.8"/>
    <n v="115"/>
    <n v="120.6"/>
    <x v="74"/>
    <n v="120"/>
    <n v="110.9"/>
    <n v="118.7"/>
    <n v="1193.3"/>
  </r>
  <r>
    <x v="1"/>
    <d v="2015-02-01T00:00:00"/>
    <x v="2"/>
    <s v="February"/>
    <n v="2"/>
    <n v="124.3"/>
    <n v="126.5"/>
    <n v="119.5"/>
    <n v="125.6"/>
    <n v="104.9"/>
    <n v="121.6"/>
    <n v="131.80000000000001"/>
    <n v="125.1"/>
    <n v="95"/>
    <n v="127.7"/>
    <n v="116.8"/>
    <n v="128.6"/>
    <n v="123.7"/>
    <n v="128.1"/>
    <n v="121.3"/>
    <n v="116.5"/>
    <n v="120.6"/>
    <n v="118.1"/>
    <n v="114"/>
    <n v="117.7"/>
    <n v="114.1"/>
    <n v="106.8"/>
    <n v="114.9"/>
    <n v="120.4"/>
    <n v="111.7"/>
    <n v="113.2"/>
    <n v="118.7"/>
    <x v="75"/>
    <n v="114"/>
    <n v="106.8"/>
    <n v="120.4"/>
    <n v="1176.2"/>
  </r>
  <r>
    <x v="2"/>
    <d v="2015-02-01T00:00:00"/>
    <x v="2"/>
    <s v="February"/>
    <n v="2"/>
    <n v="123.7"/>
    <n v="125.1"/>
    <n v="121.1"/>
    <n v="125.7"/>
    <n v="109.1"/>
    <n v="125.8"/>
    <n v="129.4"/>
    <n v="120.9"/>
    <n v="98.3"/>
    <n v="121.6"/>
    <n v="118"/>
    <n v="127.6"/>
    <n v="123.1"/>
    <n v="125.2"/>
    <n v="123.8"/>
    <n v="120.1"/>
    <n v="123.3"/>
    <n v="118.1"/>
    <n v="117.7"/>
    <n v="118.7"/>
    <n v="116.3"/>
    <n v="108.7"/>
    <n v="114.9"/>
    <n v="119.7"/>
    <n v="111.2"/>
    <n v="114.1"/>
    <n v="119.7"/>
    <x v="76"/>
    <n v="117.7"/>
    <n v="108.7"/>
    <n v="119.7"/>
    <n v="1185.6999999999998"/>
  </r>
  <r>
    <x v="0"/>
    <d v="2015-03-01T00:00:00"/>
    <x v="2"/>
    <s v="March"/>
    <n v="3"/>
    <n v="123.3"/>
    <n v="124.7"/>
    <n v="118.9"/>
    <n v="126"/>
    <n v="111.8"/>
    <n v="130.9"/>
    <n v="128"/>
    <n v="119.9"/>
    <n v="98.9"/>
    <n v="119.4"/>
    <n v="118.9"/>
    <n v="127.7"/>
    <n v="123.1"/>
    <n v="124.7"/>
    <n v="126"/>
    <n v="122.9"/>
    <n v="125.5"/>
    <n v="118.6"/>
    <n v="120.6"/>
    <n v="120.2"/>
    <n v="118.2"/>
    <n v="111.6"/>
    <n v="115.5"/>
    <n v="119.4"/>
    <n v="110.8"/>
    <n v="115.5"/>
    <n v="121.1"/>
    <x v="77"/>
    <n v="120.6"/>
    <n v="111.6"/>
    <n v="119.4"/>
    <n v="1197.9000000000001"/>
  </r>
  <r>
    <x v="1"/>
    <d v="2015-03-01T00:00:00"/>
    <x v="2"/>
    <s v="March"/>
    <n v="3"/>
    <n v="124"/>
    <n v="126.7"/>
    <n v="113.5"/>
    <n v="125.9"/>
    <n v="104.8"/>
    <n v="123.8"/>
    <n v="131.4"/>
    <n v="127.2"/>
    <n v="93.2"/>
    <n v="127.4"/>
    <n v="117"/>
    <n v="129.19999999999999"/>
    <n v="123.9"/>
    <n v="128.80000000000001"/>
    <n v="121.7"/>
    <n v="116.9"/>
    <n v="120.9"/>
    <n v="118.6"/>
    <n v="114.4"/>
    <n v="118"/>
    <n v="114.3"/>
    <n v="108.4"/>
    <n v="115.4"/>
    <n v="120.6"/>
    <n v="111.3"/>
    <n v="113.8"/>
    <n v="119.1"/>
    <x v="78"/>
    <n v="114.4"/>
    <n v="108.4"/>
    <n v="120.6"/>
    <n v="1179.6999999999998"/>
  </r>
  <r>
    <x v="2"/>
    <d v="2015-03-01T00:00:00"/>
    <x v="2"/>
    <s v="March"/>
    <n v="3"/>
    <n v="123.5"/>
    <n v="125.4"/>
    <n v="116.8"/>
    <n v="126"/>
    <n v="109.2"/>
    <n v="127.6"/>
    <n v="129.19999999999999"/>
    <n v="122.4"/>
    <n v="97"/>
    <n v="122.1"/>
    <n v="118.1"/>
    <n v="128.4"/>
    <n v="123.4"/>
    <n v="125.8"/>
    <n v="124.3"/>
    <n v="120.4"/>
    <n v="123.7"/>
    <n v="118.6"/>
    <n v="118.3"/>
    <n v="119.2"/>
    <n v="116.7"/>
    <n v="109.9"/>
    <n v="115.4"/>
    <n v="120.1"/>
    <n v="111"/>
    <n v="114.7"/>
    <n v="120.2"/>
    <x v="79"/>
    <n v="118.3"/>
    <n v="109.9"/>
    <n v="120.1"/>
    <n v="1189.8"/>
  </r>
  <r>
    <x v="0"/>
    <d v="2015-04-01T00:00:00"/>
    <x v="2"/>
    <s v="April"/>
    <n v="4"/>
    <n v="123.3"/>
    <n v="125.5"/>
    <n v="117.2"/>
    <n v="126.8"/>
    <n v="111.9"/>
    <n v="134.19999999999999"/>
    <n v="127.5"/>
    <n v="121.5"/>
    <n v="97.8"/>
    <n v="119.8"/>
    <n v="119.4"/>
    <n v="128.69999999999999"/>
    <n v="123.6"/>
    <n v="125.7"/>
    <n v="126.4"/>
    <n v="123.3"/>
    <n v="126"/>
    <n v="119.2"/>
    <n v="121.2"/>
    <n v="120.9"/>
    <n v="118.6"/>
    <n v="111.9"/>
    <n v="116.2"/>
    <n v="119.9"/>
    <n v="111.6"/>
    <n v="116"/>
    <n v="121.5"/>
    <x v="80"/>
    <n v="121.2"/>
    <n v="111.9"/>
    <n v="119.9"/>
    <n v="1203.9000000000001"/>
  </r>
  <r>
    <x v="1"/>
    <d v="2015-04-01T00:00:00"/>
    <x v="2"/>
    <s v="April"/>
    <n v="4"/>
    <n v="123.8"/>
    <n v="128.19999999999999"/>
    <n v="110"/>
    <n v="126.3"/>
    <n v="104.5"/>
    <n v="130.6"/>
    <n v="130.80000000000001"/>
    <n v="131.30000000000001"/>
    <n v="91.6"/>
    <n v="127.7"/>
    <n v="117.2"/>
    <n v="129.5"/>
    <n v="124.6"/>
    <n v="130.1"/>
    <n v="122.1"/>
    <n v="117.2"/>
    <n v="121.3"/>
    <n v="119.2"/>
    <n v="114.7"/>
    <n v="118.4"/>
    <n v="114.6"/>
    <n v="108.4"/>
    <n v="115.6"/>
    <n v="121.7"/>
    <n v="111.8"/>
    <n v="114.2"/>
    <n v="119.7"/>
    <x v="81"/>
    <n v="114.7"/>
    <n v="108.4"/>
    <n v="121.7"/>
    <n v="1184.5"/>
  </r>
  <r>
    <x v="2"/>
    <d v="2015-04-01T00:00:00"/>
    <x v="2"/>
    <s v="April"/>
    <n v="4"/>
    <n v="123.5"/>
    <n v="126.4"/>
    <n v="114.4"/>
    <n v="126.6"/>
    <n v="109.2"/>
    <n v="132.5"/>
    <n v="128.6"/>
    <n v="124.8"/>
    <n v="95.7"/>
    <n v="122.4"/>
    <n v="118.5"/>
    <n v="129.1"/>
    <n v="124"/>
    <n v="126.9"/>
    <n v="124.7"/>
    <n v="120.8"/>
    <n v="124.1"/>
    <n v="119.2"/>
    <n v="118.7"/>
    <n v="119.7"/>
    <n v="117.1"/>
    <n v="110.1"/>
    <n v="115.9"/>
    <n v="121"/>
    <n v="111.7"/>
    <n v="115.1"/>
    <n v="120.7"/>
    <x v="82"/>
    <n v="118.7"/>
    <n v="110.1"/>
    <n v="121"/>
    <n v="1195.2"/>
  </r>
  <r>
    <x v="0"/>
    <d v="2015-05-01T00:00:00"/>
    <x v="2"/>
    <s v="May"/>
    <n v="5"/>
    <n v="123.5"/>
    <n v="127.1"/>
    <n v="117.3"/>
    <n v="127.7"/>
    <n v="112.5"/>
    <n v="134.1"/>
    <n v="128.5"/>
    <n v="124.3"/>
    <n v="97.6"/>
    <n v="120.7"/>
    <n v="120.2"/>
    <n v="129.80000000000001"/>
    <n v="124.4"/>
    <n v="126.7"/>
    <n v="127.3"/>
    <n v="124.1"/>
    <n v="126.8"/>
    <n v="119.6"/>
    <n v="121.9"/>
    <n v="121.5"/>
    <n v="119.4"/>
    <n v="113.3"/>
    <n v="116.7"/>
    <n v="120.5"/>
    <n v="112.3"/>
    <n v="116.9"/>
    <n v="122.4"/>
    <x v="83"/>
    <n v="121.9"/>
    <n v="113.3"/>
    <n v="120.5"/>
    <n v="1211.3000000000002"/>
  </r>
  <r>
    <x v="1"/>
    <d v="2015-05-01T00:00:00"/>
    <x v="2"/>
    <s v="May"/>
    <n v="5"/>
    <n v="123.8"/>
    <n v="129.69999999999999"/>
    <n v="111.3"/>
    <n v="126.6"/>
    <n v="105.2"/>
    <n v="130.80000000000001"/>
    <n v="135.6"/>
    <n v="142.6"/>
    <n v="90.8"/>
    <n v="128.80000000000001"/>
    <n v="117.7"/>
    <n v="129.9"/>
    <n v="126.1"/>
    <n v="131.30000000000001"/>
    <n v="122.4"/>
    <n v="117.4"/>
    <n v="121.6"/>
    <n v="119.6"/>
    <n v="114.9"/>
    <n v="118.7"/>
    <n v="114.9"/>
    <n v="110.8"/>
    <n v="116"/>
    <n v="122"/>
    <n v="112.4"/>
    <n v="115.2"/>
    <n v="120.7"/>
    <x v="84"/>
    <n v="114.9"/>
    <n v="110.8"/>
    <n v="122"/>
    <n v="1189.5000000000002"/>
  </r>
  <r>
    <x v="2"/>
    <d v="2015-05-01T00:00:00"/>
    <x v="2"/>
    <s v="May"/>
    <n v="5"/>
    <n v="123.6"/>
    <n v="128"/>
    <n v="115"/>
    <n v="127.3"/>
    <n v="109.8"/>
    <n v="132.6"/>
    <n v="130.9"/>
    <n v="130.5"/>
    <n v="95.3"/>
    <n v="123.4"/>
    <n v="119.2"/>
    <n v="129.80000000000001"/>
    <n v="125"/>
    <n v="127.9"/>
    <n v="125.4"/>
    <n v="121.3"/>
    <n v="124.7"/>
    <n v="119.6"/>
    <n v="119.2"/>
    <n v="120.2"/>
    <n v="117.7"/>
    <n v="112"/>
    <n v="116.3"/>
    <n v="121.4"/>
    <n v="112.3"/>
    <n v="116.1"/>
    <n v="121.6"/>
    <x v="85"/>
    <n v="119.2"/>
    <n v="112"/>
    <n v="121.4"/>
    <n v="1201.5"/>
  </r>
  <r>
    <x v="0"/>
    <d v="2015-06-01T00:00:00"/>
    <x v="2"/>
    <s v="June"/>
    <n v="6"/>
    <n v="124.1"/>
    <n v="130.4"/>
    <n v="122.1"/>
    <n v="128.69999999999999"/>
    <n v="114.1"/>
    <n v="133.19999999999999"/>
    <n v="135.19999999999999"/>
    <n v="131.9"/>
    <n v="96.3"/>
    <n v="123"/>
    <n v="121.1"/>
    <n v="131.19999999999999"/>
    <n v="126.6"/>
    <n v="128.19999999999999"/>
    <n v="128.4"/>
    <n v="125.1"/>
    <n v="128"/>
    <n v="119"/>
    <n v="122.6"/>
    <n v="122.8"/>
    <n v="120.4"/>
    <n v="114.2"/>
    <n v="117.9"/>
    <n v="122"/>
    <n v="113"/>
    <n v="117.9"/>
    <n v="124.1"/>
    <x v="86"/>
    <n v="122.6"/>
    <n v="114.2"/>
    <n v="122"/>
    <n v="1220.7"/>
  </r>
  <r>
    <x v="1"/>
    <d v="2015-06-01T00:00:00"/>
    <x v="2"/>
    <s v="June"/>
    <n v="6"/>
    <n v="123.6"/>
    <n v="134.4"/>
    <n v="120.9"/>
    <n v="127.3"/>
    <n v="106"/>
    <n v="132.30000000000001"/>
    <n v="146.69999999999999"/>
    <n v="148.1"/>
    <n v="89.8"/>
    <n v="130.5"/>
    <n v="118"/>
    <n v="130.5"/>
    <n v="128.5"/>
    <n v="132.1"/>
    <n v="123.2"/>
    <n v="117.6"/>
    <n v="122.3"/>
    <n v="119"/>
    <n v="115.1"/>
    <n v="119.2"/>
    <n v="115.4"/>
    <n v="111.7"/>
    <n v="116.2"/>
    <n v="123.8"/>
    <n v="112.5"/>
    <n v="116"/>
    <n v="121.7"/>
    <x v="87"/>
    <n v="115.1"/>
    <n v="111.7"/>
    <n v="123.8"/>
    <n v="1193.5"/>
  </r>
  <r>
    <x v="2"/>
    <d v="2015-06-01T00:00:00"/>
    <x v="2"/>
    <s v="June"/>
    <n v="6"/>
    <n v="123.9"/>
    <n v="131.80000000000001"/>
    <n v="121.6"/>
    <n v="128.19999999999999"/>
    <n v="111.1"/>
    <n v="132.80000000000001"/>
    <n v="139.1"/>
    <n v="137.4"/>
    <n v="94.1"/>
    <n v="125.5"/>
    <n v="119.8"/>
    <n v="130.9"/>
    <n v="127.3"/>
    <n v="129.19999999999999"/>
    <n v="126.4"/>
    <n v="122"/>
    <n v="125.7"/>
    <n v="119"/>
    <n v="119.8"/>
    <n v="121.1"/>
    <n v="118.5"/>
    <n v="112.9"/>
    <n v="116.9"/>
    <n v="123.1"/>
    <n v="112.8"/>
    <n v="117"/>
    <n v="123"/>
    <x v="88"/>
    <n v="119.8"/>
    <n v="112.9"/>
    <n v="123.1"/>
    <n v="1208.5999999999999"/>
  </r>
  <r>
    <x v="0"/>
    <d v="2015-07-01T00:00:00"/>
    <x v="2"/>
    <s v="July"/>
    <n v="7"/>
    <n v="124"/>
    <n v="131.5"/>
    <n v="122"/>
    <n v="128.69999999999999"/>
    <n v="113.5"/>
    <n v="133.30000000000001"/>
    <n v="140.80000000000001"/>
    <n v="133.80000000000001"/>
    <n v="94.1"/>
    <n v="123.4"/>
    <n v="121"/>
    <n v="131.69999999999999"/>
    <n v="127.5"/>
    <n v="129.4"/>
    <n v="128.80000000000001"/>
    <n v="125.5"/>
    <n v="128.30000000000001"/>
    <n v="119.9"/>
    <n v="123"/>
    <n v="123"/>
    <n v="120.8"/>
    <n v="114.1"/>
    <n v="118"/>
    <n v="122.9"/>
    <n v="112.7"/>
    <n v="118.1"/>
    <n v="124.7"/>
    <x v="89"/>
    <n v="123"/>
    <n v="114.1"/>
    <n v="122.9"/>
    <n v="1224.4999999999998"/>
  </r>
  <r>
    <x v="1"/>
    <d v="2015-07-01T00:00:00"/>
    <x v="2"/>
    <s v="July"/>
    <n v="7"/>
    <n v="123.2"/>
    <n v="134.30000000000001"/>
    <n v="119.5"/>
    <n v="127.7"/>
    <n v="106.3"/>
    <n v="132.80000000000001"/>
    <n v="153.5"/>
    <n v="149.5"/>
    <n v="85.7"/>
    <n v="131.5"/>
    <n v="118.3"/>
    <n v="131.1"/>
    <n v="129.5"/>
    <n v="133.1"/>
    <n v="123.5"/>
    <n v="117.9"/>
    <n v="122.7"/>
    <n v="119.9"/>
    <n v="115.3"/>
    <n v="119.5"/>
    <n v="116"/>
    <n v="111.5"/>
    <n v="116.6"/>
    <n v="125.4"/>
    <n v="111.7"/>
    <n v="116.3"/>
    <n v="122.4"/>
    <x v="90"/>
    <n v="115.3"/>
    <n v="111.5"/>
    <n v="125.4"/>
    <n v="1197.2"/>
  </r>
  <r>
    <x v="2"/>
    <d v="2015-07-01T00:00:00"/>
    <x v="2"/>
    <s v="July"/>
    <n v="7"/>
    <n v="123.7"/>
    <n v="132.5"/>
    <n v="121"/>
    <n v="128.30000000000001"/>
    <n v="110.9"/>
    <n v="133.1"/>
    <n v="145.1"/>
    <n v="139.1"/>
    <n v="91.3"/>
    <n v="126.1"/>
    <n v="119.9"/>
    <n v="131.4"/>
    <n v="128.19999999999999"/>
    <n v="130.4"/>
    <n v="126.7"/>
    <n v="122.3"/>
    <n v="126.1"/>
    <n v="119.9"/>
    <n v="120.1"/>
    <n v="121.3"/>
    <n v="119"/>
    <n v="112.7"/>
    <n v="117.2"/>
    <n v="124.4"/>
    <n v="112.3"/>
    <n v="117.2"/>
    <n v="123.6"/>
    <x v="91"/>
    <n v="120.1"/>
    <n v="112.7"/>
    <n v="124.4"/>
    <n v="1212.4000000000001"/>
  </r>
  <r>
    <x v="0"/>
    <d v="2015-08-01T00:00:00"/>
    <x v="2"/>
    <s v="August"/>
    <n v="8"/>
    <n v="124.7"/>
    <n v="131.30000000000001"/>
    <n v="121.3"/>
    <n v="128.80000000000001"/>
    <n v="114"/>
    <n v="134.19999999999999"/>
    <n v="153.6"/>
    <n v="137.9"/>
    <n v="93.1"/>
    <n v="123.9"/>
    <n v="121.5"/>
    <n v="132.5"/>
    <n v="129.80000000000001"/>
    <n v="130.1"/>
    <n v="129.5"/>
    <n v="126.3"/>
    <n v="129"/>
    <n v="120.9"/>
    <n v="123.8"/>
    <n v="123.7"/>
    <n v="121.1"/>
    <n v="113.6"/>
    <n v="118.5"/>
    <n v="123.6"/>
    <n v="112.5"/>
    <n v="118.2"/>
    <n v="126.1"/>
    <x v="92"/>
    <n v="123.8"/>
    <n v="113.6"/>
    <n v="123.6"/>
    <n v="1229.8000000000002"/>
  </r>
  <r>
    <x v="1"/>
    <d v="2015-08-01T00:00:00"/>
    <x v="2"/>
    <s v="August"/>
    <n v="8"/>
    <n v="123.1"/>
    <n v="131.69999999999999"/>
    <n v="118.1"/>
    <n v="128"/>
    <n v="106.8"/>
    <n v="130.1"/>
    <n v="165.5"/>
    <n v="156"/>
    <n v="85.3"/>
    <n v="132.69999999999999"/>
    <n v="118.8"/>
    <n v="131.69999999999999"/>
    <n v="131.1"/>
    <n v="134.19999999999999"/>
    <n v="123.7"/>
    <n v="118.2"/>
    <n v="122.9"/>
    <n v="120.9"/>
    <n v="115.3"/>
    <n v="120"/>
    <n v="116.6"/>
    <n v="109.9"/>
    <n v="117.2"/>
    <n v="126.2"/>
    <n v="112"/>
    <n v="116.2"/>
    <n v="123.2"/>
    <x v="93"/>
    <n v="115.3"/>
    <n v="109.9"/>
    <n v="126.2"/>
    <n v="1201.9000000000001"/>
  </r>
  <r>
    <x v="2"/>
    <d v="2015-08-01T00:00:00"/>
    <x v="2"/>
    <s v="August"/>
    <n v="8"/>
    <n v="124.2"/>
    <n v="131.4"/>
    <n v="120.1"/>
    <n v="128.5"/>
    <n v="111.4"/>
    <n v="132.30000000000001"/>
    <n v="157.6"/>
    <n v="144"/>
    <n v="90.5"/>
    <n v="126.8"/>
    <n v="120.4"/>
    <n v="132.1"/>
    <n v="130.30000000000001"/>
    <n v="131.19999999999999"/>
    <n v="127.2"/>
    <n v="122.9"/>
    <n v="126.6"/>
    <n v="120.9"/>
    <n v="120.6"/>
    <n v="122"/>
    <n v="119.4"/>
    <n v="111.7"/>
    <n v="117.8"/>
    <n v="125.1"/>
    <n v="112.3"/>
    <n v="117.2"/>
    <n v="124.8"/>
    <x v="94"/>
    <n v="120.6"/>
    <n v="111.7"/>
    <n v="125.1"/>
    <n v="1217.5"/>
  </r>
  <r>
    <x v="0"/>
    <d v="2015-09-01T00:00:00"/>
    <x v="2"/>
    <s v="September"/>
    <n v="9"/>
    <n v="125.1"/>
    <n v="131.1"/>
    <n v="120.7"/>
    <n v="129.19999999999999"/>
    <n v="114.7"/>
    <n v="132.30000000000001"/>
    <n v="158.9"/>
    <n v="142.1"/>
    <n v="92.5"/>
    <n v="125.4"/>
    <n v="121.9"/>
    <n v="132.69999999999999"/>
    <n v="131"/>
    <n v="131"/>
    <n v="130.4"/>
    <n v="126.8"/>
    <n v="129.9"/>
    <n v="121.6"/>
    <n v="123.7"/>
    <n v="124.5"/>
    <n v="121.4"/>
    <n v="113.8"/>
    <n v="119.6"/>
    <n v="124.5"/>
    <n v="113.7"/>
    <n v="118.8"/>
    <n v="127"/>
    <x v="95"/>
    <n v="123.7"/>
    <n v="113.8"/>
    <n v="124.5"/>
    <n v="1237.7"/>
  </r>
  <r>
    <x v="1"/>
    <d v="2015-09-01T00:00:00"/>
    <x v="2"/>
    <s v="September"/>
    <n v="9"/>
    <n v="123.4"/>
    <n v="129"/>
    <n v="115.6"/>
    <n v="128.30000000000001"/>
    <n v="107"/>
    <n v="124"/>
    <n v="168.5"/>
    <n v="165.4"/>
    <n v="86.3"/>
    <n v="134.4"/>
    <n v="119.1"/>
    <n v="132.30000000000001"/>
    <n v="131.5"/>
    <n v="134.69999999999999"/>
    <n v="124"/>
    <n v="118.6"/>
    <n v="123.2"/>
    <n v="121.6"/>
    <n v="115.1"/>
    <n v="120.4"/>
    <n v="117.1"/>
    <n v="109.1"/>
    <n v="117.3"/>
    <n v="126.5"/>
    <n v="112.9"/>
    <n v="116.2"/>
    <n v="123.5"/>
    <x v="96"/>
    <n v="115.1"/>
    <n v="109.1"/>
    <n v="126.5"/>
    <n v="1206"/>
  </r>
  <r>
    <x v="2"/>
    <d v="2015-09-01T00:00:00"/>
    <x v="2"/>
    <s v="September"/>
    <n v="9"/>
    <n v="124.6"/>
    <n v="130.4"/>
    <n v="118.7"/>
    <n v="128.9"/>
    <n v="111.9"/>
    <n v="128.4"/>
    <n v="162.19999999999999"/>
    <n v="150"/>
    <n v="90.4"/>
    <n v="128.4"/>
    <n v="120.7"/>
    <n v="132.5"/>
    <n v="131.19999999999999"/>
    <n v="132"/>
    <n v="127.9"/>
    <n v="123.4"/>
    <n v="127.2"/>
    <n v="121.6"/>
    <n v="120.4"/>
    <n v="122.6"/>
    <n v="119.8"/>
    <n v="111.3"/>
    <n v="118.3"/>
    <n v="125.7"/>
    <n v="113.4"/>
    <n v="117.5"/>
    <n v="125.4"/>
    <x v="97"/>
    <n v="120.4"/>
    <n v="111.3"/>
    <n v="125.7"/>
    <n v="1223.6999999999998"/>
  </r>
  <r>
    <x v="0"/>
    <d v="2015-10-01T00:00:00"/>
    <x v="2"/>
    <s v="October"/>
    <n v="10"/>
    <n v="125.6"/>
    <n v="130.4"/>
    <n v="120.8"/>
    <n v="129.4"/>
    <n v="115.8"/>
    <n v="133.19999999999999"/>
    <n v="157.69999999999999"/>
    <n v="154.19999999999999"/>
    <n v="93.7"/>
    <n v="126.6"/>
    <n v="122.3"/>
    <n v="133.1"/>
    <n v="131.80000000000001"/>
    <n v="131.5"/>
    <n v="131.1"/>
    <n v="127.3"/>
    <n v="130.6"/>
    <n v="122.4"/>
    <n v="124.4"/>
    <n v="125.1"/>
    <n v="122"/>
    <n v="113.8"/>
    <n v="120.1"/>
    <n v="125.1"/>
    <n v="114.2"/>
    <n v="119.2"/>
    <n v="127.7"/>
    <x v="98"/>
    <n v="124.4"/>
    <n v="113.8"/>
    <n v="125.1"/>
    <n v="1243.5"/>
  </r>
  <r>
    <x v="1"/>
    <d v="2015-10-01T00:00:00"/>
    <x v="2"/>
    <s v="October"/>
    <n v="10"/>
    <n v="123.6"/>
    <n v="128.6"/>
    <n v="115.9"/>
    <n v="128.5"/>
    <n v="109"/>
    <n v="124.1"/>
    <n v="165.8"/>
    <n v="187.2"/>
    <n v="89.4"/>
    <n v="135.80000000000001"/>
    <n v="119.4"/>
    <n v="132.9"/>
    <n v="132.6"/>
    <n v="135.30000000000001"/>
    <n v="124.4"/>
    <n v="118.8"/>
    <n v="123.6"/>
    <n v="122.4"/>
    <n v="114.9"/>
    <n v="120.7"/>
    <n v="117.7"/>
    <n v="109.3"/>
    <n v="117.7"/>
    <n v="126.5"/>
    <n v="113.5"/>
    <n v="116.5"/>
    <n v="124.2"/>
    <x v="99"/>
    <n v="114.9"/>
    <n v="109.3"/>
    <n v="126.5"/>
    <n v="1210.6000000000001"/>
  </r>
  <r>
    <x v="2"/>
    <d v="2015-10-01T00:00:00"/>
    <x v="2"/>
    <s v="October"/>
    <n v="10"/>
    <n v="125"/>
    <n v="129.80000000000001"/>
    <n v="118.9"/>
    <n v="129.1"/>
    <n v="113.3"/>
    <n v="129"/>
    <n v="160.4"/>
    <n v="165.3"/>
    <n v="92.3"/>
    <n v="129.69999999999999"/>
    <n v="121.1"/>
    <n v="133"/>
    <n v="132.1"/>
    <n v="132.5"/>
    <n v="128.5"/>
    <n v="123.8"/>
    <n v="127.8"/>
    <n v="122.4"/>
    <n v="120.8"/>
    <n v="123"/>
    <n v="120.4"/>
    <n v="111.4"/>
    <n v="118.7"/>
    <n v="125.9"/>
    <n v="113.9"/>
    <n v="117.9"/>
    <n v="126.1"/>
    <x v="100"/>
    <n v="120.8"/>
    <n v="111.4"/>
    <n v="125.9"/>
    <n v="1228.9000000000001"/>
  </r>
  <r>
    <x v="0"/>
    <d v="2015-11-01T00:00:00"/>
    <x v="2"/>
    <s v="November"/>
    <n v="11"/>
    <n v="126.1"/>
    <n v="130.6"/>
    <n v="121.7"/>
    <n v="129.5"/>
    <n v="117.8"/>
    <n v="132.1"/>
    <n v="155.19999999999999"/>
    <n v="160.80000000000001"/>
    <n v="94.5"/>
    <n v="128.30000000000001"/>
    <n v="123.1"/>
    <n v="134.19999999999999"/>
    <n v="132.4"/>
    <n v="132.19999999999999"/>
    <n v="132.1"/>
    <n v="128.19999999999999"/>
    <n v="131.5"/>
    <n v="122.9"/>
    <n v="125.6"/>
    <n v="125.6"/>
    <n v="122.6"/>
    <n v="114"/>
    <n v="120.9"/>
    <n v="125.8"/>
    <n v="114.2"/>
    <n v="119.6"/>
    <n v="128.30000000000001"/>
    <x v="101"/>
    <n v="125.6"/>
    <n v="114"/>
    <n v="125.8"/>
    <n v="1249.8"/>
  </r>
  <r>
    <x v="1"/>
    <d v="2015-11-01T00:00:00"/>
    <x v="2"/>
    <s v="November"/>
    <n v="11"/>
    <n v="124"/>
    <n v="129.80000000000001"/>
    <n v="121.5"/>
    <n v="128.6"/>
    <n v="110"/>
    <n v="123.7"/>
    <n v="164.6"/>
    <n v="191.6"/>
    <n v="90.8"/>
    <n v="137.1"/>
    <n v="119.8"/>
    <n v="133.69999999999999"/>
    <n v="133.30000000000001"/>
    <n v="137.6"/>
    <n v="125"/>
    <n v="119.3"/>
    <n v="124.2"/>
    <n v="122.9"/>
    <n v="115.1"/>
    <n v="121"/>
    <n v="118.1"/>
    <n v="109.3"/>
    <n v="117.9"/>
    <n v="126.6"/>
    <n v="113.3"/>
    <n v="116.6"/>
    <n v="124.6"/>
    <x v="102"/>
    <n v="115.1"/>
    <n v="109.3"/>
    <n v="126.6"/>
    <n v="1215.8999999999999"/>
  </r>
  <r>
    <x v="2"/>
    <d v="2015-11-01T00:00:00"/>
    <x v="2"/>
    <s v="November"/>
    <n v="11"/>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x v="103"/>
    <n v="121.6"/>
    <n v="111.5"/>
    <n v="126.3"/>
    <n v="1234.3"/>
  </r>
  <r>
    <x v="0"/>
    <d v="2015-12-01T00:00:00"/>
    <x v="2"/>
    <s v="December"/>
    <n v="12"/>
    <n v="126.3"/>
    <n v="131.30000000000001"/>
    <n v="123.3"/>
    <n v="129.80000000000001"/>
    <n v="118.3"/>
    <n v="131.6"/>
    <n v="145.5"/>
    <n v="162.1"/>
    <n v="95.4"/>
    <n v="128.9"/>
    <n v="123.3"/>
    <n v="135.1"/>
    <n v="131.4"/>
    <n v="133.1"/>
    <n v="132.5"/>
    <n v="128.5"/>
    <n v="131.9"/>
    <n v="122.4"/>
    <n v="125.7"/>
    <n v="126"/>
    <n v="123.1"/>
    <n v="114"/>
    <n v="121.6"/>
    <n v="125.6"/>
    <n v="114.1"/>
    <n v="119.8"/>
    <n v="127.9"/>
    <x v="104"/>
    <n v="125.7"/>
    <n v="114"/>
    <n v="125.6"/>
    <n v="1253"/>
  </r>
  <r>
    <x v="1"/>
    <d v="2015-12-01T00:00:00"/>
    <x v="2"/>
    <s v="December"/>
    <n v="12"/>
    <n v="124.3"/>
    <n v="131.69999999999999"/>
    <n v="127.1"/>
    <n v="128.6"/>
    <n v="110"/>
    <n v="120.8"/>
    <n v="149"/>
    <n v="190.1"/>
    <n v="92.7"/>
    <n v="138.6"/>
    <n v="120.2"/>
    <n v="134.19999999999999"/>
    <n v="131.5"/>
    <n v="138.19999999999999"/>
    <n v="125.4"/>
    <n v="119.5"/>
    <n v="124.5"/>
    <n v="122.4"/>
    <n v="116"/>
    <n v="121"/>
    <n v="118.6"/>
    <n v="109.3"/>
    <n v="118.1"/>
    <n v="126.6"/>
    <n v="113.2"/>
    <n v="116.7"/>
    <n v="124"/>
    <x v="105"/>
    <n v="116"/>
    <n v="109.3"/>
    <n v="126.6"/>
    <n v="1217.6000000000001"/>
  </r>
  <r>
    <x v="2"/>
    <d v="2015-12-01T00:00:00"/>
    <x v="2"/>
    <s v="December"/>
    <n v="12"/>
    <n v="125.7"/>
    <n v="131.4"/>
    <n v="124.8"/>
    <n v="129.4"/>
    <n v="115.3"/>
    <n v="126.6"/>
    <n v="146.69999999999999"/>
    <n v="171.5"/>
    <n v="94.5"/>
    <n v="132.1"/>
    <n v="122"/>
    <n v="134.69999999999999"/>
    <n v="131.4"/>
    <n v="134.5"/>
    <n v="129.69999999999999"/>
    <n v="124.8"/>
    <n v="129"/>
    <n v="122.4"/>
    <n v="122"/>
    <n v="123.6"/>
    <n v="121.4"/>
    <n v="111.5"/>
    <n v="119.6"/>
    <n v="126.2"/>
    <n v="113.7"/>
    <n v="118.3"/>
    <n v="126.1"/>
    <x v="106"/>
    <n v="122"/>
    <n v="111.5"/>
    <n v="126.2"/>
    <n v="1237"/>
  </r>
  <r>
    <x v="0"/>
    <d v="2016-01-01T00:00:00"/>
    <x v="3"/>
    <s v="January"/>
    <n v="1"/>
    <n v="126.8"/>
    <n v="133.19999999999999"/>
    <n v="126.5"/>
    <n v="130.30000000000001"/>
    <n v="118.9"/>
    <n v="131.6"/>
    <n v="140.1"/>
    <n v="163.80000000000001"/>
    <n v="97.7"/>
    <n v="129.6"/>
    <n v="124.3"/>
    <n v="135.9"/>
    <n v="131.4"/>
    <n v="133.6"/>
    <n v="133.19999999999999"/>
    <n v="128.9"/>
    <n v="132.6"/>
    <n v="123.4"/>
    <n v="126.2"/>
    <n v="126.6"/>
    <n v="123.7"/>
    <n v="113.6"/>
    <n v="121.4"/>
    <n v="126.2"/>
    <n v="114.9"/>
    <n v="120.1"/>
    <n v="128.1"/>
    <x v="107"/>
    <n v="126.2"/>
    <n v="113.6"/>
    <n v="126.2"/>
    <n v="1258.3999999999999"/>
  </r>
  <r>
    <x v="1"/>
    <d v="2016-01-01T00:00:00"/>
    <x v="3"/>
    <s v="January"/>
    <n v="1"/>
    <n v="124.7"/>
    <n v="135.9"/>
    <n v="132"/>
    <n v="129.19999999999999"/>
    <n v="109.7"/>
    <n v="119"/>
    <n v="144.1"/>
    <n v="184.2"/>
    <n v="96.7"/>
    <n v="139.5"/>
    <n v="120.5"/>
    <n v="134.69999999999999"/>
    <n v="131.19999999999999"/>
    <n v="139.5"/>
    <n v="125.8"/>
    <n v="119.8"/>
    <n v="124.9"/>
    <n v="123.4"/>
    <n v="116.9"/>
    <n v="121.6"/>
    <n v="119.1"/>
    <n v="108.9"/>
    <n v="118.5"/>
    <n v="126.4"/>
    <n v="114"/>
    <n v="116.8"/>
    <n v="124.2"/>
    <x v="108"/>
    <n v="116.9"/>
    <n v="108.9"/>
    <n v="126.4"/>
    <n v="1223.3999999999999"/>
  </r>
  <r>
    <x v="2"/>
    <d v="2016-01-01T00:00:00"/>
    <x v="3"/>
    <s v="January"/>
    <n v="1"/>
    <n v="126.1"/>
    <n v="134.1"/>
    <n v="128.6"/>
    <n v="129.9"/>
    <n v="115.5"/>
    <n v="125.7"/>
    <n v="141.5"/>
    <n v="170.7"/>
    <n v="97.4"/>
    <n v="132.9"/>
    <n v="122.7"/>
    <n v="135.30000000000001"/>
    <n v="131.30000000000001"/>
    <n v="135.19999999999999"/>
    <n v="130.30000000000001"/>
    <n v="125.1"/>
    <n v="129.5"/>
    <n v="123.4"/>
    <n v="122.7"/>
    <n v="124.2"/>
    <n v="122"/>
    <n v="111.1"/>
    <n v="119.8"/>
    <n v="126.3"/>
    <n v="114.5"/>
    <n v="118.5"/>
    <n v="126.3"/>
    <x v="109"/>
    <n v="122.7"/>
    <n v="111.1"/>
    <n v="126.3"/>
    <n v="1242.5"/>
  </r>
  <r>
    <x v="0"/>
    <d v="2016-02-01T00:00:00"/>
    <x v="3"/>
    <s v="February"/>
    <n v="2"/>
    <n v="127.1"/>
    <n v="133.69999999999999"/>
    <n v="127.7"/>
    <n v="130.69999999999999"/>
    <n v="118.5"/>
    <n v="130.4"/>
    <n v="130.9"/>
    <n v="162.80000000000001"/>
    <n v="98.7"/>
    <n v="130.6"/>
    <n v="124.8"/>
    <n v="136.4"/>
    <n v="130.30000000000001"/>
    <n v="134.4"/>
    <n v="133.9"/>
    <n v="129.80000000000001"/>
    <n v="133.4"/>
    <n v="124.4"/>
    <n v="127.5"/>
    <n v="127.1"/>
    <n v="124.3"/>
    <n v="113.9"/>
    <n v="122.3"/>
    <n v="127.1"/>
    <n v="116.8"/>
    <n v="120.9"/>
    <n v="127.9"/>
    <x v="110"/>
    <n v="127.5"/>
    <n v="113.9"/>
    <n v="127.1"/>
    <n v="1267.3"/>
  </r>
  <r>
    <x v="1"/>
    <d v="2016-02-01T00:00:00"/>
    <x v="3"/>
    <s v="February"/>
    <n v="2"/>
    <n v="124.8"/>
    <n v="135.1"/>
    <n v="130.30000000000001"/>
    <n v="129.6"/>
    <n v="108.4"/>
    <n v="118.6"/>
    <n v="129.19999999999999"/>
    <n v="176.4"/>
    <n v="99.1"/>
    <n v="139.69999999999999"/>
    <n v="120.6"/>
    <n v="135.19999999999999"/>
    <n v="129.1"/>
    <n v="140"/>
    <n v="126.2"/>
    <n v="120.1"/>
    <n v="125.3"/>
    <n v="124.4"/>
    <n v="116"/>
    <n v="121.8"/>
    <n v="119.5"/>
    <n v="109.1"/>
    <n v="118.8"/>
    <n v="126.3"/>
    <n v="116.2"/>
    <n v="117.2"/>
    <n v="123.8"/>
    <x v="111"/>
    <n v="116"/>
    <n v="109.1"/>
    <n v="126.3"/>
    <n v="1229.5"/>
  </r>
  <r>
    <x v="2"/>
    <d v="2016-02-01T00:00:00"/>
    <x v="3"/>
    <s v="February"/>
    <n v="2"/>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x v="112"/>
    <n v="123.1"/>
    <n v="111.4"/>
    <n v="126.6"/>
    <n v="1250.2999999999997"/>
  </r>
  <r>
    <x v="0"/>
    <d v="2016-03-01T00:00:00"/>
    <x v="3"/>
    <s v="March"/>
    <n v="3"/>
    <n v="127.3"/>
    <n v="134.4"/>
    <n v="125.1"/>
    <n v="130.5"/>
    <n v="118.3"/>
    <n v="131.69999999999999"/>
    <n v="130.69999999999999"/>
    <n v="161.19999999999999"/>
    <n v="100.4"/>
    <n v="130.80000000000001"/>
    <n v="124.9"/>
    <n v="137"/>
    <n v="130.4"/>
    <n v="135"/>
    <n v="134.4"/>
    <n v="130.19999999999999"/>
    <n v="133.80000000000001"/>
    <n v="124.9"/>
    <n v="127"/>
    <n v="127.7"/>
    <n v="124.8"/>
    <n v="113.6"/>
    <n v="122.5"/>
    <n v="127.5"/>
    <n v="117.4"/>
    <n v="121.1"/>
    <n v="128"/>
    <x v="113"/>
    <n v="127"/>
    <n v="113.6"/>
    <n v="127.5"/>
    <n v="1271.8"/>
  </r>
  <r>
    <x v="1"/>
    <d v="2016-03-01T00:00:00"/>
    <x v="3"/>
    <s v="March"/>
    <n v="3"/>
    <n v="124.8"/>
    <n v="136.30000000000001"/>
    <n v="123.7"/>
    <n v="129.69999999999999"/>
    <n v="107.9"/>
    <n v="119.9"/>
    <n v="128.1"/>
    <n v="170.3"/>
    <n v="101.8"/>
    <n v="140.1"/>
    <n v="120.7"/>
    <n v="135.4"/>
    <n v="128.9"/>
    <n v="140.6"/>
    <n v="126.4"/>
    <n v="120.3"/>
    <n v="125.5"/>
    <n v="124.9"/>
    <n v="114.8"/>
    <n v="122.3"/>
    <n v="119.7"/>
    <n v="108.5"/>
    <n v="119.1"/>
    <n v="126.4"/>
    <n v="117.1"/>
    <n v="117.3"/>
    <n v="123.8"/>
    <x v="114"/>
    <n v="114.8"/>
    <n v="108.5"/>
    <n v="126.4"/>
    <n v="1233.1999999999998"/>
  </r>
  <r>
    <x v="2"/>
    <d v="2016-03-01T00:00:00"/>
    <x v="3"/>
    <s v="March"/>
    <n v="3"/>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x v="115"/>
    <n v="122.4"/>
    <n v="110.9"/>
    <n v="126.9"/>
    <n v="1254.5"/>
  </r>
  <r>
    <x v="0"/>
    <d v="2016-04-01T00:00:00"/>
    <x v="3"/>
    <s v="April"/>
    <n v="4"/>
    <n v="127.4"/>
    <n v="135.4"/>
    <n v="123.4"/>
    <n v="131.30000000000001"/>
    <n v="118.2"/>
    <n v="138.1"/>
    <n v="134.1"/>
    <n v="162.69999999999999"/>
    <n v="105"/>
    <n v="131.4"/>
    <n v="125.4"/>
    <n v="137.4"/>
    <n v="131.80000000000001"/>
    <n v="135.5"/>
    <n v="135"/>
    <n v="130.6"/>
    <n v="134.4"/>
    <n v="125.6"/>
    <n v="127"/>
    <n v="128"/>
    <n v="125.2"/>
    <n v="114.4"/>
    <n v="123.2"/>
    <n v="127.9"/>
    <n v="118.4"/>
    <n v="121.7"/>
    <n v="129"/>
    <x v="116"/>
    <n v="127"/>
    <n v="114.4"/>
    <n v="127.9"/>
    <n v="1277.6000000000001"/>
  </r>
  <r>
    <x v="1"/>
    <d v="2016-04-01T00:00:00"/>
    <x v="3"/>
    <s v="April"/>
    <n v="4"/>
    <n v="124.9"/>
    <n v="139.30000000000001"/>
    <n v="119.9"/>
    <n v="130.19999999999999"/>
    <n v="108.9"/>
    <n v="131.1"/>
    <n v="136.80000000000001"/>
    <n v="176.9"/>
    <n v="109.1"/>
    <n v="140.4"/>
    <n v="121.1"/>
    <n v="135.9"/>
    <n v="131.80000000000001"/>
    <n v="141.5"/>
    <n v="126.8"/>
    <n v="120.5"/>
    <n v="125.8"/>
    <n v="125.6"/>
    <n v="114.6"/>
    <n v="122.8"/>
    <n v="120"/>
    <n v="110"/>
    <n v="119.5"/>
    <n v="127.6"/>
    <n v="117.6"/>
    <n v="118.2"/>
    <n v="125.3"/>
    <x v="117"/>
    <n v="114.6"/>
    <n v="110"/>
    <n v="127.6"/>
    <n v="1238.3"/>
  </r>
  <r>
    <x v="2"/>
    <d v="2016-04-01T00:00:00"/>
    <x v="3"/>
    <s v="April"/>
    <n v="4"/>
    <n v="126.6"/>
    <n v="136.80000000000001"/>
    <n v="122"/>
    <n v="130.9"/>
    <n v="114.8"/>
    <n v="134.80000000000001"/>
    <n v="135"/>
    <n v="167.5"/>
    <n v="106.4"/>
    <n v="134.4"/>
    <n v="123.6"/>
    <n v="136.69999999999999"/>
    <n v="131.80000000000001"/>
    <n v="137.1"/>
    <n v="131.80000000000001"/>
    <n v="126.4"/>
    <n v="131"/>
    <n v="125.6"/>
    <n v="122.3"/>
    <n v="125.5"/>
    <n v="123.2"/>
    <n v="112.1"/>
    <n v="121.1"/>
    <n v="127.7"/>
    <n v="118.1"/>
    <n v="120"/>
    <n v="127.3"/>
    <x v="118"/>
    <n v="122.3"/>
    <n v="112.1"/>
    <n v="127.7"/>
    <n v="1259.8"/>
  </r>
  <r>
    <x v="0"/>
    <d v="2016-05-01T00:00:00"/>
    <x v="3"/>
    <s v="May"/>
    <n v="5"/>
    <n v="127.6"/>
    <n v="137.5"/>
    <n v="124.4"/>
    <n v="132.4"/>
    <n v="118.2"/>
    <n v="138.1"/>
    <n v="141.80000000000001"/>
    <n v="166"/>
    <n v="107.5"/>
    <n v="132.19999999999999"/>
    <n v="126.1"/>
    <n v="138.30000000000001"/>
    <n v="133.6"/>
    <n v="136"/>
    <n v="135.4"/>
    <n v="131.1"/>
    <n v="134.80000000000001"/>
    <n v="126"/>
    <n v="127.4"/>
    <n v="128.5"/>
    <n v="125.8"/>
    <n v="115.1"/>
    <n v="123.6"/>
    <n v="129.1"/>
    <n v="119.7"/>
    <n v="122.5"/>
    <n v="130.30000000000001"/>
    <x v="119"/>
    <n v="127.4"/>
    <n v="115.1"/>
    <n v="129.1"/>
    <n v="1283.3999999999999"/>
  </r>
  <r>
    <x v="1"/>
    <d v="2016-05-01T00:00:00"/>
    <x v="3"/>
    <s v="May"/>
    <n v="5"/>
    <n v="125"/>
    <n v="142.1"/>
    <n v="127"/>
    <n v="130.4"/>
    <n v="109.6"/>
    <n v="133.5"/>
    <n v="151.4"/>
    <n v="182.8"/>
    <n v="111.1"/>
    <n v="141.5"/>
    <n v="121.5"/>
    <n v="136.30000000000001"/>
    <n v="134.6"/>
    <n v="142.19999999999999"/>
    <n v="127.2"/>
    <n v="120.7"/>
    <n v="126.2"/>
    <n v="126"/>
    <n v="115"/>
    <n v="123.2"/>
    <n v="120.3"/>
    <n v="110.7"/>
    <n v="119.8"/>
    <n v="128"/>
    <n v="118.5"/>
    <n v="118.7"/>
    <n v="126.6"/>
    <x v="120"/>
    <n v="115"/>
    <n v="110.7"/>
    <n v="128"/>
    <n v="1242.8"/>
  </r>
  <r>
    <x v="2"/>
    <d v="2016-05-01T00:00:00"/>
    <x v="3"/>
    <s v="May"/>
    <n v="5"/>
    <n v="126.8"/>
    <n v="139.1"/>
    <n v="125.4"/>
    <n v="131.69999999999999"/>
    <n v="115"/>
    <n v="136"/>
    <n v="145.1"/>
    <n v="171.7"/>
    <n v="108.7"/>
    <n v="135.30000000000001"/>
    <n v="124.2"/>
    <n v="137.4"/>
    <n v="134"/>
    <n v="137.69999999999999"/>
    <n v="132.19999999999999"/>
    <n v="126.8"/>
    <n v="131.4"/>
    <n v="126"/>
    <n v="122.7"/>
    <n v="126"/>
    <n v="123.7"/>
    <n v="112.8"/>
    <n v="121.5"/>
    <n v="128.5"/>
    <n v="119.2"/>
    <n v="120.7"/>
    <n v="128.6"/>
    <x v="121"/>
    <n v="122.7"/>
    <n v="112.8"/>
    <n v="128.5"/>
    <n v="1265.2000000000003"/>
  </r>
  <r>
    <x v="0"/>
    <d v="2016-06-01T00:00:00"/>
    <x v="3"/>
    <s v="June"/>
    <n v="6"/>
    <n v="128.6"/>
    <n v="138.6"/>
    <n v="126.6"/>
    <n v="133.6"/>
    <n v="118.6"/>
    <n v="137.4"/>
    <n v="152.5"/>
    <n v="169.2"/>
    <n v="108.8"/>
    <n v="133.1"/>
    <n v="126.4"/>
    <n v="139.19999999999999"/>
    <n v="136"/>
    <n v="137.19999999999999"/>
    <n v="136.30000000000001"/>
    <n v="131.6"/>
    <n v="135.6"/>
    <n v="125.5"/>
    <n v="128"/>
    <n v="129.30000000000001"/>
    <n v="126.2"/>
    <n v="116.3"/>
    <n v="124.1"/>
    <n v="130.19999999999999"/>
    <n v="119.9"/>
    <n v="123.3"/>
    <n v="131.9"/>
    <x v="122"/>
    <n v="128"/>
    <n v="116.3"/>
    <n v="130.19999999999999"/>
    <n v="1289"/>
  </r>
  <r>
    <x v="1"/>
    <d v="2016-06-01T00:00:00"/>
    <x v="3"/>
    <s v="June"/>
    <n v="6"/>
    <n v="125.9"/>
    <n v="143.9"/>
    <n v="130.9"/>
    <n v="131"/>
    <n v="110.2"/>
    <n v="135.5"/>
    <n v="173.7"/>
    <n v="184.4"/>
    <n v="112"/>
    <n v="142.80000000000001"/>
    <n v="121.6"/>
    <n v="136.9"/>
    <n v="138.19999999999999"/>
    <n v="142.69999999999999"/>
    <n v="127.6"/>
    <n v="121.1"/>
    <n v="126.6"/>
    <n v="125.5"/>
    <n v="115.5"/>
    <n v="123.2"/>
    <n v="120.6"/>
    <n v="112.3"/>
    <n v="119.9"/>
    <n v="129.30000000000001"/>
    <n v="118.8"/>
    <n v="119.6"/>
    <n v="128.1"/>
    <x v="123"/>
    <n v="115.5"/>
    <n v="112.3"/>
    <n v="129.30000000000001"/>
    <n v="1245.5999999999999"/>
  </r>
  <r>
    <x v="2"/>
    <d v="2016-06-01T00:00:00"/>
    <x v="3"/>
    <s v="June"/>
    <n v="6"/>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x v="124"/>
    <n v="123.3"/>
    <n v="114.2"/>
    <n v="129.69999999999999"/>
    <n v="1269.4000000000001"/>
  </r>
  <r>
    <x v="0"/>
    <d v="2016-07-01T00:00:00"/>
    <x v="3"/>
    <s v="July"/>
    <n v="7"/>
    <n v="129.30000000000001"/>
    <n v="139.5"/>
    <n v="129.6"/>
    <n v="134.5"/>
    <n v="119.5"/>
    <n v="138.5"/>
    <n v="158.19999999999999"/>
    <n v="171.8"/>
    <n v="110.3"/>
    <n v="134.30000000000001"/>
    <n v="127.3"/>
    <n v="139.9"/>
    <n v="137.6"/>
    <n v="138"/>
    <n v="137.19999999999999"/>
    <n v="132.19999999999999"/>
    <n v="136.5"/>
    <n v="126.4"/>
    <n v="128.19999999999999"/>
    <n v="130"/>
    <n v="126.7"/>
    <n v="116.4"/>
    <n v="125.2"/>
    <n v="130.80000000000001"/>
    <n v="120.9"/>
    <n v="123.8"/>
    <n v="133"/>
    <x v="125"/>
    <n v="128.19999999999999"/>
    <n v="116.4"/>
    <n v="130.80000000000001"/>
    <n v="1296.9000000000001"/>
  </r>
  <r>
    <x v="1"/>
    <d v="2016-07-01T00:00:00"/>
    <x v="3"/>
    <s v="July"/>
    <n v="7"/>
    <n v="126.8"/>
    <n v="144.19999999999999"/>
    <n v="136.6"/>
    <n v="131.80000000000001"/>
    <n v="111"/>
    <n v="137"/>
    <n v="179.5"/>
    <n v="188.4"/>
    <n v="113.3"/>
    <n v="143.9"/>
    <n v="121.7"/>
    <n v="137.5"/>
    <n v="139.80000000000001"/>
    <n v="142.9"/>
    <n v="127.9"/>
    <n v="121.1"/>
    <n v="126.9"/>
    <n v="126.4"/>
    <n v="115.5"/>
    <n v="123.5"/>
    <n v="120.9"/>
    <n v="111.7"/>
    <n v="120.3"/>
    <n v="130.80000000000001"/>
    <n v="120"/>
    <n v="119.9"/>
    <n v="129"/>
    <x v="126"/>
    <n v="115.5"/>
    <n v="111.7"/>
    <n v="130.80000000000001"/>
    <n v="1249.8"/>
  </r>
  <r>
    <x v="2"/>
    <d v="2016-07-01T00:00:00"/>
    <x v="3"/>
    <s v="July"/>
    <n v="7"/>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x v="127"/>
    <n v="123.4"/>
    <n v="113.9"/>
    <n v="130.80000000000001"/>
    <n v="1275.7"/>
  </r>
  <r>
    <x v="0"/>
    <d v="2016-08-01T00:00:00"/>
    <x v="3"/>
    <s v="August"/>
    <n v="8"/>
    <n v="130.1"/>
    <n v="138.80000000000001"/>
    <n v="130.30000000000001"/>
    <n v="135.30000000000001"/>
    <n v="119.9"/>
    <n v="140.19999999999999"/>
    <n v="156.9"/>
    <n v="172.2"/>
    <n v="112.1"/>
    <n v="134.9"/>
    <n v="128.1"/>
    <n v="140.69999999999999"/>
    <n v="138"/>
    <n v="138.9"/>
    <n v="137.80000000000001"/>
    <n v="133"/>
    <n v="137.1"/>
    <n v="127.3"/>
    <n v="129.1"/>
    <n v="130.6"/>
    <n v="127"/>
    <n v="116"/>
    <n v="125.5"/>
    <n v="131.9"/>
    <n v="122"/>
    <n v="124.2"/>
    <n v="133.5"/>
    <x v="128"/>
    <n v="129.1"/>
    <n v="116"/>
    <n v="131.9"/>
    <n v="1303.4000000000001"/>
  </r>
  <r>
    <x v="1"/>
    <d v="2016-08-01T00:00:00"/>
    <x v="3"/>
    <s v="August"/>
    <n v="8"/>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x v="129"/>
    <n v="114.7"/>
    <n v="110.4"/>
    <n v="131.5"/>
    <n v="1254.4000000000001"/>
  </r>
  <r>
    <x v="2"/>
    <d v="2016-08-01T00:00:00"/>
    <x v="3"/>
    <s v="August"/>
    <n v="8"/>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x v="130"/>
    <n v="123.6"/>
    <n v="113.1"/>
    <n v="131.69999999999999"/>
    <n v="1281.4999999999998"/>
  </r>
  <r>
    <x v="0"/>
    <d v="2016-09-01T00:00:00"/>
    <x v="3"/>
    <s v="September"/>
    <n v="9"/>
    <n v="130.80000000000001"/>
    <n v="138.19999999999999"/>
    <n v="130.5"/>
    <n v="135.5"/>
    <n v="120.2"/>
    <n v="139.19999999999999"/>
    <n v="149.5"/>
    <n v="170.4"/>
    <n v="113.1"/>
    <n v="135.80000000000001"/>
    <n v="128.80000000000001"/>
    <n v="141.5"/>
    <n v="137.19999999999999"/>
    <n v="139.9"/>
    <n v="138.5"/>
    <n v="133.5"/>
    <n v="137.80000000000001"/>
    <n v="127.9"/>
    <n v="129.69999999999999"/>
    <n v="131.1"/>
    <n v="127.8"/>
    <n v="117"/>
    <n v="125.7"/>
    <n v="132.19999999999999"/>
    <n v="122.8"/>
    <n v="124.9"/>
    <n v="133.4"/>
    <x v="131"/>
    <n v="129.69999999999999"/>
    <n v="117"/>
    <n v="132.19999999999999"/>
    <n v="1309.9000000000001"/>
  </r>
  <r>
    <x v="1"/>
    <d v="2016-09-01T00:00:00"/>
    <x v="3"/>
    <s v="September"/>
    <n v="9"/>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x v="132"/>
    <n v="114.8"/>
    <n v="111.8"/>
    <n v="131.6"/>
    <n v="1258"/>
  </r>
  <r>
    <x v="2"/>
    <d v="2016-09-01T00:00:00"/>
    <x v="3"/>
    <s v="September"/>
    <n v="9"/>
    <n v="129.9"/>
    <n v="138"/>
    <n v="130.5"/>
    <n v="134.4"/>
    <n v="117.2"/>
    <n v="136.1"/>
    <n v="150.69999999999999"/>
    <n v="171.5"/>
    <n v="113.8"/>
    <n v="138.80000000000001"/>
    <n v="126"/>
    <n v="140.19999999999999"/>
    <n v="136.6"/>
    <n v="141"/>
    <n v="134.6"/>
    <n v="128.6"/>
    <n v="133.80000000000001"/>
    <n v="127.9"/>
    <n v="124.1"/>
    <n v="127.9"/>
    <n v="125.4"/>
    <n v="114.3"/>
    <n v="122.9"/>
    <n v="131.80000000000001"/>
    <n v="122.1"/>
    <n v="122.8"/>
    <n v="130.9"/>
    <x v="133"/>
    <n v="124.1"/>
    <n v="114.3"/>
    <n v="131.80000000000001"/>
    <n v="1286.9999999999998"/>
  </r>
  <r>
    <x v="0"/>
    <d v="2016-10-01T00:00:00"/>
    <x v="3"/>
    <s v="October"/>
    <n v="10"/>
    <n v="131.30000000000001"/>
    <n v="137.6"/>
    <n v="130.1"/>
    <n v="136"/>
    <n v="120.8"/>
    <n v="138.4"/>
    <n v="149.19999999999999"/>
    <n v="170.2"/>
    <n v="113.4"/>
    <n v="136.30000000000001"/>
    <n v="128.69999999999999"/>
    <n v="142.4"/>
    <n v="137.4"/>
    <n v="140.9"/>
    <n v="139.6"/>
    <n v="134.30000000000001"/>
    <n v="138.80000000000001"/>
    <n v="128.69999999999999"/>
    <n v="129.80000000000001"/>
    <n v="131.80000000000001"/>
    <n v="128.69999999999999"/>
    <n v="117.8"/>
    <n v="126.5"/>
    <n v="133"/>
    <n v="123"/>
    <n v="125.7"/>
    <n v="133.80000000000001"/>
    <x v="134"/>
    <n v="129.80000000000001"/>
    <n v="117.8"/>
    <n v="133"/>
    <n v="1318"/>
  </r>
  <r>
    <x v="1"/>
    <d v="2016-10-01T00:00:00"/>
    <x v="3"/>
    <s v="October"/>
    <n v="10"/>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x v="135"/>
    <n v="115.2"/>
    <n v="112.8"/>
    <n v="131.9"/>
    <n v="1261.2"/>
  </r>
  <r>
    <x v="2"/>
    <d v="2016-10-01T00:00:00"/>
    <x v="3"/>
    <s v="October"/>
    <n v="10"/>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x v="136"/>
    <n v="124.3"/>
    <n v="115.2"/>
    <n v="132.4"/>
    <n v="1293.0999999999999"/>
  </r>
  <r>
    <x v="0"/>
    <d v="2016-11-01T00:00:00"/>
    <x v="3"/>
    <s v="November"/>
    <n v="11"/>
    <n v="132"/>
    <n v="137.4"/>
    <n v="130.6"/>
    <n v="136.19999999999999"/>
    <n v="121.1"/>
    <n v="136.9"/>
    <n v="141.80000000000001"/>
    <n v="170"/>
    <n v="113.4"/>
    <n v="136.80000000000001"/>
    <n v="128.69999999999999"/>
    <n v="143.1"/>
    <n v="136.6"/>
    <n v="141.19999999999999"/>
    <n v="139.9"/>
    <n v="134.5"/>
    <n v="139.19999999999999"/>
    <n v="129.1"/>
    <n v="130.30000000000001"/>
    <n v="132.1"/>
    <n v="129.1"/>
    <n v="118.2"/>
    <n v="126.9"/>
    <n v="133.69999999999999"/>
    <n v="123.5"/>
    <n v="126.1"/>
    <n v="133.6"/>
    <x v="137"/>
    <n v="130.30000000000001"/>
    <n v="118.2"/>
    <n v="133.69999999999999"/>
    <n v="1321.6"/>
  </r>
  <r>
    <x v="1"/>
    <d v="2016-11-01T00:00:00"/>
    <x v="3"/>
    <s v="November"/>
    <n v="11"/>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x v="138"/>
    <n v="116.2"/>
    <n v="113.4"/>
    <n v="132.1"/>
    <n v="1264.7"/>
  </r>
  <r>
    <x v="2"/>
    <d v="2016-11-01T00:00:00"/>
    <x v="3"/>
    <s v="November"/>
    <n v="11"/>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x v="139"/>
    <n v="125"/>
    <n v="115.7"/>
    <n v="132.80000000000001"/>
    <n v="1296.5999999999999"/>
  </r>
  <r>
    <x v="0"/>
    <d v="2016-12-01T00:00:00"/>
    <x v="3"/>
    <s v="December"/>
    <n v="12"/>
    <n v="132.6"/>
    <n v="137.30000000000001"/>
    <n v="131.6"/>
    <n v="136.30000000000001"/>
    <n v="121.6"/>
    <n v="135.6"/>
    <n v="127.5"/>
    <n v="167.9"/>
    <n v="113.8"/>
    <n v="137.5"/>
    <n v="129.1"/>
    <n v="143.6"/>
    <n v="134.69999999999999"/>
    <n v="142.4"/>
    <n v="140.4"/>
    <n v="135.19999999999999"/>
    <n v="139.69999999999999"/>
    <n v="128.5"/>
    <n v="132"/>
    <n v="132.9"/>
    <n v="129.69999999999999"/>
    <n v="118.6"/>
    <n v="127.3"/>
    <n v="134.19999999999999"/>
    <n v="121.9"/>
    <n v="126.3"/>
    <n v="132.80000000000001"/>
    <x v="140"/>
    <n v="132"/>
    <n v="118.6"/>
    <n v="134.19999999999999"/>
    <n v="1324.3"/>
  </r>
  <r>
    <x v="1"/>
    <d v="2016-12-01T00:00:00"/>
    <x v="3"/>
    <s v="December"/>
    <n v="12"/>
    <n v="131.6"/>
    <n v="138.19999999999999"/>
    <n v="134.9"/>
    <n v="133.1"/>
    <n v="113.5"/>
    <n v="129.30000000000001"/>
    <n v="121.1"/>
    <n v="170.3"/>
    <n v="115.5"/>
    <n v="145.5"/>
    <n v="123.1"/>
    <n v="140.9"/>
    <n v="132.80000000000001"/>
    <n v="145"/>
    <n v="130"/>
    <n v="122.2"/>
    <n v="128.80000000000001"/>
    <n v="128.5"/>
    <n v="117.8"/>
    <n v="125"/>
    <n v="122.3"/>
    <n v="113.7"/>
    <n v="121.8"/>
    <n v="132.30000000000001"/>
    <n v="119.9"/>
    <n v="121.4"/>
    <n v="127.6"/>
    <x v="141"/>
    <n v="117.8"/>
    <n v="113.7"/>
    <n v="132.30000000000001"/>
    <n v="1264.9000000000001"/>
  </r>
  <r>
    <x v="2"/>
    <d v="2016-12-01T00:00:00"/>
    <x v="3"/>
    <s v="December"/>
    <n v="12"/>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x v="142"/>
    <n v="126.6"/>
    <n v="116"/>
    <n v="133.1"/>
    <n v="1298.3999999999999"/>
  </r>
  <r>
    <x v="0"/>
    <d v="2017-01-01T00:00:00"/>
    <x v="4"/>
    <s v="January"/>
    <n v="1"/>
    <n v="133.1"/>
    <n v="137.80000000000001"/>
    <n v="131.9"/>
    <n v="136.69999999999999"/>
    <n v="122"/>
    <n v="136"/>
    <n v="119.8"/>
    <n v="161.69999999999999"/>
    <n v="114.8"/>
    <n v="136.9"/>
    <n v="129"/>
    <n v="143.9"/>
    <n v="133.69999999999999"/>
    <n v="143.1"/>
    <n v="140.69999999999999"/>
    <n v="135.80000000000001"/>
    <n v="140"/>
    <n v="129.6"/>
    <n v="132.1"/>
    <n v="133.19999999999999"/>
    <n v="129.9"/>
    <n v="119.1"/>
    <n v="127"/>
    <n v="134.6"/>
    <n v="122.3"/>
    <n v="126.6"/>
    <n v="132.4"/>
    <x v="143"/>
    <n v="132.1"/>
    <n v="119.1"/>
    <n v="134.6"/>
    <n v="1328.1999999999996"/>
  </r>
  <r>
    <x v="1"/>
    <d v="2017-01-01T00:00:00"/>
    <x v="4"/>
    <s v="January"/>
    <n v="1"/>
    <n v="132.19999999999999"/>
    <n v="138.9"/>
    <n v="132.6"/>
    <n v="133.1"/>
    <n v="114"/>
    <n v="129.6"/>
    <n v="118.7"/>
    <n v="155.1"/>
    <n v="117.3"/>
    <n v="144.9"/>
    <n v="123.2"/>
    <n v="141.6"/>
    <n v="132"/>
    <n v="145.6"/>
    <n v="130.19999999999999"/>
    <n v="122.3"/>
    <n v="129"/>
    <n v="129.6"/>
    <n v="118"/>
    <n v="125.1"/>
    <n v="122.6"/>
    <n v="115.2"/>
    <n v="122"/>
    <n v="132.4"/>
    <n v="120.9"/>
    <n v="122.1"/>
    <n v="127.8"/>
    <x v="144"/>
    <n v="118"/>
    <n v="115.2"/>
    <n v="132.4"/>
    <n v="1269.4000000000001"/>
  </r>
  <r>
    <x v="2"/>
    <d v="2017-01-01T00:00:00"/>
    <x v="4"/>
    <s v="January"/>
    <n v="1"/>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x v="145"/>
    <n v="126.8"/>
    <n v="117"/>
    <n v="133.30000000000001"/>
    <n v="1302.6000000000001"/>
  </r>
  <r>
    <x v="0"/>
    <d v="2017-02-01T00:00:00"/>
    <x v="4"/>
    <s v="February"/>
    <n v="2"/>
    <n v="133.30000000000001"/>
    <n v="138.30000000000001"/>
    <n v="129.30000000000001"/>
    <n v="137.19999999999999"/>
    <n v="122.1"/>
    <n v="138.69999999999999"/>
    <n v="119.1"/>
    <n v="156.9"/>
    <n v="116.2"/>
    <n v="136"/>
    <n v="129.4"/>
    <n v="144.4"/>
    <n v="133.6"/>
    <n v="143.69999999999999"/>
    <n v="140.9"/>
    <n v="135.80000000000001"/>
    <n v="140.19999999999999"/>
    <n v="130.5"/>
    <n v="133.19999999999999"/>
    <n v="133.6"/>
    <n v="130.1"/>
    <n v="119.5"/>
    <n v="127.7"/>
    <n v="134.9"/>
    <n v="123.2"/>
    <n v="127"/>
    <n v="132.6"/>
    <x v="146"/>
    <n v="133.19999999999999"/>
    <n v="119.5"/>
    <n v="134.9"/>
    <n v="1332.7"/>
  </r>
  <r>
    <x v="1"/>
    <d v="2017-02-01T00:00:00"/>
    <x v="4"/>
    <s v="February"/>
    <n v="2"/>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x v="147"/>
    <n v="119.2"/>
    <n v="115.5"/>
    <n v="132.4"/>
    <n v="1273.6000000000001"/>
  </r>
  <r>
    <x v="2"/>
    <d v="2017-02-01T00:00:00"/>
    <x v="4"/>
    <s v="February"/>
    <n v="2"/>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x v="148"/>
    <n v="127.9"/>
    <n v="117.4"/>
    <n v="133.4"/>
    <n v="1307"/>
  </r>
  <r>
    <x v="0"/>
    <d v="2017-03-01T00:00:00"/>
    <x v="4"/>
    <s v="March"/>
    <n v="3"/>
    <n v="133.6"/>
    <n v="138.80000000000001"/>
    <n v="128.80000000000001"/>
    <n v="137.19999999999999"/>
    <n v="121.6"/>
    <n v="139.69999999999999"/>
    <n v="119.7"/>
    <n v="148"/>
    <n v="116.9"/>
    <n v="135.6"/>
    <n v="129.80000000000001"/>
    <n v="145.4"/>
    <n v="133.4"/>
    <n v="144.19999999999999"/>
    <n v="141.6"/>
    <n v="136.19999999999999"/>
    <n v="140.80000000000001"/>
    <n v="131.1"/>
    <n v="134.19999999999999"/>
    <n v="134.1"/>
    <n v="130.6"/>
    <n v="119.8"/>
    <n v="128.30000000000001"/>
    <n v="135.19999999999999"/>
    <n v="123.3"/>
    <n v="127.4"/>
    <n v="132.80000000000001"/>
    <x v="149"/>
    <n v="134.19999999999999"/>
    <n v="119.8"/>
    <n v="135.19999999999999"/>
    <n v="1337.6000000000001"/>
  </r>
  <r>
    <x v="1"/>
    <d v="2017-03-01T00:00:00"/>
    <x v="4"/>
    <s v="March"/>
    <n v="3"/>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x v="150"/>
    <n v="120.8"/>
    <n v="115.6"/>
    <n v="132.80000000000001"/>
    <n v="1277.2"/>
  </r>
  <r>
    <x v="2"/>
    <d v="2017-03-01T00:00:00"/>
    <x v="4"/>
    <s v="March"/>
    <n v="3"/>
    <n v="133.30000000000001"/>
    <n v="139"/>
    <n v="128.6"/>
    <n v="136.30000000000001"/>
    <n v="118.8"/>
    <n v="138.30000000000001"/>
    <n v="120.5"/>
    <n v="143.9"/>
    <n v="118"/>
    <n v="137.9"/>
    <n v="127.2"/>
    <n v="144"/>
    <n v="133.1"/>
    <n v="145.1"/>
    <n v="137.30000000000001"/>
    <n v="130.6"/>
    <n v="136.4"/>
    <n v="131.1"/>
    <n v="129.1"/>
    <n v="130.1"/>
    <n v="127.8"/>
    <n v="117.6"/>
    <n v="125"/>
    <n v="133.80000000000001"/>
    <n v="122.6"/>
    <n v="125.1"/>
    <n v="130.9"/>
    <x v="151"/>
    <n v="129.1"/>
    <n v="117.6"/>
    <n v="133.80000000000001"/>
    <n v="1311.1"/>
  </r>
  <r>
    <x v="0"/>
    <d v="2017-04-01T00:00:00"/>
    <x v="4"/>
    <s v="April"/>
    <n v="4"/>
    <n v="133.19999999999999"/>
    <n v="138.69999999999999"/>
    <n v="127.1"/>
    <n v="137.69999999999999"/>
    <n v="121.3"/>
    <n v="141.80000000000001"/>
    <n v="121.5"/>
    <n v="144.5"/>
    <n v="117.4"/>
    <n v="134.1"/>
    <n v="130"/>
    <n v="145.5"/>
    <n v="133.5"/>
    <n v="144.4"/>
    <n v="142.4"/>
    <n v="136.80000000000001"/>
    <n v="141.6"/>
    <n v="131.69999999999999"/>
    <n v="135"/>
    <n v="134.30000000000001"/>
    <n v="131"/>
    <n v="119.2"/>
    <n v="128.30000000000001"/>
    <n v="135.69999999999999"/>
    <n v="123.7"/>
    <n v="127.5"/>
    <n v="132.9"/>
    <x v="152"/>
    <n v="135"/>
    <n v="119.2"/>
    <n v="135.69999999999999"/>
    <n v="1341.7"/>
  </r>
  <r>
    <x v="1"/>
    <d v="2017-04-01T00:00:00"/>
    <x v="4"/>
    <s v="April"/>
    <n v="4"/>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x v="153"/>
    <n v="121.4"/>
    <n v="114.3"/>
    <n v="133.6"/>
    <n v="1280.6000000000001"/>
  </r>
  <r>
    <x v="2"/>
    <d v="2017-04-01T00:00:00"/>
    <x v="4"/>
    <s v="April"/>
    <n v="4"/>
    <n v="133"/>
    <n v="139.4"/>
    <n v="126.1"/>
    <n v="137.19999999999999"/>
    <n v="118.4"/>
    <n v="139.9"/>
    <n v="123.4"/>
    <n v="140.9"/>
    <n v="118.5"/>
    <n v="136.5"/>
    <n v="127.4"/>
    <n v="144.19999999999999"/>
    <n v="133.5"/>
    <n v="145.4"/>
    <n v="138"/>
    <n v="131.1"/>
    <n v="137"/>
    <n v="131.69999999999999"/>
    <n v="129.80000000000001"/>
    <n v="130.4"/>
    <n v="128.1"/>
    <n v="116.6"/>
    <n v="125.1"/>
    <n v="134.5"/>
    <n v="123.1"/>
    <n v="125.1"/>
    <n v="131.1"/>
    <x v="154"/>
    <n v="129.80000000000001"/>
    <n v="116.6"/>
    <n v="134.5"/>
    <n v="1314.9999999999998"/>
  </r>
  <r>
    <x v="0"/>
    <d v="2017-05-01T00:00:00"/>
    <x v="4"/>
    <s v="May"/>
    <n v="5"/>
    <n v="133.1"/>
    <n v="140.30000000000001"/>
    <n v="126.8"/>
    <n v="138.19999999999999"/>
    <n v="120.8"/>
    <n v="140.19999999999999"/>
    <n v="123.8"/>
    <n v="141.80000000000001"/>
    <n v="118.6"/>
    <n v="134"/>
    <n v="130.30000000000001"/>
    <n v="145.80000000000001"/>
    <n v="133.80000000000001"/>
    <n v="145.5"/>
    <n v="142.5"/>
    <n v="137.30000000000001"/>
    <n v="141.80000000000001"/>
    <n v="132.1"/>
    <n v="135"/>
    <n v="134.9"/>
    <n v="131.4"/>
    <n v="119.4"/>
    <n v="129.4"/>
    <n v="136.30000000000001"/>
    <n v="123.7"/>
    <n v="127.9"/>
    <n v="133.30000000000001"/>
    <x v="155"/>
    <n v="135"/>
    <n v="119.4"/>
    <n v="136.30000000000001"/>
    <n v="1346.5000000000002"/>
  </r>
  <r>
    <x v="1"/>
    <d v="2017-05-01T00:00:00"/>
    <x v="4"/>
    <s v="May"/>
    <n v="5"/>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x v="156"/>
    <n v="120.1"/>
    <n v="114.3"/>
    <n v="133.80000000000001"/>
    <n v="1282.8"/>
  </r>
  <r>
    <x v="2"/>
    <d v="2017-05-01T00:00:00"/>
    <x v="4"/>
    <s v="May"/>
    <n v="5"/>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x v="157"/>
    <n v="129.4"/>
    <n v="116.7"/>
    <n v="134.80000000000001"/>
    <n v="1318.3999999999999"/>
  </r>
  <r>
    <x v="0"/>
    <d v="2017-06-01T00:00:00"/>
    <x v="4"/>
    <s v="June"/>
    <n v="6"/>
    <n v="133.5"/>
    <n v="143.69999999999999"/>
    <n v="128"/>
    <n v="138.6"/>
    <n v="120.9"/>
    <n v="140.9"/>
    <n v="128.80000000000001"/>
    <n v="140.19999999999999"/>
    <n v="118.9"/>
    <n v="133.5"/>
    <n v="130.4"/>
    <n v="146.5"/>
    <n v="134.9"/>
    <n v="145.80000000000001"/>
    <n v="143.1"/>
    <n v="137.69999999999999"/>
    <n v="142.30000000000001"/>
    <n v="131.4"/>
    <n v="134.80000000000001"/>
    <n v="135.19999999999999"/>
    <n v="131.30000000000001"/>
    <n v="119.4"/>
    <n v="129.80000000000001"/>
    <n v="136.9"/>
    <n v="124.1"/>
    <n v="128.1"/>
    <n v="133.9"/>
    <x v="158"/>
    <n v="134.80000000000001"/>
    <n v="119.4"/>
    <n v="136.9"/>
    <n v="1348.7999999999997"/>
  </r>
  <r>
    <x v="1"/>
    <d v="2017-06-01T00:00:00"/>
    <x v="4"/>
    <s v="June"/>
    <n v="6"/>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x v="159"/>
    <n v="119"/>
    <n v="113.9"/>
    <n v="134.30000000000001"/>
    <n v="1283.5999999999999"/>
  </r>
  <r>
    <x v="2"/>
    <d v="2017-06-01T00:00:00"/>
    <x v="4"/>
    <s v="June"/>
    <n v="6"/>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x v="160"/>
    <n v="128.80000000000001"/>
    <n v="116.5"/>
    <n v="135.4"/>
    <n v="1320.1000000000001"/>
  </r>
  <r>
    <x v="0"/>
    <d v="2017-07-01T00:00:00"/>
    <x v="4"/>
    <s v="July"/>
    <n v="7"/>
    <n v="134"/>
    <n v="144.19999999999999"/>
    <n v="129.80000000000001"/>
    <n v="139"/>
    <n v="120.9"/>
    <n v="143.9"/>
    <n v="151.5"/>
    <n v="138.1"/>
    <n v="120"/>
    <n v="133.9"/>
    <n v="131.4"/>
    <n v="147.69999999999999"/>
    <n v="138.5"/>
    <n v="147.4"/>
    <n v="144.30000000000001"/>
    <n v="138.1"/>
    <n v="143.5"/>
    <n v="132.6"/>
    <n v="135.30000000000001"/>
    <n v="136.1"/>
    <n v="132.1"/>
    <n v="119.1"/>
    <n v="130.6"/>
    <n v="138.6"/>
    <n v="124.4"/>
    <n v="128.6"/>
    <n v="136.19999999999999"/>
    <x v="161"/>
    <n v="135.30000000000001"/>
    <n v="119.1"/>
    <n v="138.6"/>
    <n v="1357.7"/>
  </r>
  <r>
    <x v="1"/>
    <d v="2017-07-01T00:00:00"/>
    <x v="4"/>
    <s v="July"/>
    <n v="7"/>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x v="162"/>
    <n v="119.7"/>
    <n v="113.2"/>
    <n v="135.5"/>
    <n v="1289.9000000000001"/>
  </r>
  <r>
    <x v="2"/>
    <d v="2017-07-01T00:00:00"/>
    <x v="4"/>
    <s v="July"/>
    <n v="7"/>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x v="163"/>
    <n v="129.4"/>
    <n v="116"/>
    <n v="136.80000000000001"/>
    <n v="1327.9"/>
  </r>
  <r>
    <x v="0"/>
    <d v="2017-08-01T00:00:00"/>
    <x v="4"/>
    <s v="August"/>
    <n v="8"/>
    <n v="134.80000000000001"/>
    <n v="143.1"/>
    <n v="130"/>
    <n v="139.4"/>
    <n v="120.5"/>
    <n v="148"/>
    <n v="162.9"/>
    <n v="137.4"/>
    <n v="120.8"/>
    <n v="134.69999999999999"/>
    <n v="131.6"/>
    <n v="148.69999999999999"/>
    <n v="140.6"/>
    <n v="149"/>
    <n v="145.30000000000001"/>
    <n v="139.19999999999999"/>
    <n v="144.5"/>
    <n v="134.4"/>
    <n v="136.4"/>
    <n v="137.30000000000001"/>
    <n v="133"/>
    <n v="120.3"/>
    <n v="131.5"/>
    <n v="140.19999999999999"/>
    <n v="125.4"/>
    <n v="129.69999999999999"/>
    <n v="137.80000000000001"/>
    <x v="164"/>
    <n v="136.4"/>
    <n v="120.3"/>
    <n v="140.19999999999999"/>
    <n v="1369.3000000000002"/>
  </r>
  <r>
    <x v="1"/>
    <d v="2017-08-01T00:00:00"/>
    <x v="4"/>
    <s v="August"/>
    <n v="8"/>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x v="165"/>
    <n v="118.9"/>
    <n v="114.6"/>
    <n v="135.69999999999999"/>
    <n v="1299.5"/>
  </r>
  <r>
    <x v="2"/>
    <d v="2017-08-01T00:00:00"/>
    <x v="4"/>
    <s v="August"/>
    <n v="8"/>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x v="166"/>
    <n v="129.80000000000001"/>
    <n v="117.3"/>
    <n v="137.6"/>
    <n v="1338.4"/>
  </r>
  <r>
    <x v="0"/>
    <d v="2017-09-01T00:00:00"/>
    <x v="4"/>
    <s v="September"/>
    <n v="9"/>
    <n v="135.19999999999999"/>
    <n v="142"/>
    <n v="130.5"/>
    <n v="140.19999999999999"/>
    <n v="120.7"/>
    <n v="147.80000000000001"/>
    <n v="154.5"/>
    <n v="137.1"/>
    <n v="121"/>
    <n v="134.69999999999999"/>
    <n v="131.69999999999999"/>
    <n v="149.30000000000001"/>
    <n v="139.6"/>
    <n v="149.80000000000001"/>
    <n v="146.1"/>
    <n v="139.69999999999999"/>
    <n v="145.19999999999999"/>
    <n v="135.69999999999999"/>
    <n v="137.4"/>
    <n v="137.9"/>
    <n v="133.4"/>
    <n v="121.2"/>
    <n v="132.30000000000001"/>
    <n v="139.6"/>
    <n v="126.7"/>
    <n v="130.30000000000001"/>
    <n v="137.6"/>
    <x v="167"/>
    <n v="137.4"/>
    <n v="121.2"/>
    <n v="139.6"/>
    <n v="1377.1"/>
  </r>
  <r>
    <x v="1"/>
    <d v="2017-09-01T00:00:00"/>
    <x v="4"/>
    <s v="September"/>
    <n v="9"/>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x v="168"/>
    <n v="120.6"/>
    <n v="115.7"/>
    <n v="135.9"/>
    <n v="1306.8000000000002"/>
  </r>
  <r>
    <x v="2"/>
    <d v="2017-09-01T00:00:00"/>
    <x v="4"/>
    <s v="September"/>
    <n v="9"/>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x v="169"/>
    <n v="131"/>
    <n v="118.3"/>
    <n v="137.4"/>
    <n v="1346"/>
  </r>
  <r>
    <x v="0"/>
    <d v="2017-10-01T00:00:00"/>
    <x v="4"/>
    <s v="October"/>
    <n v="10"/>
    <n v="135.9"/>
    <n v="141.9"/>
    <n v="131"/>
    <n v="141.5"/>
    <n v="121.4"/>
    <n v="146.69999999999999"/>
    <n v="157.1"/>
    <n v="136.4"/>
    <n v="121.4"/>
    <n v="135.6"/>
    <n v="131.30000000000001"/>
    <n v="150.30000000000001"/>
    <n v="140.4"/>
    <n v="150.5"/>
    <n v="147.19999999999999"/>
    <n v="140.6"/>
    <n v="146.19999999999999"/>
    <n v="137.30000000000001"/>
    <n v="138.1"/>
    <n v="138.4"/>
    <n v="134.19999999999999"/>
    <n v="121"/>
    <n v="133"/>
    <n v="140.1"/>
    <n v="127.4"/>
    <n v="130.69999999999999"/>
    <n v="138.30000000000001"/>
    <x v="170"/>
    <n v="138.1"/>
    <n v="121"/>
    <n v="140.1"/>
    <n v="1385.5"/>
  </r>
  <r>
    <x v="1"/>
    <d v="2017-10-01T00:00:00"/>
    <x v="4"/>
    <s v="October"/>
    <n v="10"/>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x v="171"/>
    <n v="122.6"/>
    <n v="115"/>
    <n v="136.30000000000001"/>
    <n v="1312.2"/>
  </r>
  <r>
    <x v="2"/>
    <d v="2017-10-01T00:00:00"/>
    <x v="4"/>
    <s v="October"/>
    <n v="10"/>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x v="172"/>
    <n v="132.19999999999999"/>
    <n v="117.8"/>
    <n v="137.9"/>
    <n v="1353.0000000000002"/>
  </r>
  <r>
    <x v="0"/>
    <d v="2017-11-01T00:00:00"/>
    <x v="4"/>
    <s v="November"/>
    <n v="11"/>
    <n v="136.30000000000001"/>
    <n v="142.5"/>
    <n v="140.5"/>
    <n v="141.5"/>
    <n v="121.6"/>
    <n v="147.30000000000001"/>
    <n v="168"/>
    <n v="135.80000000000001"/>
    <n v="122.5"/>
    <n v="136"/>
    <n v="131.9"/>
    <n v="151.4"/>
    <n v="142.4"/>
    <n v="152.1"/>
    <n v="148.19999999999999"/>
    <n v="141.5"/>
    <n v="147.30000000000001"/>
    <n v="138.6"/>
    <n v="141.1"/>
    <n v="139.4"/>
    <n v="135.80000000000001"/>
    <n v="121.6"/>
    <n v="133.69999999999999"/>
    <n v="141.5"/>
    <n v="128.1"/>
    <n v="131.69999999999999"/>
    <n v="140"/>
    <x v="173"/>
    <n v="141.1"/>
    <n v="121.6"/>
    <n v="141.5"/>
    <n v="1396.3999999999999"/>
  </r>
  <r>
    <x v="1"/>
    <d v="2017-11-01T00:00:00"/>
    <x v="4"/>
    <s v="November"/>
    <n v="11"/>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x v="174"/>
    <n v="125.7"/>
    <n v="115.3"/>
    <n v="136.6"/>
    <n v="1319.8000000000002"/>
  </r>
  <r>
    <x v="2"/>
    <d v="2017-11-01T00:00:00"/>
    <x v="4"/>
    <s v="November"/>
    <n v="11"/>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x v="175"/>
    <n v="135.30000000000001"/>
    <n v="118.3"/>
    <n v="138.6"/>
    <n v="1362.5"/>
  </r>
  <r>
    <x v="0"/>
    <d v="2017-12-01T00:00:00"/>
    <x v="4"/>
    <s v="December"/>
    <n v="12"/>
    <n v="136.4"/>
    <n v="143.69999999999999"/>
    <n v="144.80000000000001"/>
    <n v="141.9"/>
    <n v="123.1"/>
    <n v="147.19999999999999"/>
    <n v="161"/>
    <n v="133.80000000000001"/>
    <n v="121.9"/>
    <n v="135.80000000000001"/>
    <n v="131.1"/>
    <n v="151.4"/>
    <n v="141.5"/>
    <n v="153.19999999999999"/>
    <n v="148"/>
    <n v="141.9"/>
    <n v="147.19999999999999"/>
    <n v="139.1"/>
    <n v="142.6"/>
    <n v="139.5"/>
    <n v="136.1"/>
    <n v="122"/>
    <n v="133.4"/>
    <n v="141.1"/>
    <n v="127.8"/>
    <n v="131.9"/>
    <n v="139.80000000000001"/>
    <x v="176"/>
    <n v="142.6"/>
    <n v="122"/>
    <n v="141.1"/>
    <n v="1398.1000000000001"/>
  </r>
  <r>
    <x v="1"/>
    <d v="2017-12-01T00:00:00"/>
    <x v="4"/>
    <s v="December"/>
    <n v="12"/>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x v="177"/>
    <n v="126.8"/>
    <n v="115.3"/>
    <n v="136.69999999999999"/>
    <n v="1324.1"/>
  </r>
  <r>
    <x v="2"/>
    <d v="2017-12-01T00:00:00"/>
    <x v="4"/>
    <s v="December"/>
    <n v="12"/>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x v="178"/>
    <n v="136.6"/>
    <n v="118.5"/>
    <n v="138.5"/>
    <n v="1365.4"/>
  </r>
  <r>
    <x v="0"/>
    <d v="2018-01-01T00:00:00"/>
    <x v="5"/>
    <s v="January"/>
    <n v="1"/>
    <n v="136.6"/>
    <n v="144.4"/>
    <n v="143.80000000000001"/>
    <n v="142"/>
    <n v="123.2"/>
    <n v="147.9"/>
    <n v="152.1"/>
    <n v="131.80000000000001"/>
    <n v="119.5"/>
    <n v="136"/>
    <n v="131.19999999999999"/>
    <n v="151.80000000000001"/>
    <n v="140.4"/>
    <n v="153.6"/>
    <n v="148.30000000000001"/>
    <n v="142.30000000000001"/>
    <n v="147.5"/>
    <n v="140.4"/>
    <n v="142.30000000000001"/>
    <n v="139.80000000000001"/>
    <n v="136"/>
    <n v="122.7"/>
    <n v="134.30000000000001"/>
    <n v="141.6"/>
    <n v="128.6"/>
    <n v="132.30000000000001"/>
    <n v="139.30000000000001"/>
    <x v="179"/>
    <n v="142.30000000000001"/>
    <n v="122.7"/>
    <n v="141.6"/>
    <n v="1403.1"/>
  </r>
  <r>
    <x v="1"/>
    <d v="2018-01-01T00:00:00"/>
    <x v="5"/>
    <s v="January"/>
    <n v="1"/>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x v="180"/>
    <n v="127.3"/>
    <n v="116.3"/>
    <n v="137.1"/>
    <n v="1330.3999999999999"/>
  </r>
  <r>
    <x v="2"/>
    <d v="2018-01-01T00:00:00"/>
    <x v="5"/>
    <s v="January"/>
    <n v="1"/>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x v="181"/>
    <n v="136.6"/>
    <n v="119.3"/>
    <n v="139"/>
    <n v="1370.6999999999998"/>
  </r>
  <r>
    <x v="0"/>
    <d v="2018-02-01T00:00:00"/>
    <x v="5"/>
    <s v="February"/>
    <n v="2"/>
    <n v="136.4"/>
    <n v="143.69999999999999"/>
    <n v="140.6"/>
    <n v="141.5"/>
    <n v="122.9"/>
    <n v="149.4"/>
    <n v="142.4"/>
    <n v="130.19999999999999"/>
    <n v="117.9"/>
    <n v="135.6"/>
    <n v="130.5"/>
    <n v="151.69999999999999"/>
    <n v="138.69999999999999"/>
    <n v="153.30000000000001"/>
    <n v="148.69999999999999"/>
    <n v="142.4"/>
    <n v="147.80000000000001"/>
    <n v="141.30000000000001"/>
    <n v="142.4"/>
    <n v="139.9"/>
    <n v="136.19999999999999"/>
    <n v="123.3"/>
    <n v="134.30000000000001"/>
    <n v="141.5"/>
    <n v="128.80000000000001"/>
    <n v="132.5"/>
    <n v="138.5"/>
    <x v="182"/>
    <n v="142.4"/>
    <n v="123.3"/>
    <n v="141.5"/>
    <n v="1405.1999999999998"/>
  </r>
  <r>
    <x v="1"/>
    <d v="2018-02-01T00:00:00"/>
    <x v="5"/>
    <s v="February"/>
    <n v="2"/>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x v="183"/>
    <n v="127.3"/>
    <n v="117.4"/>
    <n v="137.19999999999999"/>
    <n v="1336.6000000000001"/>
  </r>
  <r>
    <x v="2"/>
    <d v="2018-02-01T00:00:00"/>
    <x v="5"/>
    <s v="February"/>
    <n v="2"/>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x v="184"/>
    <n v="136.69999999999999"/>
    <n v="120.2"/>
    <n v="139"/>
    <n v="1374.4"/>
  </r>
  <r>
    <x v="0"/>
    <d v="2018-03-01T00:00:00"/>
    <x v="5"/>
    <s v="March"/>
    <n v="3"/>
    <n v="136.80000000000001"/>
    <n v="143.80000000000001"/>
    <n v="140"/>
    <n v="142"/>
    <n v="123.2"/>
    <n v="152.9"/>
    <n v="138"/>
    <n v="129.30000000000001"/>
    <n v="117.1"/>
    <n v="136.30000000000001"/>
    <n v="131.19999999999999"/>
    <n v="152.80000000000001"/>
    <n v="138.6"/>
    <n v="155.1"/>
    <n v="149.19999999999999"/>
    <n v="143"/>
    <n v="148.30000000000001"/>
    <n v="142"/>
    <n v="142.6"/>
    <n v="139.9"/>
    <n v="136.69999999999999"/>
    <n v="124.6"/>
    <n v="135.1"/>
    <n v="142.69999999999999"/>
    <n v="129.30000000000001"/>
    <n v="133.30000000000001"/>
    <n v="138.69999999999999"/>
    <x v="185"/>
    <n v="142.6"/>
    <n v="124.6"/>
    <n v="142.69999999999999"/>
    <n v="1411.8999999999996"/>
  </r>
  <r>
    <x v="1"/>
    <d v="2018-03-01T00:00:00"/>
    <x v="5"/>
    <s v="March"/>
    <n v="3"/>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x v="186"/>
    <n v="126.4"/>
    <n v="117.8"/>
    <n v="137.80000000000001"/>
    <n v="1342.1999999999998"/>
  </r>
  <r>
    <x v="2"/>
    <d v="2018-03-01T00:00:00"/>
    <x v="5"/>
    <s v="March"/>
    <n v="3"/>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x v="187"/>
    <n v="136.5"/>
    <n v="121"/>
    <n v="139.80000000000001"/>
    <n v="1380.7"/>
  </r>
  <r>
    <x v="0"/>
    <d v="2018-04-01T00:00:00"/>
    <x v="5"/>
    <s v="April"/>
    <n v="4"/>
    <n v="137.1"/>
    <n v="144.5"/>
    <n v="135.9"/>
    <n v="142.4"/>
    <n v="123.5"/>
    <n v="156.4"/>
    <n v="135.1"/>
    <n v="128.4"/>
    <n v="115.2"/>
    <n v="137.19999999999999"/>
    <n v="131.9"/>
    <n v="153.80000000000001"/>
    <n v="138.6"/>
    <n v="156.1"/>
    <n v="150.1"/>
    <n v="143.30000000000001"/>
    <n v="149.1"/>
    <n v="142.9"/>
    <n v="143.80000000000001"/>
    <n v="140.9"/>
    <n v="137.6"/>
    <n v="125.3"/>
    <n v="136"/>
    <n v="143.69999999999999"/>
    <n v="130.4"/>
    <n v="134.19999999999999"/>
    <n v="139.1"/>
    <x v="188"/>
    <n v="143.80000000000001"/>
    <n v="125.3"/>
    <n v="143.69999999999999"/>
    <n v="1420.6000000000001"/>
  </r>
  <r>
    <x v="1"/>
    <d v="2018-04-01T00:00:00"/>
    <x v="5"/>
    <s v="April"/>
    <n v="4"/>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x v="189"/>
    <n v="124.6"/>
    <n v="118.9"/>
    <n v="139.69999999999999"/>
    <n v="1349.9999999999998"/>
  </r>
  <r>
    <x v="2"/>
    <d v="2018-04-01T00:00:00"/>
    <x v="5"/>
    <s v="April"/>
    <n v="4"/>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x v="190"/>
    <n v="136.5"/>
    <n v="121.9"/>
    <n v="141.4"/>
    <n v="1389.4"/>
  </r>
  <r>
    <x v="0"/>
    <d v="2018-05-01T00:00:00"/>
    <x v="5"/>
    <s v="May"/>
    <n v="5"/>
    <n v="137.4"/>
    <n v="145.69999999999999"/>
    <n v="135.5"/>
    <n v="142.9"/>
    <n v="123.6"/>
    <n v="157.5"/>
    <n v="137.80000000000001"/>
    <n v="127.2"/>
    <n v="111.8"/>
    <n v="137.4"/>
    <n v="132.19999999999999"/>
    <n v="154.30000000000001"/>
    <n v="139.1"/>
    <n v="157"/>
    <n v="150.80000000000001"/>
    <n v="144.1"/>
    <n v="149.80000000000001"/>
    <n v="143.19999999999999"/>
    <n v="144.30000000000001"/>
    <n v="141.80000000000001"/>
    <n v="138.4"/>
    <n v="126.4"/>
    <n v="136.80000000000001"/>
    <n v="144.4"/>
    <n v="131.19999999999999"/>
    <n v="135.1"/>
    <n v="139.80000000000001"/>
    <x v="191"/>
    <n v="144.30000000000001"/>
    <n v="126.4"/>
    <n v="144.4"/>
    <n v="1428.2"/>
  </r>
  <r>
    <x v="1"/>
    <d v="2018-05-01T00:00:00"/>
    <x v="5"/>
    <s v="May"/>
    <n v="5"/>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x v="192"/>
    <n v="124.7"/>
    <n v="119.8"/>
    <n v="140.4"/>
    <n v="1356.5"/>
  </r>
  <r>
    <x v="2"/>
    <d v="2018-05-01T00:00:00"/>
    <x v="5"/>
    <s v="May"/>
    <n v="5"/>
    <n v="136.6"/>
    <n v="146.6"/>
    <n v="133.6"/>
    <n v="142.1"/>
    <n v="121"/>
    <n v="154.6"/>
    <n v="135.6"/>
    <n v="122.3"/>
    <n v="109.6"/>
    <n v="138.1"/>
    <n v="129.9"/>
    <n v="151.69999999999999"/>
    <n v="138.1"/>
    <n v="157.9"/>
    <n v="146"/>
    <n v="137.4"/>
    <n v="144.69999999999999"/>
    <n v="143.19999999999999"/>
    <n v="136.9"/>
    <n v="137.4"/>
    <n v="136"/>
    <n v="122.9"/>
    <n v="131.80000000000001"/>
    <n v="142.1"/>
    <n v="129.9"/>
    <n v="132.1"/>
    <n v="137.80000000000001"/>
    <x v="139"/>
    <n v="136.9"/>
    <n v="122.9"/>
    <n v="142.1"/>
    <n v="1396.4"/>
  </r>
  <r>
    <x v="0"/>
    <d v="2018-06-01T00:00:00"/>
    <x v="5"/>
    <s v="June"/>
    <n v="6"/>
    <n v="137.6"/>
    <n v="148.1"/>
    <n v="136.69999999999999"/>
    <n v="143.19999999999999"/>
    <n v="124"/>
    <n v="154.1"/>
    <n v="143.5"/>
    <n v="126"/>
    <n v="112.4"/>
    <n v="137.6"/>
    <n v="132.80000000000001"/>
    <n v="154.30000000000001"/>
    <n v="140"/>
    <n v="157.30000000000001"/>
    <n v="151.30000000000001"/>
    <n v="144.69999999999999"/>
    <n v="150.30000000000001"/>
    <n v="142.5"/>
    <n v="145.1"/>
    <n v="142.19999999999999"/>
    <n v="138.4"/>
    <n v="127.4"/>
    <n v="137.80000000000001"/>
    <n v="145.1"/>
    <n v="131.4"/>
    <n v="135.6"/>
    <n v="140.5"/>
    <x v="193"/>
    <n v="145.1"/>
    <n v="127.4"/>
    <n v="145.1"/>
    <n v="1431.5"/>
  </r>
  <r>
    <x v="1"/>
    <d v="2018-06-01T00:00:00"/>
    <x v="5"/>
    <s v="June"/>
    <n v="6"/>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x v="194"/>
    <n v="126.5"/>
    <n v="120.4"/>
    <n v="141.19999999999999"/>
    <n v="1360.4"/>
  </r>
  <r>
    <x v="2"/>
    <d v="2018-06-01T00:00:00"/>
    <x v="5"/>
    <s v="June"/>
    <n v="6"/>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x v="195"/>
    <n v="138.1"/>
    <n v="123.7"/>
    <n v="142.80000000000001"/>
    <n v="1399.8999999999996"/>
  </r>
  <r>
    <x v="0"/>
    <d v="2018-07-01T00:00:00"/>
    <x v="5"/>
    <s v="July"/>
    <n v="7"/>
    <n v="138.4"/>
    <n v="149.30000000000001"/>
    <n v="139.30000000000001"/>
    <n v="143.4"/>
    <n v="124.1"/>
    <n v="153.30000000000001"/>
    <n v="154.19999999999999"/>
    <n v="126.4"/>
    <n v="114.3"/>
    <n v="138.19999999999999"/>
    <n v="132.80000000000001"/>
    <n v="154.80000000000001"/>
    <n v="142"/>
    <n v="156.1"/>
    <n v="151.5"/>
    <n v="145.1"/>
    <n v="150.6"/>
    <n v="143.6"/>
    <n v="146.80000000000001"/>
    <n v="143.1"/>
    <n v="139"/>
    <n v="127.5"/>
    <n v="138.4"/>
    <n v="145.80000000000001"/>
    <n v="131.4"/>
    <n v="136"/>
    <n v="141.80000000000001"/>
    <x v="196"/>
    <n v="146.80000000000001"/>
    <n v="127.5"/>
    <n v="145.80000000000001"/>
    <n v="1434.8000000000002"/>
  </r>
  <r>
    <x v="1"/>
    <d v="2018-07-01T00:00:00"/>
    <x v="5"/>
    <s v="July"/>
    <n v="7"/>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x v="197"/>
    <n v="128.1"/>
    <n v="120.1"/>
    <n v="144"/>
    <n v="1366"/>
  </r>
  <r>
    <x v="2"/>
    <d v="2018-07-01T00:00:00"/>
    <x v="5"/>
    <s v="July"/>
    <n v="7"/>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x v="198"/>
    <n v="139.69999999999999"/>
    <n v="123.6"/>
    <n v="144.69999999999999"/>
    <n v="1403.9"/>
  </r>
  <r>
    <x v="0"/>
    <d v="2018-08-01T00:00:00"/>
    <x v="5"/>
    <s v="August"/>
    <n v="8"/>
    <n v="139.19999999999999"/>
    <n v="148.80000000000001"/>
    <n v="139.1"/>
    <n v="143.5"/>
    <n v="125"/>
    <n v="154.4"/>
    <n v="156.30000000000001"/>
    <n v="126.8"/>
    <n v="115.4"/>
    <n v="138.6"/>
    <n v="133.80000000000001"/>
    <n v="155.19999999999999"/>
    <n v="142.69999999999999"/>
    <n v="156.4"/>
    <n v="152.1"/>
    <n v="145.80000000000001"/>
    <n v="151.30000000000001"/>
    <n v="144.6"/>
    <n v="147.69999999999999"/>
    <n v="143.80000000000001"/>
    <n v="139.4"/>
    <n v="128.30000000000001"/>
    <n v="138.6"/>
    <n v="146.9"/>
    <n v="131.30000000000001"/>
    <n v="136.6"/>
    <n v="142.5"/>
    <x v="199"/>
    <n v="147.69999999999999"/>
    <n v="128.30000000000001"/>
    <n v="146.9"/>
    <n v="1439.8999999999999"/>
  </r>
  <r>
    <x v="1"/>
    <d v="2018-08-01T00:00:00"/>
    <x v="5"/>
    <s v="August"/>
    <n v="8"/>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x v="200"/>
    <n v="129.80000000000001"/>
    <n v="120.7"/>
    <n v="145.30000000000001"/>
    <n v="1372.4"/>
  </r>
  <r>
    <x v="2"/>
    <d v="2018-08-01T00:00:00"/>
    <x v="5"/>
    <s v="August"/>
    <n v="8"/>
    <n v="138.30000000000001"/>
    <n v="148"/>
    <n v="138.1"/>
    <n v="142.6"/>
    <n v="122.2"/>
    <n v="150.6"/>
    <n v="156.6"/>
    <n v="122.4"/>
    <n v="114.7"/>
    <n v="139.4"/>
    <n v="131.1"/>
    <n v="153"/>
    <n v="141.69999999999999"/>
    <n v="157.9"/>
    <n v="147.30000000000001"/>
    <n v="138.80000000000001"/>
    <n v="146.1"/>
    <n v="144.6"/>
    <n v="140.9"/>
    <n v="139.4"/>
    <n v="137.69999999999999"/>
    <n v="124.3"/>
    <n v="133.6"/>
    <n v="146"/>
    <n v="130.1"/>
    <n v="133.9"/>
    <n v="140.4"/>
    <x v="201"/>
    <n v="140.9"/>
    <n v="124.3"/>
    <n v="146"/>
    <n v="1409.3999999999999"/>
  </r>
  <r>
    <x v="0"/>
    <d v="2018-09-01T00:00:00"/>
    <x v="5"/>
    <s v="September"/>
    <n v="9"/>
    <n v="139.4"/>
    <n v="147.19999999999999"/>
    <n v="136.6"/>
    <n v="143.69999999999999"/>
    <n v="124.6"/>
    <n v="150.1"/>
    <n v="149.4"/>
    <n v="125.4"/>
    <n v="114.4"/>
    <n v="138.69999999999999"/>
    <n v="133.1"/>
    <n v="155.9"/>
    <n v="141.30000000000001"/>
    <n v="157.69999999999999"/>
    <n v="152.1"/>
    <n v="146.1"/>
    <n v="151.30000000000001"/>
    <n v="145.30000000000001"/>
    <n v="149"/>
    <n v="144"/>
    <n v="140"/>
    <n v="129.9"/>
    <n v="140"/>
    <n v="147.6"/>
    <n v="132"/>
    <n v="137.4"/>
    <n v="142.1"/>
    <x v="202"/>
    <n v="149"/>
    <n v="129.9"/>
    <n v="147.6"/>
    <n v="1445.9"/>
  </r>
  <r>
    <x v="1"/>
    <d v="2018-09-01T00:00:00"/>
    <x v="5"/>
    <s v="September"/>
    <n v="9"/>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x v="203"/>
    <n v="131.19999999999999"/>
    <n v="122.5"/>
    <n v="145.19999999999999"/>
    <n v="1379.8"/>
  </r>
  <r>
    <x v="2"/>
    <d v="2018-09-01T00:00:00"/>
    <x v="5"/>
    <s v="September"/>
    <n v="9"/>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x v="204"/>
    <n v="142.30000000000001"/>
    <n v="126"/>
    <n v="146.19999999999999"/>
    <n v="1416.0000000000002"/>
  </r>
  <r>
    <x v="0"/>
    <d v="2018-10-01T00:00:00"/>
    <x v="5"/>
    <s v="October"/>
    <n v="10"/>
    <n v="139.30000000000001"/>
    <n v="147.6"/>
    <n v="134.6"/>
    <n v="141.9"/>
    <n v="123.5"/>
    <n v="144.5"/>
    <n v="147.6"/>
    <n v="121.4"/>
    <n v="112.3"/>
    <n v="139.5"/>
    <n v="134.6"/>
    <n v="155.19999999999999"/>
    <n v="140.19999999999999"/>
    <n v="159.6"/>
    <n v="150.69999999999999"/>
    <n v="144.5"/>
    <n v="149.80000000000001"/>
    <n v="146.30000000000001"/>
    <n v="149.69999999999999"/>
    <n v="147.5"/>
    <n v="144.80000000000001"/>
    <n v="130.80000000000001"/>
    <n v="140.1"/>
    <n v="148"/>
    <n v="134.4"/>
    <n v="139.80000000000001"/>
    <n v="142.19999999999999"/>
    <x v="205"/>
    <n v="149.69999999999999"/>
    <n v="130.80000000000001"/>
    <n v="148"/>
    <n v="1457.4999999999998"/>
  </r>
  <r>
    <x v="1"/>
    <d v="2018-10-01T00:00:00"/>
    <x v="5"/>
    <s v="October"/>
    <n v="10"/>
    <n v="137.6"/>
    <n v="144.9"/>
    <n v="133.5"/>
    <n v="141.5"/>
    <n v="118"/>
    <n v="139.5"/>
    <n v="153"/>
    <n v="113.2"/>
    <n v="112.8"/>
    <n v="141.1"/>
    <n v="127.6"/>
    <n v="152"/>
    <n v="139.4"/>
    <n v="164"/>
    <n v="141.5"/>
    <n v="129.80000000000001"/>
    <n v="139.69999999999999"/>
    <n v="146.30000000000001"/>
    <n v="133.4"/>
    <n v="135.1"/>
    <n v="136.19999999999999"/>
    <n v="123.3"/>
    <n v="130.69999999999999"/>
    <n v="145.5"/>
    <n v="130.4"/>
    <n v="132.5"/>
    <n v="138.9"/>
    <x v="206"/>
    <n v="133.4"/>
    <n v="123.3"/>
    <n v="145.5"/>
    <n v="1386.2"/>
  </r>
  <r>
    <x v="2"/>
    <d v="2018-10-01T00:00:00"/>
    <x v="5"/>
    <s v="October"/>
    <n v="10"/>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x v="207"/>
    <n v="145.30000000000001"/>
    <n v="125.5"/>
    <n v="147.80000000000001"/>
    <n v="1432.6"/>
  </r>
  <r>
    <x v="0"/>
    <d v="2018-11-01T00:00:00"/>
    <x v="5"/>
    <s v="November"/>
    <n v="11"/>
    <n v="137.1"/>
    <n v="150.80000000000001"/>
    <n v="136.69999999999999"/>
    <n v="141.9"/>
    <n v="122.8"/>
    <n v="143.9"/>
    <n v="147.5"/>
    <n v="121"/>
    <n v="111.6"/>
    <n v="140.6"/>
    <n v="137.5"/>
    <n v="156.1"/>
    <n v="140"/>
    <n v="161.9"/>
    <n v="151.69999999999999"/>
    <n v="145.5"/>
    <n v="150.80000000000001"/>
    <n v="146.9"/>
    <n v="150.30000000000001"/>
    <n v="148"/>
    <n v="145.4"/>
    <n v="130.30000000000001"/>
    <n v="143.1"/>
    <n v="150.19999999999999"/>
    <n v="133.1"/>
    <n v="140.1"/>
    <n v="142.4"/>
    <x v="208"/>
    <n v="150.30000000000001"/>
    <n v="130.30000000000001"/>
    <n v="150.19999999999999"/>
    <n v="1466.4999999999998"/>
  </r>
  <r>
    <x v="1"/>
    <d v="2018-11-01T00:00:00"/>
    <x v="5"/>
    <s v="November"/>
    <n v="11"/>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x v="209"/>
    <n v="136.69999999999999"/>
    <n v="121.2"/>
    <n v="146.1"/>
    <n v="1391"/>
  </r>
  <r>
    <x v="2"/>
    <d v="2018-11-01T00:00:00"/>
    <x v="5"/>
    <s v="November"/>
    <n v="11"/>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x v="210"/>
    <n v="145.1"/>
    <n v="125.5"/>
    <n v="147.80000000000001"/>
    <n v="1432.3999999999999"/>
  </r>
  <r>
    <x v="0"/>
    <d v="2018-12-01T00:00:00"/>
    <x v="5"/>
    <s v="December"/>
    <n v="12"/>
    <n v="137.1"/>
    <n v="151.9"/>
    <n v="137.4"/>
    <n v="142.4"/>
    <n v="124.2"/>
    <n v="140.19999999999999"/>
    <n v="136.6"/>
    <n v="120.9"/>
    <n v="109.9"/>
    <n v="140.19999999999999"/>
    <n v="137.80000000000001"/>
    <n v="156"/>
    <n v="138.5"/>
    <n v="162.4"/>
    <n v="151.6"/>
    <n v="145.9"/>
    <n v="150.80000000000001"/>
    <n v="146.5"/>
    <n v="149"/>
    <n v="149.5"/>
    <n v="149.6"/>
    <n v="128.9"/>
    <n v="143.30000000000001"/>
    <n v="155.1"/>
    <n v="133.19999999999999"/>
    <n v="141.6"/>
    <n v="141.9"/>
    <x v="211"/>
    <n v="149"/>
    <n v="128.9"/>
    <n v="155.1"/>
    <n v="1474.3999999999999"/>
  </r>
  <r>
    <x v="1"/>
    <d v="2018-12-01T00:00:00"/>
    <x v="5"/>
    <s v="December"/>
    <n v="12"/>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x v="212"/>
    <n v="132.4"/>
    <n v="118.8"/>
    <n v="146.5"/>
    <n v="1392.6"/>
  </r>
  <r>
    <x v="2"/>
    <d v="2018-12-01T00:00:00"/>
    <x v="5"/>
    <s v="December"/>
    <n v="12"/>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x v="213"/>
    <n v="142.69999999999999"/>
    <n v="123.6"/>
    <n v="150.1"/>
    <n v="1437.7"/>
  </r>
  <r>
    <x v="0"/>
    <d v="2019-01-01T00:00:00"/>
    <x v="6"/>
    <s v="January"/>
    <n v="1"/>
    <n v="136.6"/>
    <n v="152.5"/>
    <n v="138.19999999999999"/>
    <n v="142.4"/>
    <n v="123.9"/>
    <n v="135.5"/>
    <n v="131.69999999999999"/>
    <n v="121.3"/>
    <n v="108.4"/>
    <n v="138.9"/>
    <n v="137"/>
    <n v="155.80000000000001"/>
    <n v="137.4"/>
    <n v="162.69999999999999"/>
    <n v="150.6"/>
    <n v="145.1"/>
    <n v="149.9"/>
    <n v="147.69999999999999"/>
    <n v="146.19999999999999"/>
    <n v="150.1"/>
    <n v="149.6"/>
    <n v="128.6"/>
    <n v="142.9"/>
    <n v="155.19999999999999"/>
    <n v="133.5"/>
    <n v="141.69999999999999"/>
    <n v="141"/>
    <x v="214"/>
    <n v="146.19999999999999"/>
    <n v="128.6"/>
    <n v="155.19999999999999"/>
    <n v="1473.8000000000002"/>
  </r>
  <r>
    <x v="1"/>
    <d v="2019-01-01T00:00:00"/>
    <x v="6"/>
    <s v="January"/>
    <n v="1"/>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x v="215"/>
    <n v="128.6"/>
    <n v="118.6"/>
    <n v="146.6"/>
    <n v="1396.4"/>
  </r>
  <r>
    <x v="2"/>
    <d v="2019-01-01T00:00:00"/>
    <x v="6"/>
    <s v="January"/>
    <n v="1"/>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x v="216"/>
    <n v="139.5"/>
    <n v="123.3"/>
    <n v="150.19999999999999"/>
    <n v="1439"/>
  </r>
  <r>
    <x v="0"/>
    <d v="2019-02-01T00:00:00"/>
    <x v="6"/>
    <s v="February"/>
    <n v="2"/>
    <n v="136.80000000000001"/>
    <n v="153"/>
    <n v="139.1"/>
    <n v="142.5"/>
    <n v="124.1"/>
    <n v="135.80000000000001"/>
    <n v="128.69999999999999"/>
    <n v="121.5"/>
    <n v="108.3"/>
    <n v="139.19999999999999"/>
    <n v="137.4"/>
    <n v="156.19999999999999"/>
    <n v="137.19999999999999"/>
    <n v="162.80000000000001"/>
    <n v="150.5"/>
    <n v="146.1"/>
    <n v="149.9"/>
    <n v="148.5"/>
    <n v="145.30000000000001"/>
    <n v="150.1"/>
    <n v="149.9"/>
    <n v="129.19999999999999"/>
    <n v="143.4"/>
    <n v="155.5"/>
    <n v="134.9"/>
    <n v="142.19999999999999"/>
    <n v="141"/>
    <x v="217"/>
    <n v="145.30000000000001"/>
    <n v="129.19999999999999"/>
    <n v="155.5"/>
    <n v="1478.3000000000002"/>
  </r>
  <r>
    <x v="1"/>
    <d v="2019-02-01T00:00:00"/>
    <x v="6"/>
    <s v="February"/>
    <n v="2"/>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x v="218"/>
    <n v="127.1"/>
    <n v="119.2"/>
    <n v="146.6"/>
    <n v="1401.6000000000001"/>
  </r>
  <r>
    <x v="2"/>
    <d v="2019-02-01T00:00:00"/>
    <x v="6"/>
    <s v="February"/>
    <n v="2"/>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x v="219"/>
    <n v="138.4"/>
    <n v="123.9"/>
    <n v="150.30000000000001"/>
    <n v="1443.6999999999998"/>
  </r>
  <r>
    <x v="0"/>
    <d v="2019-03-01T00:00:00"/>
    <x v="6"/>
    <s v="March"/>
    <n v="3"/>
    <n v="136.9"/>
    <n v="154.1"/>
    <n v="138.69999999999999"/>
    <n v="142.5"/>
    <n v="124.1"/>
    <n v="136.1"/>
    <n v="128.19999999999999"/>
    <n v="122.3"/>
    <n v="108.3"/>
    <n v="138.9"/>
    <n v="137.4"/>
    <n v="156.4"/>
    <n v="137.30000000000001"/>
    <n v="162.9"/>
    <n v="150.80000000000001"/>
    <n v="146.1"/>
    <n v="150.1"/>
    <n v="149"/>
    <n v="146.4"/>
    <n v="150"/>
    <n v="150.4"/>
    <n v="129.9"/>
    <n v="143.80000000000001"/>
    <n v="155.5"/>
    <n v="134"/>
    <n v="142.4"/>
    <n v="141.19999999999999"/>
    <x v="220"/>
    <n v="146.4"/>
    <n v="129.9"/>
    <n v="155.5"/>
    <n v="1479.5000000000002"/>
  </r>
  <r>
    <x v="1"/>
    <d v="2019-03-01T00:00:00"/>
    <x v="6"/>
    <s v="March"/>
    <n v="3"/>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x v="221"/>
    <n v="128.80000000000001"/>
    <n v="119.9"/>
    <n v="146.69999999999999"/>
    <n v="1404.9"/>
  </r>
  <r>
    <x v="2"/>
    <d v="2019-03-01T00:00:00"/>
    <x v="6"/>
    <s v="March"/>
    <n v="3"/>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x v="222"/>
    <n v="139.69999999999999"/>
    <n v="124.6"/>
    <n v="150.30000000000001"/>
    <n v="1445.8000000000002"/>
  </r>
  <r>
    <x v="0"/>
    <d v="2019-05-01T00:00:00"/>
    <x v="6"/>
    <s v="May"/>
    <n v="5"/>
    <n v="137.4"/>
    <n v="159.5"/>
    <n v="134.5"/>
    <n v="142.6"/>
    <n v="124"/>
    <n v="143.69999999999999"/>
    <n v="133.4"/>
    <n v="125.1"/>
    <n v="109.3"/>
    <n v="139.30000000000001"/>
    <n v="137.69999999999999"/>
    <n v="156.4"/>
    <n v="139.19999999999999"/>
    <n v="163.30000000000001"/>
    <n v="151.30000000000001"/>
    <n v="146.6"/>
    <n v="150.69999999999999"/>
    <n v="150.1"/>
    <n v="146.9"/>
    <n v="149.5"/>
    <n v="151.30000000000001"/>
    <n v="130.19999999999999"/>
    <n v="145.9"/>
    <n v="156.69999999999999"/>
    <n v="133.9"/>
    <n v="142.9"/>
    <n v="142.4"/>
    <x v="223"/>
    <n v="146.9"/>
    <n v="130.19999999999999"/>
    <n v="156.69999999999999"/>
    <n v="1485.5000000000005"/>
  </r>
  <r>
    <x v="1"/>
    <d v="2019-05-01T00:00:00"/>
    <x v="6"/>
    <s v="May"/>
    <n v="5"/>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x v="126"/>
    <n v="129.4"/>
    <n v="120.1"/>
    <n v="148"/>
    <n v="1411.0999999999997"/>
  </r>
  <r>
    <x v="2"/>
    <d v="2019-05-01T00:00:00"/>
    <x v="6"/>
    <s v="May"/>
    <n v="5"/>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x v="224"/>
    <n v="140.30000000000001"/>
    <n v="124.9"/>
    <n v="151.6"/>
    <n v="1451.7000000000003"/>
  </r>
  <r>
    <x v="0"/>
    <d v="2019-06-01T00:00:00"/>
    <x v="6"/>
    <s v="June"/>
    <n v="6"/>
    <n v="137.80000000000001"/>
    <n v="163.5"/>
    <n v="136.19999999999999"/>
    <n v="143.19999999999999"/>
    <n v="124.3"/>
    <n v="143.30000000000001"/>
    <n v="140.6"/>
    <n v="128.69999999999999"/>
    <n v="110.6"/>
    <n v="140.4"/>
    <n v="138"/>
    <n v="156.6"/>
    <n v="141"/>
    <n v="164.2"/>
    <n v="151.4"/>
    <n v="146.5"/>
    <n v="150.69999999999999"/>
    <n v="149.4"/>
    <n v="147.80000000000001"/>
    <n v="149.6"/>
    <n v="151.69999999999999"/>
    <n v="130.19999999999999"/>
    <n v="146.4"/>
    <n v="157.69999999999999"/>
    <n v="134.80000000000001"/>
    <n v="143.30000000000001"/>
    <n v="143.6"/>
    <x v="225"/>
    <n v="147.80000000000001"/>
    <n v="130.19999999999999"/>
    <n v="157.69999999999999"/>
    <n v="1488"/>
  </r>
  <r>
    <x v="1"/>
    <d v="2019-06-01T00:00:00"/>
    <x v="6"/>
    <s v="June"/>
    <n v="6"/>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x v="226"/>
    <n v="130.5"/>
    <n v="119.6"/>
    <n v="148.9"/>
    <n v="1413.8"/>
  </r>
  <r>
    <x v="2"/>
    <d v="2019-06-01T00:00:00"/>
    <x v="6"/>
    <s v="June"/>
    <n v="6"/>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x v="227"/>
    <n v="141.19999999999999"/>
    <n v="124.6"/>
    <n v="152.5"/>
    <n v="1454.3999999999999"/>
  </r>
  <r>
    <x v="0"/>
    <d v="2019-07-01T00:00:00"/>
    <x v="6"/>
    <s v="July"/>
    <n v="7"/>
    <n v="138.4"/>
    <n v="164"/>
    <n v="138.4"/>
    <n v="143.9"/>
    <n v="124.4"/>
    <n v="146.4"/>
    <n v="150.1"/>
    <n v="130.6"/>
    <n v="110.8"/>
    <n v="141.69999999999999"/>
    <n v="138.5"/>
    <n v="156.69999999999999"/>
    <n v="143"/>
    <n v="164.5"/>
    <n v="151.6"/>
    <n v="146.6"/>
    <n v="150.9"/>
    <n v="150.6"/>
    <n v="146.80000000000001"/>
    <n v="150"/>
    <n v="152.19999999999999"/>
    <n v="131.19999999999999"/>
    <n v="147.5"/>
    <n v="159.1"/>
    <n v="136.1"/>
    <n v="144.19999999999999"/>
    <n v="144.9"/>
    <x v="228"/>
    <n v="146.80000000000001"/>
    <n v="131.19999999999999"/>
    <n v="159.1"/>
    <n v="1494.2"/>
  </r>
  <r>
    <x v="1"/>
    <d v="2019-07-01T00:00:00"/>
    <x v="6"/>
    <s v="July"/>
    <n v="7"/>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x v="229"/>
    <n v="127"/>
    <n v="120.6"/>
    <n v="150.4"/>
    <n v="1420.1999999999998"/>
  </r>
  <r>
    <x v="2"/>
    <d v="2019-07-01T00:00:00"/>
    <x v="6"/>
    <s v="July"/>
    <n v="7"/>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x v="230"/>
    <n v="139.30000000000001"/>
    <n v="125.6"/>
    <n v="154"/>
    <n v="1460.6000000000001"/>
  </r>
  <r>
    <x v="0"/>
    <d v="2019-08-01T00:00:00"/>
    <x v="6"/>
    <s v="August"/>
    <n v="8"/>
    <n v="139.19999999999999"/>
    <n v="161.9"/>
    <n v="137.1"/>
    <n v="144.6"/>
    <n v="124.7"/>
    <n v="145.5"/>
    <n v="156.19999999999999"/>
    <n v="131.5"/>
    <n v="111.7"/>
    <n v="142.69999999999999"/>
    <n v="138.5"/>
    <n v="156.9"/>
    <n v="144"/>
    <n v="165.1"/>
    <n v="151.80000000000001"/>
    <n v="146.6"/>
    <n v="151.1"/>
    <n v="151.6"/>
    <n v="146.4"/>
    <n v="150.19999999999999"/>
    <n v="152.69999999999999"/>
    <n v="131.4"/>
    <n v="148"/>
    <n v="159.69999999999999"/>
    <n v="138.80000000000001"/>
    <n v="144.9"/>
    <n v="145.69999999999999"/>
    <x v="231"/>
    <n v="146.4"/>
    <n v="131.4"/>
    <n v="159.69999999999999"/>
    <n v="1500.8000000000002"/>
  </r>
  <r>
    <x v="1"/>
    <d v="2019-08-01T00:00:00"/>
    <x v="6"/>
    <s v="August"/>
    <n v="8"/>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x v="232"/>
    <n v="125.5"/>
    <n v="120.8"/>
    <n v="151.5"/>
    <n v="1427.8"/>
  </r>
  <r>
    <x v="2"/>
    <d v="2019-08-01T00:00:00"/>
    <x v="6"/>
    <s v="August"/>
    <n v="8"/>
    <n v="140.1"/>
    <n v="160.6"/>
    <n v="138.5"/>
    <n v="144.69999999999999"/>
    <n v="122.9"/>
    <n v="149.4"/>
    <n v="167.4"/>
    <n v="130.9"/>
    <n v="112"/>
    <n v="142.6"/>
    <n v="134.9"/>
    <n v="156.6"/>
    <n v="145.9"/>
    <n v="165.8"/>
    <n v="149.1"/>
    <n v="140.6"/>
    <n v="147.9"/>
    <n v="151.6"/>
    <n v="138.5"/>
    <n v="144.5"/>
    <n v="148.5"/>
    <n v="125.8"/>
    <n v="140.9"/>
    <n v="154.9"/>
    <n v="138.4"/>
    <n v="140.19999999999999"/>
    <n v="145"/>
    <x v="233"/>
    <n v="138.5"/>
    <n v="125.8"/>
    <n v="154.9"/>
    <n v="1467.5000000000002"/>
  </r>
  <r>
    <x v="0"/>
    <d v="2019-09-01T00:00:00"/>
    <x v="6"/>
    <s v="September"/>
    <n v="9"/>
    <n v="140.1"/>
    <n v="161.9"/>
    <n v="138.30000000000001"/>
    <n v="145.69999999999999"/>
    <n v="125.1"/>
    <n v="143.80000000000001"/>
    <n v="163.4"/>
    <n v="132.19999999999999"/>
    <n v="112.8"/>
    <n v="144.19999999999999"/>
    <n v="138.5"/>
    <n v="157.19999999999999"/>
    <n v="145.5"/>
    <n v="165.7"/>
    <n v="151.69999999999999"/>
    <n v="146.6"/>
    <n v="151"/>
    <n v="152.19999999999999"/>
    <n v="146.9"/>
    <n v="150.30000000000001"/>
    <n v="153.4"/>
    <n v="131.6"/>
    <n v="148.30000000000001"/>
    <n v="160.19999999999999"/>
    <n v="140.19999999999999"/>
    <n v="145.4"/>
    <n v="146.69999999999999"/>
    <x v="234"/>
    <n v="146.9"/>
    <n v="131.6"/>
    <n v="160.19999999999999"/>
    <n v="1504.8000000000002"/>
  </r>
  <r>
    <x v="1"/>
    <d v="2019-09-01T00:00:00"/>
    <x v="6"/>
    <s v="September"/>
    <n v="9"/>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x v="235"/>
    <n v="126.6"/>
    <n v="121.2"/>
    <n v="151.6"/>
    <n v="1432.3999999999999"/>
  </r>
  <r>
    <x v="2"/>
    <d v="2019-09-01T00:00:00"/>
    <x v="6"/>
    <s v="September"/>
    <n v="9"/>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x v="236"/>
    <n v="139.19999999999999"/>
    <n v="126.1"/>
    <n v="155.19999999999999"/>
    <n v="1471.7"/>
  </r>
  <r>
    <x v="0"/>
    <d v="2019-10-01T00:00:00"/>
    <x v="6"/>
    <s v="October"/>
    <n v="10"/>
    <n v="141"/>
    <n v="161.6"/>
    <n v="141.19999999999999"/>
    <n v="146.5"/>
    <n v="125.6"/>
    <n v="145.69999999999999"/>
    <n v="178.8"/>
    <n v="133.1"/>
    <n v="113.6"/>
    <n v="145.5"/>
    <n v="138.6"/>
    <n v="157.4"/>
    <n v="148.30000000000001"/>
    <n v="166.3"/>
    <n v="151.69999999999999"/>
    <n v="146.69999999999999"/>
    <n v="151"/>
    <n v="153"/>
    <n v="147.69999999999999"/>
    <n v="150.6"/>
    <n v="153.69999999999999"/>
    <n v="131.69999999999999"/>
    <n v="148.69999999999999"/>
    <n v="160.69999999999999"/>
    <n v="140.30000000000001"/>
    <n v="145.69999999999999"/>
    <n v="148.30000000000001"/>
    <x v="237"/>
    <n v="147.69999999999999"/>
    <n v="131.69999999999999"/>
    <n v="160.69999999999999"/>
    <n v="1507.7"/>
  </r>
  <r>
    <x v="1"/>
    <d v="2019-10-01T00:00:00"/>
    <x v="6"/>
    <s v="October"/>
    <n v="10"/>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x v="238"/>
    <n v="128.9"/>
    <n v="121.5"/>
    <n v="151.69999999999999"/>
    <n v="1437.3000000000002"/>
  </r>
  <r>
    <x v="2"/>
    <d v="2019-10-01T00:00:00"/>
    <x v="6"/>
    <s v="October"/>
    <n v="10"/>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x v="239"/>
    <n v="140.6"/>
    <n v="126.3"/>
    <n v="155.4"/>
    <n v="1475.6000000000001"/>
  </r>
  <r>
    <x v="0"/>
    <d v="2019-11-01T00:00:00"/>
    <x v="6"/>
    <s v="November"/>
    <n v="11"/>
    <n v="141.80000000000001"/>
    <n v="163.69999999999999"/>
    <n v="143.80000000000001"/>
    <n v="147.1"/>
    <n v="126"/>
    <n v="146.19999999999999"/>
    <n v="191.4"/>
    <n v="136.19999999999999"/>
    <n v="113.8"/>
    <n v="147.30000000000001"/>
    <n v="138.69999999999999"/>
    <n v="157.69999999999999"/>
    <n v="150.9"/>
    <n v="167.2"/>
    <n v="152.30000000000001"/>
    <n v="147"/>
    <n v="151.5"/>
    <n v="153.5"/>
    <n v="148.4"/>
    <n v="150.9"/>
    <n v="154.30000000000001"/>
    <n v="132.1"/>
    <n v="149.1"/>
    <n v="160.80000000000001"/>
    <n v="140.6"/>
    <n v="146.1"/>
    <n v="149.9"/>
    <x v="240"/>
    <n v="148.4"/>
    <n v="132.1"/>
    <n v="160.80000000000001"/>
    <n v="1512.4999999999998"/>
  </r>
  <r>
    <x v="1"/>
    <d v="2019-11-01T00:00:00"/>
    <x v="6"/>
    <s v="November"/>
    <n v="11"/>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x v="241"/>
    <n v="132.19999999999999"/>
    <n v="121.7"/>
    <n v="151.80000000000001"/>
    <n v="1441.2"/>
  </r>
  <r>
    <x v="2"/>
    <d v="2019-11-01T00:00:00"/>
    <x v="6"/>
    <s v="November"/>
    <n v="11"/>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x v="242"/>
    <n v="142.30000000000001"/>
    <n v="126.6"/>
    <n v="155.5"/>
    <n v="1479.8"/>
  </r>
  <r>
    <x v="0"/>
    <d v="2019-12-01T00:00:00"/>
    <x v="6"/>
    <s v="December"/>
    <n v="12"/>
    <n v="142.80000000000001"/>
    <n v="165.3"/>
    <n v="149.5"/>
    <n v="148.69999999999999"/>
    <n v="127.5"/>
    <n v="144.30000000000001"/>
    <n v="209.5"/>
    <n v="138.80000000000001"/>
    <n v="113.6"/>
    <n v="149.1"/>
    <n v="139.30000000000001"/>
    <n v="158.30000000000001"/>
    <n v="154.30000000000001"/>
    <n v="167.8"/>
    <n v="152.6"/>
    <n v="147.30000000000001"/>
    <n v="151.9"/>
    <n v="152.80000000000001"/>
    <n v="149.9"/>
    <n v="151.19999999999999"/>
    <n v="154.80000000000001"/>
    <n v="135"/>
    <n v="149.5"/>
    <n v="161.1"/>
    <n v="140.6"/>
    <n v="147.1"/>
    <n v="152.30000000000001"/>
    <x v="243"/>
    <n v="149.9"/>
    <n v="135"/>
    <n v="161.1"/>
    <n v="1515.6"/>
  </r>
  <r>
    <x v="1"/>
    <d v="2019-12-01T00:00:00"/>
    <x v="6"/>
    <s v="December"/>
    <n v="12"/>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x v="244"/>
    <n v="133.6"/>
    <n v="125.2"/>
    <n v="151.9"/>
    <n v="1445.1000000000001"/>
  </r>
  <r>
    <x v="2"/>
    <d v="2019-12-01T00:00:00"/>
    <x v="6"/>
    <s v="December"/>
    <n v="12"/>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x v="245"/>
    <n v="143.69999999999999"/>
    <n v="129.80000000000001"/>
    <n v="155.69999999999999"/>
    <n v="1483.3000000000002"/>
  </r>
  <r>
    <x v="0"/>
    <d v="2020-01-01T00:00:00"/>
    <x v="7"/>
    <s v="January"/>
    <n v="1"/>
    <n v="143.69999999999999"/>
    <n v="167.3"/>
    <n v="153.5"/>
    <n v="150.5"/>
    <n v="132"/>
    <n v="142.19999999999999"/>
    <n v="191.5"/>
    <n v="141.1"/>
    <n v="113.8"/>
    <n v="151.6"/>
    <n v="139.69999999999999"/>
    <n v="158.69999999999999"/>
    <n v="153"/>
    <n v="168.6"/>
    <n v="152.80000000000001"/>
    <n v="147.4"/>
    <n v="152.1"/>
    <n v="153.9"/>
    <n v="150.4"/>
    <n v="151.69999999999999"/>
    <n v="155.69999999999999"/>
    <n v="136.30000000000001"/>
    <n v="150.1"/>
    <n v="161.69999999999999"/>
    <n v="142.5"/>
    <n v="148.1"/>
    <n v="151.9"/>
    <x v="246"/>
    <n v="150.4"/>
    <n v="136.30000000000001"/>
    <n v="161.69999999999999"/>
    <n v="1522.8999999999999"/>
  </r>
  <r>
    <x v="1"/>
    <d v="2020-01-01T00:00:00"/>
    <x v="7"/>
    <s v="January"/>
    <n v="1"/>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x v="247"/>
    <n v="135.1"/>
    <n v="126.1"/>
    <n v="152.1"/>
    <n v="1451.4"/>
  </r>
  <r>
    <x v="2"/>
    <d v="2020-01-01T00:00:00"/>
    <x v="7"/>
    <s v="January"/>
    <n v="1"/>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x v="248"/>
    <n v="144.6"/>
    <n v="130.9"/>
    <n v="156.1"/>
    <n v="1490.2"/>
  </r>
  <r>
    <x v="0"/>
    <d v="2020-02-01T00:00:00"/>
    <x v="7"/>
    <s v="February"/>
    <n v="2"/>
    <n v="144.19999999999999"/>
    <n v="167.5"/>
    <n v="150.9"/>
    <n v="150.9"/>
    <n v="133.69999999999999"/>
    <n v="140.69999999999999"/>
    <n v="165.1"/>
    <n v="141.80000000000001"/>
    <n v="113.1"/>
    <n v="152.80000000000001"/>
    <n v="140.1"/>
    <n v="159.19999999999999"/>
    <n v="149.80000000000001"/>
    <n v="169.4"/>
    <n v="153"/>
    <n v="147.5"/>
    <n v="152.30000000000001"/>
    <n v="154.80000000000001"/>
    <n v="152.30000000000001"/>
    <n v="151.80000000000001"/>
    <n v="156.19999999999999"/>
    <n v="136"/>
    <n v="150.4"/>
    <n v="161.9"/>
    <n v="143.4"/>
    <n v="148.4"/>
    <n v="150.4"/>
    <x v="249"/>
    <n v="152.30000000000001"/>
    <n v="136"/>
    <n v="161.9"/>
    <n v="1527.2000000000003"/>
  </r>
  <r>
    <x v="1"/>
    <d v="2020-02-01T00:00:00"/>
    <x v="7"/>
    <s v="February"/>
    <n v="2"/>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x v="250"/>
    <n v="138.9"/>
    <n v="125.2"/>
    <n v="152.19999999999999"/>
    <n v="1457.2"/>
  </r>
  <r>
    <x v="2"/>
    <d v="2020-02-01T00:00:00"/>
    <x v="7"/>
    <s v="February"/>
    <n v="2"/>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x v="251"/>
    <n v="147.19999999999999"/>
    <n v="130.30000000000001"/>
    <n v="156.19999999999999"/>
    <n v="1495.1999999999998"/>
  </r>
  <r>
    <x v="0"/>
    <d v="2020-03-01T00:00:00"/>
    <x v="7"/>
    <s v="March"/>
    <n v="3"/>
    <n v="144.4"/>
    <n v="166.8"/>
    <n v="147.6"/>
    <n v="151.69999999999999"/>
    <n v="133.30000000000001"/>
    <n v="141.80000000000001"/>
    <n v="152.30000000000001"/>
    <n v="141.80000000000001"/>
    <n v="112.6"/>
    <n v="154"/>
    <n v="140.1"/>
    <n v="160"/>
    <n v="148.19999999999999"/>
    <n v="170.5"/>
    <n v="153.4"/>
    <n v="147.6"/>
    <n v="152.5"/>
    <n v="154.5"/>
    <n v="153.4"/>
    <n v="151.5"/>
    <n v="156.69999999999999"/>
    <n v="135.80000000000001"/>
    <n v="151.19999999999999"/>
    <n v="161.19999999999999"/>
    <n v="145.1"/>
    <n v="148.6"/>
    <n v="149.80000000000001"/>
    <x v="252"/>
    <n v="153.4"/>
    <n v="135.80000000000001"/>
    <n v="161.19999999999999"/>
    <n v="1531.6"/>
  </r>
  <r>
    <x v="1"/>
    <d v="2020-03-01T00:00:00"/>
    <x v="7"/>
    <s v="March"/>
    <n v="3"/>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x v="253"/>
    <n v="141.4"/>
    <n v="124.6"/>
    <n v="152.5"/>
    <n v="1462.6000000000001"/>
  </r>
  <r>
    <x v="2"/>
    <d v="2020-03-01T00:00:00"/>
    <x v="7"/>
    <s v="March"/>
    <n v="3"/>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x v="254"/>
    <n v="148.9"/>
    <n v="129.9"/>
    <n v="156.1"/>
    <n v="1500"/>
  </r>
  <r>
    <x v="0"/>
    <d v="2020-04-01T00:00:00"/>
    <x v="7"/>
    <s v="April"/>
    <n v="4"/>
    <n v="147.19999999999999"/>
    <n v="167"/>
    <n v="146.9"/>
    <n v="155.6"/>
    <n v="137.1"/>
    <n v="147.30000000000001"/>
    <n v="162.69999999999999"/>
    <n v="150.19999999999999"/>
    <n v="119.8"/>
    <n v="158.69999999999999"/>
    <n v="139.19999999999999"/>
    <n v="159.6"/>
    <n v="150.1"/>
    <n v="171.2"/>
    <n v="151.19999999999999"/>
    <n v="141.9"/>
    <n v="149.80000000000001"/>
    <n v="155.6"/>
    <n v="148.4"/>
    <n v="146.4"/>
    <n v="154.30000000000001"/>
    <n v="129.9"/>
    <n v="143.69999999999999"/>
    <n v="156.1"/>
    <n v="145.19999999999999"/>
    <n v="143.80000000000001"/>
    <n v="148.6"/>
    <x v="255"/>
    <n v="148.4"/>
    <n v="129.9"/>
    <n v="156.1"/>
    <n v="1503.1"/>
  </r>
  <r>
    <x v="1"/>
    <d v="2020-04-01T00:00:00"/>
    <x v="7"/>
    <s v="April"/>
    <n v="4"/>
    <n v="151.80000000000001"/>
    <n v="167"/>
    <n v="151.9"/>
    <n v="155.5"/>
    <n v="131.6"/>
    <n v="152.9"/>
    <n v="180"/>
    <n v="150.80000000000001"/>
    <n v="121.2"/>
    <n v="154"/>
    <n v="133.5"/>
    <n v="159.6"/>
    <n v="153.5"/>
    <n v="171.2"/>
    <n v="151.19999999999999"/>
    <n v="141.9"/>
    <n v="149.80000000000001"/>
    <n v="155.6"/>
    <n v="137.1"/>
    <n v="146.4"/>
    <n v="144.80000000000001"/>
    <n v="129.9"/>
    <n v="143.69999999999999"/>
    <n v="156.1"/>
    <n v="145.19999999999999"/>
    <n v="143.80000000000001"/>
    <n v="148.6"/>
    <x v="256"/>
    <n v="137.1"/>
    <n v="129.9"/>
    <n v="156.1"/>
    <n v="1493.6"/>
  </r>
  <r>
    <x v="2"/>
    <d v="2020-04-01T00:00:00"/>
    <x v="7"/>
    <s v="April"/>
    <n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x v="257"/>
    <n v="144.1"/>
    <n v="129.9"/>
    <n v="156.1"/>
    <n v="1499.5"/>
  </r>
  <r>
    <x v="0"/>
    <d v="2020-05-01T00:00:00"/>
    <x v="7"/>
    <s v="May"/>
    <n v="5"/>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x v="257"/>
    <n v="144.1"/>
    <n v="129.9"/>
    <n v="156.1"/>
    <n v="1499.5"/>
  </r>
  <r>
    <x v="1"/>
    <d v="2020-05-01T00:00:00"/>
    <x v="7"/>
    <s v="May"/>
    <n v="5"/>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x v="257"/>
    <n v="144.1"/>
    <n v="129.9"/>
    <n v="156.1"/>
    <n v="1499.5"/>
  </r>
  <r>
    <x v="2"/>
    <d v="2020-05-01T00:00:00"/>
    <x v="7"/>
    <s v="May"/>
    <n v="5"/>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x v="257"/>
    <n v="144.1"/>
    <n v="129.9"/>
    <n v="156.1"/>
    <n v="1499.5"/>
  </r>
  <r>
    <x v="0"/>
    <d v="2020-06-01T00:00:00"/>
    <x v="7"/>
    <s v="June"/>
    <n v="6"/>
    <n v="148.19999999999999"/>
    <n v="190.3"/>
    <n v="149.4"/>
    <n v="153.30000000000001"/>
    <n v="138.19999999999999"/>
    <n v="143.19999999999999"/>
    <n v="148.9"/>
    <n v="150.30000000000001"/>
    <n v="113.2"/>
    <n v="159.80000000000001"/>
    <n v="142.1"/>
    <n v="161.80000000000001"/>
    <n v="152.30000000000001"/>
    <n v="182.4"/>
    <n v="154.69999999999999"/>
    <n v="150"/>
    <n v="154.1"/>
    <n v="155.6"/>
    <n v="144.9"/>
    <n v="151.69999999999999"/>
    <n v="158.19999999999999"/>
    <n v="141.4"/>
    <n v="153.19999999999999"/>
    <n v="161.80000000000001"/>
    <n v="151.19999999999999"/>
    <n v="151.69999999999999"/>
    <n v="152.69999999999999"/>
    <x v="258"/>
    <n v="144.9"/>
    <n v="141.4"/>
    <n v="161.80000000000001"/>
    <n v="1562.8000000000002"/>
  </r>
  <r>
    <x v="1"/>
    <d v="2020-06-01T00:00:00"/>
    <x v="7"/>
    <s v="June"/>
    <n v="6"/>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x v="259"/>
    <n v="137.1"/>
    <n v="129.30000000000001"/>
    <n v="152.5"/>
    <n v="1501.5"/>
  </r>
  <r>
    <x v="2"/>
    <d v="2020-06-01T00:00:00"/>
    <x v="7"/>
    <s v="June"/>
    <n v="6"/>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x v="260"/>
    <n v="141.9"/>
    <n v="135"/>
    <n v="156.4"/>
    <n v="1534.1999999999998"/>
  </r>
  <r>
    <x v="0"/>
    <d v="2020-07-01T00:00:00"/>
    <x v="7"/>
    <s v="July"/>
    <n v="7"/>
    <n v="148.19999999999999"/>
    <n v="190.3"/>
    <n v="149.4"/>
    <n v="153.30000000000001"/>
    <n v="138.19999999999999"/>
    <n v="143.19999999999999"/>
    <n v="148.9"/>
    <n v="150.30000000000001"/>
    <n v="113.2"/>
    <n v="159.80000000000001"/>
    <n v="142.1"/>
    <n v="161.80000000000001"/>
    <n v="152.30000000000001"/>
    <n v="182.4"/>
    <n v="154.69999999999999"/>
    <n v="150"/>
    <n v="154.1"/>
    <n v="154.69999999999999"/>
    <n v="144.9"/>
    <n v="151.69999999999999"/>
    <n v="158.19999999999999"/>
    <n v="141.4"/>
    <n v="153.19999999999999"/>
    <n v="161.80000000000001"/>
    <n v="151.19999999999999"/>
    <n v="151.69999999999999"/>
    <n v="152.69999999999999"/>
    <x v="258"/>
    <n v="144.9"/>
    <n v="141.4"/>
    <n v="161.80000000000001"/>
    <n v="1561.9000000000003"/>
  </r>
  <r>
    <x v="1"/>
    <d v="2020-07-01T00:00:00"/>
    <x v="7"/>
    <s v="July"/>
    <n v="7"/>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x v="259"/>
    <n v="137.1"/>
    <n v="129.30000000000001"/>
    <n v="152.5"/>
    <n v="1501.5"/>
  </r>
  <r>
    <x v="2"/>
    <d v="2020-07-01T00:00:00"/>
    <x v="7"/>
    <s v="July"/>
    <n v="7"/>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x v="260"/>
    <n v="141.9"/>
    <n v="135"/>
    <n v="156.4"/>
    <n v="1534.1999999999998"/>
  </r>
  <r>
    <x v="0"/>
    <d v="2020-08-01T00:00:00"/>
    <x v="7"/>
    <s v="August"/>
    <n v="8"/>
    <n v="147.6"/>
    <n v="187.2"/>
    <n v="148.4"/>
    <n v="153.30000000000001"/>
    <n v="139.80000000000001"/>
    <n v="146.9"/>
    <n v="171"/>
    <n v="149.9"/>
    <n v="114.2"/>
    <n v="160"/>
    <n v="143.5"/>
    <n v="161.5"/>
    <n v="155.30000000000001"/>
    <n v="180.9"/>
    <n v="155.1"/>
    <n v="149.30000000000001"/>
    <n v="154.30000000000001"/>
    <n v="155.5"/>
    <n v="145.80000000000001"/>
    <n v="151.9"/>
    <n v="158.80000000000001"/>
    <n v="143.6"/>
    <n v="152.19999999999999"/>
    <n v="162.69999999999999"/>
    <n v="153.6"/>
    <n v="153"/>
    <n v="154.69999999999999"/>
    <x v="261"/>
    <n v="145.80000000000001"/>
    <n v="143.6"/>
    <n v="162.69999999999999"/>
    <n v="1564.6"/>
  </r>
  <r>
    <x v="1"/>
    <d v="2020-08-01T00:00:00"/>
    <x v="7"/>
    <s v="August"/>
    <n v="8"/>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x v="262"/>
    <n v="138.30000000000001"/>
    <n v="133.9"/>
    <n v="155.5"/>
    <n v="1510.1000000000001"/>
  </r>
  <r>
    <x v="2"/>
    <d v="2020-08-01T00:00:00"/>
    <x v="7"/>
    <s v="August"/>
    <n v="8"/>
    <n v="148.9"/>
    <n v="190.9"/>
    <n v="150.80000000000001"/>
    <n v="153.30000000000001"/>
    <n v="137.4"/>
    <n v="150.4"/>
    <n v="178.1"/>
    <n v="150.4"/>
    <n v="115.1"/>
    <n v="160"/>
    <n v="140.6"/>
    <n v="162.30000000000001"/>
    <n v="157"/>
    <n v="182.6"/>
    <n v="153.1"/>
    <n v="143.4"/>
    <n v="151.69999999999999"/>
    <n v="155.5"/>
    <n v="143"/>
    <n v="148.4"/>
    <n v="155"/>
    <n v="138.5"/>
    <n v="146"/>
    <n v="158.5"/>
    <n v="154.30000000000001"/>
    <n v="149"/>
    <n v="153.9"/>
    <x v="263"/>
    <n v="143"/>
    <n v="138.5"/>
    <n v="158.5"/>
    <n v="1538.9999999999998"/>
  </r>
  <r>
    <x v="0"/>
    <d v="2020-09-01T00:00:00"/>
    <x v="7"/>
    <s v="September"/>
    <n v="9"/>
    <n v="146.9"/>
    <n v="183.9"/>
    <n v="149.5"/>
    <n v="153.4"/>
    <n v="140.4"/>
    <n v="147"/>
    <n v="178.8"/>
    <n v="149.30000000000001"/>
    <n v="115.1"/>
    <n v="160"/>
    <n v="145.4"/>
    <n v="161.6"/>
    <n v="156.1"/>
    <n v="182.9"/>
    <n v="155.4"/>
    <n v="149.9"/>
    <n v="154.6"/>
    <n v="156.30000000000001"/>
    <n v="146.4"/>
    <n v="151.6"/>
    <n v="159.1"/>
    <n v="144.6"/>
    <n v="152.80000000000001"/>
    <n v="161.1"/>
    <n v="157.4"/>
    <n v="153.69999999999999"/>
    <n v="155.4"/>
    <x v="264"/>
    <n v="146.4"/>
    <n v="144.6"/>
    <n v="161.1"/>
    <n v="1573.7000000000003"/>
  </r>
  <r>
    <x v="1"/>
    <d v="2020-09-01T00:00:00"/>
    <x v="7"/>
    <s v="September"/>
    <n v="9"/>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x v="265"/>
    <n v="137.19999999999999"/>
    <n v="135.1"/>
    <n v="154.9"/>
    <n v="1522.6"/>
  </r>
  <r>
    <x v="2"/>
    <d v="2020-09-01T00:00:00"/>
    <x v="7"/>
    <s v="September"/>
    <n v="9"/>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x v="266"/>
    <n v="142.9"/>
    <n v="139.6"/>
    <n v="157.5"/>
    <n v="1549.7"/>
  </r>
  <r>
    <x v="0"/>
    <d v="2020-10-01T00:00:00"/>
    <x v="7"/>
    <s v="October"/>
    <n v="10"/>
    <n v="146"/>
    <n v="186.3"/>
    <n v="159.19999999999999"/>
    <n v="153.6"/>
    <n v="142.6"/>
    <n v="147.19999999999999"/>
    <n v="200.6"/>
    <n v="150.30000000000001"/>
    <n v="115.3"/>
    <n v="160.9"/>
    <n v="147.4"/>
    <n v="161.9"/>
    <n v="159.6"/>
    <n v="182.7"/>
    <n v="155.69999999999999"/>
    <n v="150.6"/>
    <n v="155"/>
    <n v="156.5"/>
    <n v="146.80000000000001"/>
    <n v="152"/>
    <n v="159.5"/>
    <n v="146.4"/>
    <n v="152.4"/>
    <n v="162.5"/>
    <n v="156.19999999999999"/>
    <n v="154.30000000000001"/>
    <n v="157.5"/>
    <x v="267"/>
    <n v="146.80000000000001"/>
    <n v="146.4"/>
    <n v="162.5"/>
    <n v="1574.9"/>
  </r>
  <r>
    <x v="1"/>
    <d v="2020-10-01T00:00:00"/>
    <x v="7"/>
    <s v="October"/>
    <n v="10"/>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x v="268"/>
    <n v="137.1"/>
    <n v="135.4"/>
    <n v="155.69999999999999"/>
    <n v="1522.4999999999998"/>
  </r>
  <r>
    <x v="2"/>
    <d v="2020-10-01T00:00:00"/>
    <x v="7"/>
    <s v="October"/>
    <n v="10"/>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x v="269"/>
    <n v="143.1"/>
    <n v="140.6"/>
    <n v="158.5"/>
    <n v="1550.3000000000002"/>
  </r>
  <r>
    <x v="0"/>
    <d v="2020-11-01T00:00:00"/>
    <x v="7"/>
    <s v="November"/>
    <n v="11"/>
    <n v="145.4"/>
    <n v="188.6"/>
    <n v="171.6"/>
    <n v="153.80000000000001"/>
    <n v="145.4"/>
    <n v="146.5"/>
    <n v="222.2"/>
    <n v="155.9"/>
    <n v="114.9"/>
    <n v="162"/>
    <n v="150"/>
    <n v="162.69999999999999"/>
    <n v="163.4"/>
    <n v="183.4"/>
    <n v="156.30000000000001"/>
    <n v="151"/>
    <n v="155.5"/>
    <n v="158"/>
    <n v="147.5"/>
    <n v="152.80000000000001"/>
    <n v="160.4"/>
    <n v="146.1"/>
    <n v="153.6"/>
    <n v="161.6"/>
    <n v="156.19999999999999"/>
    <n v="154.5"/>
    <n v="159.80000000000001"/>
    <x v="270"/>
    <n v="147.5"/>
    <n v="146.1"/>
    <n v="161.6"/>
    <n v="1581.7"/>
  </r>
  <r>
    <x v="1"/>
    <d v="2020-11-01T00:00:00"/>
    <x v="7"/>
    <s v="November"/>
    <n v="11"/>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x v="271"/>
    <n v="137.30000000000001"/>
    <n v="135.19999999999999"/>
    <n v="156.4"/>
    <n v="1529.1"/>
  </r>
  <r>
    <x v="2"/>
    <d v="2020-11-01T00:00:00"/>
    <x v="7"/>
    <s v="November"/>
    <n v="11"/>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x v="272"/>
    <n v="143.6"/>
    <n v="140.4"/>
    <n v="158.6"/>
    <n v="1557.2000000000003"/>
  </r>
  <r>
    <x v="0"/>
    <d v="2020-12-01T00:00:00"/>
    <x v="7"/>
    <s v="December"/>
    <n v="12"/>
    <n v="144.6"/>
    <n v="188.5"/>
    <n v="173.4"/>
    <n v="154"/>
    <n v="150"/>
    <n v="145.9"/>
    <n v="225.2"/>
    <n v="159.5"/>
    <n v="114.4"/>
    <n v="163.5"/>
    <n v="153.4"/>
    <n v="163.6"/>
    <n v="164.5"/>
    <n v="183.6"/>
    <n v="157"/>
    <n v="151.6"/>
    <n v="156.30000000000001"/>
    <n v="158.4"/>
    <n v="148.69999999999999"/>
    <n v="153.4"/>
    <n v="161.6"/>
    <n v="146.4"/>
    <n v="153.9"/>
    <n v="162.9"/>
    <n v="156.6"/>
    <n v="155.19999999999999"/>
    <n v="160.69999999999999"/>
    <x v="273"/>
    <n v="148.69999999999999"/>
    <n v="146.4"/>
    <n v="162.9"/>
    <n v="1587.6"/>
  </r>
  <r>
    <x v="1"/>
    <d v="2020-12-01T00:00:00"/>
    <x v="7"/>
    <s v="December"/>
    <n v="12"/>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x v="274"/>
    <n v="137.9"/>
    <n v="135.5"/>
    <n v="156.9"/>
    <n v="1534.3000000000002"/>
  </r>
  <r>
    <x v="2"/>
    <d v="2020-12-01T00:00:00"/>
    <x v="7"/>
    <s v="December"/>
    <n v="12"/>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x v="275"/>
    <n v="144.6"/>
    <n v="140.69999999999999"/>
    <n v="159.4"/>
    <n v="1562.6"/>
  </r>
  <r>
    <x v="0"/>
    <d v="2021-01-01T00:00:00"/>
    <x v="8"/>
    <s v="January"/>
    <n v="1"/>
    <n v="143.4"/>
    <n v="187.5"/>
    <n v="173.4"/>
    <n v="154"/>
    <n v="154.80000000000001"/>
    <n v="147"/>
    <n v="187.8"/>
    <n v="159.5"/>
    <n v="113.8"/>
    <n v="164.5"/>
    <n v="156.1"/>
    <n v="164.3"/>
    <n v="159.6"/>
    <n v="184.6"/>
    <n v="157.5"/>
    <n v="152.4"/>
    <n v="156.80000000000001"/>
    <n v="157.69999999999999"/>
    <n v="150.9"/>
    <n v="153.9"/>
    <n v="162.5"/>
    <n v="147.5"/>
    <n v="155.1"/>
    <n v="163.5"/>
    <n v="156.19999999999999"/>
    <n v="155.9"/>
    <n v="158.5"/>
    <x v="276"/>
    <n v="150.9"/>
    <n v="147.5"/>
    <n v="163.5"/>
    <n v="1592.6000000000001"/>
  </r>
  <r>
    <x v="1"/>
    <d v="2021-01-01T00:00:00"/>
    <x v="8"/>
    <s v="January"/>
    <n v="1"/>
    <n v="148"/>
    <n v="194.8"/>
    <n v="178.4"/>
    <n v="154.4"/>
    <n v="144.1"/>
    <n v="152.6"/>
    <n v="206.8"/>
    <n v="162.1"/>
    <n v="116.3"/>
    <n v="163"/>
    <n v="145.9"/>
    <n v="167.2"/>
    <n v="163.4"/>
    <n v="191.8"/>
    <n v="152.5"/>
    <n v="137.30000000000001"/>
    <n v="150.19999999999999"/>
    <n v="157.69999999999999"/>
    <n v="142.9"/>
    <n v="145.69999999999999"/>
    <n v="154.1"/>
    <n v="136.9"/>
    <n v="145.4"/>
    <n v="156.1"/>
    <n v="157.69999999999999"/>
    <n v="147.6"/>
    <n v="156"/>
    <x v="277"/>
    <n v="142.9"/>
    <n v="136.9"/>
    <n v="156.1"/>
    <n v="1540"/>
  </r>
  <r>
    <x v="2"/>
    <d v="2021-01-01T00:00:00"/>
    <x v="8"/>
    <s v="January"/>
    <n v="1"/>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x v="278"/>
    <n v="147.9"/>
    <n v="141.9"/>
    <n v="159.19999999999999"/>
    <n v="1567.6"/>
  </r>
  <r>
    <x v="0"/>
    <d v="2021-02-01T00:00:00"/>
    <x v="8"/>
    <s v="February"/>
    <n v="2"/>
    <n v="142.80000000000001"/>
    <n v="184"/>
    <n v="168"/>
    <n v="154.4"/>
    <n v="163"/>
    <n v="147.80000000000001"/>
    <n v="149.69999999999999"/>
    <n v="158.30000000000001"/>
    <n v="111.8"/>
    <n v="165"/>
    <n v="160"/>
    <n v="165.8"/>
    <n v="154.69999999999999"/>
    <n v="186.5"/>
    <n v="159.1"/>
    <n v="153.9"/>
    <n v="158.4"/>
    <n v="159.80000000000001"/>
    <n v="154.4"/>
    <n v="154.80000000000001"/>
    <n v="164.3"/>
    <n v="150.19999999999999"/>
    <n v="157"/>
    <n v="163.6"/>
    <n v="155.19999999999999"/>
    <n v="157.19999999999999"/>
    <n v="156.69999999999999"/>
    <x v="279"/>
    <n v="154.4"/>
    <n v="150.19999999999999"/>
    <n v="163.6"/>
    <n v="1606.2"/>
  </r>
  <r>
    <x v="1"/>
    <d v="2021-02-01T00:00:00"/>
    <x v="8"/>
    <s v="February"/>
    <n v="2"/>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x v="280"/>
    <n v="149.1"/>
    <n v="140.5"/>
    <n v="156.6"/>
    <n v="1553.3999999999999"/>
  </r>
  <r>
    <x v="2"/>
    <d v="2021-02-01T00:00:00"/>
    <x v="8"/>
    <s v="February"/>
    <n v="2"/>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x v="281"/>
    <n v="152.4"/>
    <n v="145.1"/>
    <n v="159.5"/>
    <n v="1581.4"/>
  </r>
  <r>
    <x v="0"/>
    <d v="2021-03-01T00:00:00"/>
    <x v="8"/>
    <s v="March"/>
    <n v="3"/>
    <n v="142.5"/>
    <n v="189.4"/>
    <n v="163.19999999999999"/>
    <n v="154.5"/>
    <n v="168.2"/>
    <n v="150.5"/>
    <n v="141"/>
    <n v="159.19999999999999"/>
    <n v="111.7"/>
    <n v="164"/>
    <n v="160.6"/>
    <n v="166.4"/>
    <n v="154.5"/>
    <n v="186.1"/>
    <n v="159.6"/>
    <n v="154.4"/>
    <n v="158.9"/>
    <n v="159.9"/>
    <n v="156"/>
    <n v="154.80000000000001"/>
    <n v="164.6"/>
    <n v="151.30000000000001"/>
    <n v="157.80000000000001"/>
    <n v="163.80000000000001"/>
    <n v="153.1"/>
    <n v="157.30000000000001"/>
    <n v="156.69999999999999"/>
    <x v="282"/>
    <n v="156"/>
    <n v="151.30000000000001"/>
    <n v="163.80000000000001"/>
    <n v="1606.4999999999998"/>
  </r>
  <r>
    <x v="1"/>
    <d v="2021-03-01T00:00:00"/>
    <x v="8"/>
    <s v="March"/>
    <n v="3"/>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x v="283"/>
    <n v="154.80000000000001"/>
    <n v="141.69999999999999"/>
    <n v="157.6"/>
    <n v="1557.4"/>
  </r>
  <r>
    <x v="2"/>
    <d v="2021-03-01T00:00:00"/>
    <x v="8"/>
    <s v="March"/>
    <n v="3"/>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x v="284"/>
    <n v="155.5"/>
    <n v="146.19999999999999"/>
    <n v="160.19999999999999"/>
    <n v="1583.1999999999998"/>
  </r>
  <r>
    <x v="0"/>
    <d v="2021-04-01T00:00:00"/>
    <x v="8"/>
    <s v="April"/>
    <n v="4"/>
    <n v="142.69999999999999"/>
    <n v="195.5"/>
    <n v="163.4"/>
    <n v="155"/>
    <n v="175.2"/>
    <n v="160.6"/>
    <n v="135.1"/>
    <n v="161.1"/>
    <n v="112.2"/>
    <n v="164.4"/>
    <n v="161.9"/>
    <n v="166.8"/>
    <n v="155.6"/>
    <n v="186.8"/>
    <n v="160.69999999999999"/>
    <n v="155.1"/>
    <n v="159.9"/>
    <n v="161.4"/>
    <n v="156"/>
    <n v="155.5"/>
    <n v="165.3"/>
    <n v="151.69999999999999"/>
    <n v="158.6"/>
    <n v="164.1"/>
    <n v="154.6"/>
    <n v="158"/>
    <n v="157.6"/>
    <x v="285"/>
    <n v="156"/>
    <n v="151.69999999999999"/>
    <n v="164.1"/>
    <n v="1615.8999999999999"/>
  </r>
  <r>
    <x v="1"/>
    <d v="2021-04-01T00:00:00"/>
    <x v="8"/>
    <s v="April"/>
    <n v="4"/>
    <n v="147.6"/>
    <n v="202.5"/>
    <n v="166.4"/>
    <n v="156"/>
    <n v="161.4"/>
    <n v="168.8"/>
    <n v="161.6"/>
    <n v="162.80000000000001"/>
    <n v="114.8"/>
    <n v="162.80000000000001"/>
    <n v="151.5"/>
    <n v="171.4"/>
    <n v="162"/>
    <n v="194.4"/>
    <n v="155.9"/>
    <n v="139.30000000000001"/>
    <n v="153.4"/>
    <n v="161.4"/>
    <n v="154.9"/>
    <n v="147.6"/>
    <n v="157.5"/>
    <n v="142.1"/>
    <n v="149.1"/>
    <n v="157.6"/>
    <n v="156.6"/>
    <n v="150.5"/>
    <n v="158"/>
    <x v="286"/>
    <n v="154.9"/>
    <n v="142.1"/>
    <n v="157.6"/>
    <n v="1565.6999999999998"/>
  </r>
  <r>
    <x v="2"/>
    <d v="2021-04-01T00:00:00"/>
    <x v="8"/>
    <s v="April"/>
    <n v="4"/>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x v="287"/>
    <n v="155.6"/>
    <n v="146.6"/>
    <n v="160.30000000000001"/>
    <n v="1591.9000000000003"/>
  </r>
  <r>
    <x v="0"/>
    <d v="2021-05-01T00:00:00"/>
    <x v="8"/>
    <s v="May"/>
    <n v="5"/>
    <n v="145.1"/>
    <n v="198.5"/>
    <n v="168.6"/>
    <n v="155.80000000000001"/>
    <n v="184.4"/>
    <n v="162.30000000000001"/>
    <n v="138.4"/>
    <n v="165.1"/>
    <n v="114.3"/>
    <n v="169.7"/>
    <n v="164.6"/>
    <n v="169.8"/>
    <n v="158.69999999999999"/>
    <n v="189.6"/>
    <n v="165.3"/>
    <n v="160.6"/>
    <n v="164.5"/>
    <n v="161.6"/>
    <n v="161.69999999999999"/>
    <n v="158.80000000000001"/>
    <n v="169.1"/>
    <n v="153.19999999999999"/>
    <n v="160"/>
    <n v="167.6"/>
    <n v="159.30000000000001"/>
    <n v="161.1"/>
    <n v="161.1"/>
    <x v="288"/>
    <n v="161.69999999999999"/>
    <n v="153.19999999999999"/>
    <n v="167.6"/>
    <n v="1649.8999999999999"/>
  </r>
  <r>
    <x v="1"/>
    <d v="2021-05-01T00:00:00"/>
    <x v="8"/>
    <s v="May"/>
    <n v="5"/>
    <n v="148.80000000000001"/>
    <n v="204.3"/>
    <n v="173"/>
    <n v="156.5"/>
    <n v="168.8"/>
    <n v="172.5"/>
    <n v="166.5"/>
    <n v="165.9"/>
    <n v="115.9"/>
    <n v="165.2"/>
    <n v="152"/>
    <n v="171.1"/>
    <n v="164.2"/>
    <n v="198.2"/>
    <n v="156.5"/>
    <n v="140.19999999999999"/>
    <n v="154.1"/>
    <n v="161.6"/>
    <n v="155.5"/>
    <n v="150.1"/>
    <n v="160.4"/>
    <n v="145"/>
    <n v="152.6"/>
    <n v="156.6"/>
    <n v="157.5"/>
    <n v="152.30000000000001"/>
    <n v="159.5"/>
    <x v="289"/>
    <n v="155.5"/>
    <n v="145"/>
    <n v="156.6"/>
    <n v="1583.5"/>
  </r>
  <r>
    <x v="2"/>
    <d v="2021-05-01T00:00:00"/>
    <x v="8"/>
    <s v="May"/>
    <n v="5"/>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x v="290"/>
    <n v="159.4"/>
    <n v="148.9"/>
    <n v="161.19999999999999"/>
    <n v="1619.4999999999998"/>
  </r>
  <r>
    <x v="0"/>
    <d v="2021-06-01T00:00:00"/>
    <x v="8"/>
    <s v="June"/>
    <n v="6"/>
    <n v="145.6"/>
    <n v="200.1"/>
    <n v="179.3"/>
    <n v="156.1"/>
    <n v="190.4"/>
    <n v="158.6"/>
    <n v="144.69999999999999"/>
    <n v="165.5"/>
    <n v="114.6"/>
    <n v="170"/>
    <n v="165.5"/>
    <n v="171.7"/>
    <n v="160.5"/>
    <n v="189.1"/>
    <n v="165.3"/>
    <n v="159.9"/>
    <n v="164.6"/>
    <n v="160.5"/>
    <n v="162.1"/>
    <n v="159.19999999999999"/>
    <n v="169.7"/>
    <n v="154.19999999999999"/>
    <n v="160.4"/>
    <n v="166.8"/>
    <n v="159.4"/>
    <n v="161.5"/>
    <n v="162.1"/>
    <x v="291"/>
    <n v="162.1"/>
    <n v="154.19999999999999"/>
    <n v="166.8"/>
    <n v="1649.6000000000001"/>
  </r>
  <r>
    <x v="1"/>
    <d v="2021-06-01T00:00:00"/>
    <x v="8"/>
    <s v="June"/>
    <n v="6"/>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x v="292"/>
    <n v="156.1"/>
    <n v="147.5"/>
    <n v="158.1"/>
    <n v="1581.4"/>
  </r>
  <r>
    <x v="2"/>
    <d v="2021-06-01T00:00:00"/>
    <x v="8"/>
    <s v="June"/>
    <n v="6"/>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x v="293"/>
    <n v="159.80000000000001"/>
    <n v="150.69999999999999"/>
    <n v="161.69999999999999"/>
    <n v="1618.3999999999999"/>
  </r>
  <r>
    <x v="0"/>
    <d v="2021-07-01T00:00:00"/>
    <x v="8"/>
    <s v="July"/>
    <n v="7"/>
    <n v="145.1"/>
    <n v="204.5"/>
    <n v="180.4"/>
    <n v="157.1"/>
    <n v="188.7"/>
    <n v="157.69999999999999"/>
    <n v="152.80000000000001"/>
    <n v="163.6"/>
    <n v="113.9"/>
    <n v="169.7"/>
    <n v="166.2"/>
    <n v="171"/>
    <n v="161.69999999999999"/>
    <n v="189.7"/>
    <n v="166"/>
    <n v="161.1"/>
    <n v="165.3"/>
    <n v="161.5"/>
    <n v="162.5"/>
    <n v="160.30000000000001"/>
    <n v="170.4"/>
    <n v="157.1"/>
    <n v="160.69999999999999"/>
    <n v="167.2"/>
    <n v="160.4"/>
    <n v="162.80000000000001"/>
    <n v="163.19999999999999"/>
    <x v="294"/>
    <n v="162.5"/>
    <n v="157.1"/>
    <n v="167.2"/>
    <n v="1658.2"/>
  </r>
  <r>
    <x v="1"/>
    <d v="2021-07-01T00:00:00"/>
    <x v="8"/>
    <s v="July"/>
    <n v="7"/>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x v="295"/>
    <n v="157.69999999999999"/>
    <n v="149.5"/>
    <n v="160.30000000000001"/>
    <n v="1590.3"/>
  </r>
  <r>
    <x v="2"/>
    <d v="2021-07-01T00:00:00"/>
    <x v="8"/>
    <s v="July"/>
    <n v="7"/>
    <n v="146.4"/>
    <n v="206.8"/>
    <n v="182.2"/>
    <n v="157.5"/>
    <n v="182.1"/>
    <n v="163.9"/>
    <n v="164.2"/>
    <n v="164"/>
    <n v="114.5"/>
    <n v="168.3"/>
    <n v="160.9"/>
    <n v="172.2"/>
    <n v="164"/>
    <n v="191.2"/>
    <n v="162.80000000000001"/>
    <n v="153.1"/>
    <n v="161.4"/>
    <n v="161.5"/>
    <n v="160.69999999999999"/>
    <n v="155.80000000000001"/>
    <n v="167"/>
    <n v="153.1"/>
    <n v="155.30000000000001"/>
    <n v="163.19999999999999"/>
    <n v="160.1"/>
    <n v="159"/>
    <n v="162.5"/>
    <x v="296"/>
    <n v="160.69999999999999"/>
    <n v="153.1"/>
    <n v="163.19999999999999"/>
    <n v="1627.1999999999998"/>
  </r>
  <r>
    <x v="0"/>
    <d v="2021-08-01T00:00:00"/>
    <x v="8"/>
    <s v="August"/>
    <n v="8"/>
    <n v="144.9"/>
    <n v="202.3"/>
    <n v="176.5"/>
    <n v="157.5"/>
    <n v="190.9"/>
    <n v="155.69999999999999"/>
    <n v="153.9"/>
    <n v="162.80000000000001"/>
    <n v="115.2"/>
    <n v="169.8"/>
    <n v="167.6"/>
    <n v="171.9"/>
    <n v="161.80000000000001"/>
    <n v="190.2"/>
    <n v="167"/>
    <n v="162.6"/>
    <n v="166.3"/>
    <n v="162.1"/>
    <n v="163.1"/>
    <n v="160.9"/>
    <n v="171.1"/>
    <n v="157.69999999999999"/>
    <n v="161.1"/>
    <n v="167.5"/>
    <n v="160.30000000000001"/>
    <n v="163.30000000000001"/>
    <n v="163.6"/>
    <x v="297"/>
    <n v="163.1"/>
    <n v="157.69999999999999"/>
    <n v="167.5"/>
    <n v="1664.8999999999996"/>
  </r>
  <r>
    <x v="1"/>
    <d v="2021-08-01T00:00:00"/>
    <x v="8"/>
    <s v="August"/>
    <n v="8"/>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x v="298"/>
    <n v="160.69999999999999"/>
    <n v="150.4"/>
    <n v="160.4"/>
    <n v="1604.6"/>
  </r>
  <r>
    <x v="2"/>
    <d v="2021-08-01T00:00:00"/>
    <x v="8"/>
    <s v="August"/>
    <n v="8"/>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x v="299"/>
    <n v="162.6"/>
    <n v="154"/>
    <n v="163.80000000000001"/>
    <n v="1640.7"/>
  </r>
  <r>
    <x v="0"/>
    <d v="2021-09-01T00:00:00"/>
    <x v="8"/>
    <s v="September"/>
    <n v="9"/>
    <n v="145.4"/>
    <n v="202.1"/>
    <n v="172"/>
    <n v="158"/>
    <n v="195.5"/>
    <n v="152.69999999999999"/>
    <n v="151.4"/>
    <n v="163.9"/>
    <n v="119.3"/>
    <n v="170.1"/>
    <n v="168.3"/>
    <n v="172.8"/>
    <n v="162.1"/>
    <n v="190.5"/>
    <n v="167.7"/>
    <n v="163.6"/>
    <n v="167.1"/>
    <n v="162.1"/>
    <n v="163.69999999999999"/>
    <n v="161.30000000000001"/>
    <n v="171.9"/>
    <n v="157.80000000000001"/>
    <n v="162.69999999999999"/>
    <n v="168.5"/>
    <n v="160.19999999999999"/>
    <n v="163.80000000000001"/>
    <n v="164"/>
    <x v="300"/>
    <n v="163.69999999999999"/>
    <n v="157.80000000000001"/>
    <n v="168.5"/>
    <n v="1670.9"/>
  </r>
  <r>
    <x v="1"/>
    <d v="2021-09-01T00:00:00"/>
    <x v="8"/>
    <s v="September"/>
    <n v="9"/>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x v="298"/>
    <n v="160.80000000000001"/>
    <n v="150.5"/>
    <n v="160.30000000000001"/>
    <n v="1605"/>
  </r>
  <r>
    <x v="2"/>
    <d v="2021-09-01T00:00:00"/>
    <x v="8"/>
    <s v="September"/>
    <n v="9"/>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x v="299"/>
    <n v="162.6"/>
    <n v="154"/>
    <n v="163.69999999999999"/>
    <n v="1641"/>
  </r>
  <r>
    <x v="0"/>
    <d v="2021-10-01T00:00:00"/>
    <x v="8"/>
    <s v="October"/>
    <n v="10"/>
    <n v="146.1"/>
    <n v="202.5"/>
    <n v="170.1"/>
    <n v="158.4"/>
    <n v="198.8"/>
    <n v="152.6"/>
    <n v="170.4"/>
    <n v="165.2"/>
    <n v="121.6"/>
    <n v="170.6"/>
    <n v="168.8"/>
    <n v="173.6"/>
    <n v="165.5"/>
    <n v="191.2"/>
    <n v="168.9"/>
    <n v="164.8"/>
    <n v="168.3"/>
    <n v="163.6"/>
    <n v="165.5"/>
    <n v="162"/>
    <n v="172.5"/>
    <n v="159.5"/>
    <n v="163.19999999999999"/>
    <n v="169"/>
    <n v="161.1"/>
    <n v="164.7"/>
    <n v="166.3"/>
    <x v="301"/>
    <n v="165.5"/>
    <n v="159.5"/>
    <n v="169"/>
    <n v="1680.3000000000002"/>
  </r>
  <r>
    <x v="1"/>
    <d v="2021-10-01T00:00:00"/>
    <x v="8"/>
    <s v="October"/>
    <n v="10"/>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x v="302"/>
    <n v="162.19999999999999"/>
    <n v="152.19999999999999"/>
    <n v="160.30000000000001"/>
    <n v="1614.3"/>
  </r>
  <r>
    <x v="2"/>
    <d v="2021-10-01T00:00:00"/>
    <x v="8"/>
    <s v="October"/>
    <n v="10"/>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x v="303"/>
    <n v="164.2"/>
    <n v="155.69999999999999"/>
    <n v="163.9"/>
    <n v="1650.4999999999998"/>
  </r>
  <r>
    <x v="0"/>
    <d v="2021-11-01T00:00:00"/>
    <x v="8"/>
    <s v="November"/>
    <n v="11"/>
    <n v="146.9"/>
    <n v="199.8"/>
    <n v="171.5"/>
    <n v="159.1"/>
    <n v="198.4"/>
    <n v="153.19999999999999"/>
    <n v="183.9"/>
    <n v="165.4"/>
    <n v="122.1"/>
    <n v="170.8"/>
    <n v="169.1"/>
    <n v="174.3"/>
    <n v="167.5"/>
    <n v="191.4"/>
    <n v="170.4"/>
    <n v="166"/>
    <n v="169.8"/>
    <n v="164.2"/>
    <n v="165.3"/>
    <n v="162.9"/>
    <n v="173.4"/>
    <n v="158.9"/>
    <n v="163.80000000000001"/>
    <n v="169.3"/>
    <n v="162.4"/>
    <n v="165.2"/>
    <n v="167.6"/>
    <x v="304"/>
    <n v="165.3"/>
    <n v="158.9"/>
    <n v="169.3"/>
    <n v="1689.5000000000002"/>
  </r>
  <r>
    <x v="1"/>
    <d v="2021-11-01T00:00:00"/>
    <x v="8"/>
    <s v="November"/>
    <n v="11"/>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x v="305"/>
    <n v="161.6"/>
    <n v="151.19999999999999"/>
    <n v="160.80000000000001"/>
    <n v="1623.7"/>
  </r>
  <r>
    <x v="2"/>
    <d v="2021-11-01T00:00:00"/>
    <x v="8"/>
    <s v="November"/>
    <n v="11"/>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x v="306"/>
    <n v="163.9"/>
    <n v="154.80000000000001"/>
    <n v="164.3"/>
    <n v="1660.1000000000001"/>
  </r>
  <r>
    <x v="0"/>
    <d v="2021-12-01T00:00:00"/>
    <x v="8"/>
    <s v="December"/>
    <n v="12"/>
    <n v="147.4"/>
    <n v="197"/>
    <n v="176.5"/>
    <n v="159.80000000000001"/>
    <n v="195.8"/>
    <n v="152"/>
    <n v="172.3"/>
    <n v="164.5"/>
    <n v="120.6"/>
    <n v="171.7"/>
    <n v="169.7"/>
    <n v="175.1"/>
    <n v="165.8"/>
    <n v="190.8"/>
    <n v="171.8"/>
    <n v="167.3"/>
    <n v="171.2"/>
    <n v="163.4"/>
    <n v="165.6"/>
    <n v="163.9"/>
    <n v="174"/>
    <n v="160.1"/>
    <n v="164.5"/>
    <n v="169.7"/>
    <n v="162.80000000000001"/>
    <n v="166"/>
    <n v="167"/>
    <x v="307"/>
    <n v="165.6"/>
    <n v="160.1"/>
    <n v="169.7"/>
    <n v="1695.7"/>
  </r>
  <r>
    <x v="1"/>
    <d v="2021-12-01T00:00:00"/>
    <x v="8"/>
    <s v="December"/>
    <n v="12"/>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x v="308"/>
    <n v="161.69999999999999"/>
    <n v="151.80000000000001"/>
    <n v="160.6"/>
    <n v="1629.8"/>
  </r>
  <r>
    <x v="2"/>
    <d v="2021-12-01T00:00:00"/>
    <x v="8"/>
    <s v="December"/>
    <n v="12"/>
    <n v="148.69999999999999"/>
    <n v="198.8"/>
    <n v="177.9"/>
    <n v="159.9"/>
    <n v="187.6"/>
    <n v="154.9"/>
    <n v="188.3"/>
    <n v="164.4"/>
    <n v="121"/>
    <n v="170.5"/>
    <n v="164.2"/>
    <n v="176.5"/>
    <n v="168.2"/>
    <n v="192.4"/>
    <n v="168.5"/>
    <n v="158.69999999999999"/>
    <n v="167"/>
    <n v="163.4"/>
    <n v="164.1"/>
    <n v="160.19999999999999"/>
    <n v="170.6"/>
    <n v="155.69999999999999"/>
    <n v="160.6"/>
    <n v="164.4"/>
    <n v="162.6"/>
    <n v="162"/>
    <n v="166.2"/>
    <x v="309"/>
    <n v="164.1"/>
    <n v="155.69999999999999"/>
    <n v="164.4"/>
    <n v="1665.9999999999995"/>
  </r>
  <r>
    <x v="0"/>
    <d v="2022-01-01T00:00:00"/>
    <x v="9"/>
    <s v="January"/>
    <n v="1"/>
    <n v="148.30000000000001"/>
    <n v="196.9"/>
    <n v="178"/>
    <n v="160.5"/>
    <n v="192.6"/>
    <n v="151.19999999999999"/>
    <n v="159.19999999999999"/>
    <n v="164"/>
    <n v="119.3"/>
    <n v="173.3"/>
    <n v="169.8"/>
    <n v="175.8"/>
    <n v="164.1"/>
    <n v="190.7"/>
    <n v="173.2"/>
    <n v="169.3"/>
    <n v="172.7"/>
    <n v="164.5"/>
    <n v="165.8"/>
    <n v="164.9"/>
    <n v="174.7"/>
    <n v="160.80000000000001"/>
    <n v="164.9"/>
    <n v="169.9"/>
    <n v="163.19999999999999"/>
    <n v="166.6"/>
    <n v="166.4"/>
    <x v="310"/>
    <n v="165.8"/>
    <n v="160.80000000000001"/>
    <n v="169.9"/>
    <n v="1704.7000000000003"/>
  </r>
  <r>
    <x v="1"/>
    <d v="2022-01-01T00:00:00"/>
    <x v="9"/>
    <s v="January"/>
    <n v="1"/>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x v="311"/>
    <n v="161.6"/>
    <n v="152.69999999999999"/>
    <n v="161"/>
    <n v="1638.9999999999998"/>
  </r>
  <r>
    <x v="2"/>
    <d v="2022-01-01T00:00:00"/>
    <x v="9"/>
    <s v="January"/>
    <n v="1"/>
    <n v="149.5"/>
    <n v="198.7"/>
    <n v="178.8"/>
    <n v="160.5"/>
    <n v="184.7"/>
    <n v="153.69999999999999"/>
    <n v="174.3"/>
    <n v="163.9"/>
    <n v="120"/>
    <n v="172.1"/>
    <n v="164.3"/>
    <n v="177.3"/>
    <n v="166.4"/>
    <n v="192.2"/>
    <n v="169.9"/>
    <n v="160.69999999999999"/>
    <n v="168.5"/>
    <n v="164.5"/>
    <n v="164.2"/>
    <n v="161.1"/>
    <n v="171.4"/>
    <n v="156.5"/>
    <n v="161.19999999999999"/>
    <n v="164.7"/>
    <n v="163"/>
    <n v="162.69999999999999"/>
    <n v="165.7"/>
    <x v="301"/>
    <n v="164.2"/>
    <n v="156.5"/>
    <n v="164.7"/>
    <n v="1675.2"/>
  </r>
  <r>
    <x v="0"/>
    <d v="2022-02-01T00:00:00"/>
    <x v="9"/>
    <s v="February"/>
    <n v="2"/>
    <n v="148.80000000000001"/>
    <n v="198.1"/>
    <n v="175.5"/>
    <n v="160.69999999999999"/>
    <n v="192.6"/>
    <n v="151.4"/>
    <n v="155.19999999999999"/>
    <n v="163.9"/>
    <n v="118.1"/>
    <n v="175.4"/>
    <n v="170.5"/>
    <n v="176.3"/>
    <n v="163.9"/>
    <n v="191.5"/>
    <n v="174.1"/>
    <n v="171"/>
    <n v="173.7"/>
    <n v="165.5"/>
    <n v="167.4"/>
    <n v="165.7"/>
    <n v="175.3"/>
    <n v="161.19999999999999"/>
    <n v="165.5"/>
    <n v="170.3"/>
    <n v="164.5"/>
    <n v="167.3"/>
    <n v="166.7"/>
    <x v="312"/>
    <n v="167.4"/>
    <n v="161.19999999999999"/>
    <n v="170.3"/>
    <n v="1714.1"/>
  </r>
  <r>
    <x v="1"/>
    <d v="2022-02-01T00:00:00"/>
    <x v="9"/>
    <s v="February"/>
    <n v="2"/>
    <n v="152.5"/>
    <n v="205.2"/>
    <n v="176.4"/>
    <n v="160.6"/>
    <n v="171.5"/>
    <n v="156.4"/>
    <n v="198"/>
    <n v="163.19999999999999"/>
    <n v="120.6"/>
    <n v="172.2"/>
    <n v="156.69999999999999"/>
    <n v="180"/>
    <n v="170.2"/>
    <n v="196.5"/>
    <n v="165.7"/>
    <n v="150.4"/>
    <n v="163.4"/>
    <n v="165.5"/>
    <n v="163"/>
    <n v="157.4"/>
    <n v="167.2"/>
    <n v="153.1"/>
    <n v="159.5"/>
    <n v="162"/>
    <n v="164.2"/>
    <n v="159.4"/>
    <n v="165.5"/>
    <x v="313"/>
    <n v="163"/>
    <n v="153.1"/>
    <n v="162"/>
    <n v="1649.2"/>
  </r>
  <r>
    <x v="2"/>
    <d v="2022-02-01T00:00:00"/>
    <x v="9"/>
    <s v="February"/>
    <n v="2"/>
    <n v="150"/>
    <n v="200.6"/>
    <n v="175.8"/>
    <n v="160.69999999999999"/>
    <n v="184.9"/>
    <n v="153.69999999999999"/>
    <n v="169.7"/>
    <n v="163.69999999999999"/>
    <n v="118.9"/>
    <n v="174.3"/>
    <n v="164.7"/>
    <n v="178"/>
    <n v="166.2"/>
    <n v="192.8"/>
    <n v="170.8"/>
    <n v="162.4"/>
    <n v="169.6"/>
    <n v="165.5"/>
    <n v="165.7"/>
    <n v="161.80000000000001"/>
    <n v="172.2"/>
    <n v="156.9"/>
    <n v="162.1"/>
    <n v="165.4"/>
    <n v="164.4"/>
    <n v="163.5"/>
    <n v="166.1"/>
    <x v="314"/>
    <n v="165.7"/>
    <n v="156.9"/>
    <n v="165.4"/>
    <n v="1685.1000000000001"/>
  </r>
  <r>
    <x v="0"/>
    <d v="2022-03-01T00:00:00"/>
    <x v="9"/>
    <s v="March"/>
    <n v="3"/>
    <n v="150.19999999999999"/>
    <n v="208"/>
    <n v="167.9"/>
    <n v="162"/>
    <n v="203.1"/>
    <n v="155.9"/>
    <n v="155.80000000000001"/>
    <n v="164.2"/>
    <n v="118.1"/>
    <n v="178.7"/>
    <n v="171.2"/>
    <n v="177.4"/>
    <n v="166.6"/>
    <n v="192.3"/>
    <n v="175.4"/>
    <n v="173.2"/>
    <n v="175.1"/>
    <n v="165.3"/>
    <n v="168.9"/>
    <n v="166.5"/>
    <n v="176"/>
    <n v="162"/>
    <n v="166.6"/>
    <n v="170.6"/>
    <n v="167.4"/>
    <n v="168.3"/>
    <n v="168.7"/>
    <x v="315"/>
    <n v="168.9"/>
    <n v="162"/>
    <n v="170.6"/>
    <n v="1726.1000000000001"/>
  </r>
  <r>
    <x v="1"/>
    <d v="2022-03-01T00:00:00"/>
    <x v="9"/>
    <s v="March"/>
    <n v="3"/>
    <n v="153.69999999999999"/>
    <n v="215.8"/>
    <n v="167.7"/>
    <n v="162.6"/>
    <n v="180"/>
    <n v="159.6"/>
    <n v="188.4"/>
    <n v="163.4"/>
    <n v="120.3"/>
    <n v="174.7"/>
    <n v="157.1"/>
    <n v="181.5"/>
    <n v="171.5"/>
    <n v="197.5"/>
    <n v="167.1"/>
    <n v="152.6"/>
    <n v="164.9"/>
    <n v="165.3"/>
    <n v="164.5"/>
    <n v="158.6"/>
    <n v="168.2"/>
    <n v="154.19999999999999"/>
    <n v="160.80000000000001"/>
    <n v="162.69999999999999"/>
    <n v="166.8"/>
    <n v="160.6"/>
    <n v="166.5"/>
    <x v="316"/>
    <n v="164.5"/>
    <n v="154.19999999999999"/>
    <n v="162.69999999999999"/>
    <n v="1662.3999999999999"/>
  </r>
  <r>
    <x v="2"/>
    <d v="2022-03-01T00:00:00"/>
    <x v="9"/>
    <s v="March"/>
    <n v="3"/>
    <n v="151.30000000000001"/>
    <n v="210.7"/>
    <n v="167.8"/>
    <n v="162.19999999999999"/>
    <n v="194.6"/>
    <n v="157.6"/>
    <n v="166.9"/>
    <n v="163.9"/>
    <n v="118.8"/>
    <n v="177.4"/>
    <n v="165.3"/>
    <n v="179.3"/>
    <n v="168.4"/>
    <n v="193.7"/>
    <n v="172.1"/>
    <n v="164.6"/>
    <n v="171.1"/>
    <n v="165.3"/>
    <n v="167.2"/>
    <n v="162.80000000000001"/>
    <n v="173"/>
    <n v="157.9"/>
    <n v="163.30000000000001"/>
    <n v="166"/>
    <n v="167.2"/>
    <n v="164.6"/>
    <n v="167.7"/>
    <x v="317"/>
    <n v="167.2"/>
    <n v="157.9"/>
    <n v="166"/>
    <n v="1697.6999999999998"/>
  </r>
  <r>
    <x v="0"/>
    <d v="2022-04-01T00:00:00"/>
    <x v="9"/>
    <s v="April"/>
    <n v="4"/>
    <n v="151.80000000000001"/>
    <n v="209.7"/>
    <n v="164.5"/>
    <n v="163.80000000000001"/>
    <n v="207.4"/>
    <n v="169.7"/>
    <n v="153.6"/>
    <n v="165.1"/>
    <n v="118.2"/>
    <n v="182.9"/>
    <n v="172.4"/>
    <n v="178.9"/>
    <n v="168.6"/>
    <n v="192.8"/>
    <n v="177.5"/>
    <n v="175.1"/>
    <n v="177.1"/>
    <n v="167"/>
    <n v="173.3"/>
    <n v="167.7"/>
    <n v="177"/>
    <n v="166.2"/>
    <n v="167.2"/>
    <n v="170.9"/>
    <n v="169"/>
    <n v="170.2"/>
    <n v="170.8"/>
    <x v="318"/>
    <n v="173.3"/>
    <n v="166.2"/>
    <n v="170.9"/>
    <n v="1740.6000000000001"/>
  </r>
  <r>
    <x v="1"/>
    <d v="2022-04-01T00:00:00"/>
    <x v="9"/>
    <s v="April"/>
    <n v="4"/>
    <n v="155.4"/>
    <n v="215.8"/>
    <n v="164.6"/>
    <n v="164.2"/>
    <n v="186"/>
    <n v="175.9"/>
    <n v="190.7"/>
    <n v="164"/>
    <n v="120.5"/>
    <n v="178"/>
    <n v="157.5"/>
    <n v="183.3"/>
    <n v="174.5"/>
    <n v="197.1"/>
    <n v="168.4"/>
    <n v="154.5"/>
    <n v="166.3"/>
    <n v="167"/>
    <n v="170.5"/>
    <n v="159.80000000000001"/>
    <n v="169"/>
    <n v="159.30000000000001"/>
    <n v="162.19999999999999"/>
    <n v="164"/>
    <n v="168.4"/>
    <n v="163.1"/>
    <n v="169.2"/>
    <x v="319"/>
    <n v="170.5"/>
    <n v="159.30000000000001"/>
    <n v="164"/>
    <n v="1675.8"/>
  </r>
  <r>
    <x v="2"/>
    <d v="2022-04-01T00:00:00"/>
    <x v="9"/>
    <s v="April"/>
    <n v="4"/>
    <n v="152.9"/>
    <n v="211.8"/>
    <n v="164.5"/>
    <n v="163.9"/>
    <n v="199.5"/>
    <n v="172.6"/>
    <n v="166.2"/>
    <n v="164.7"/>
    <n v="119"/>
    <n v="181.3"/>
    <n v="166.2"/>
    <n v="180.9"/>
    <n v="170.8"/>
    <n v="193.9"/>
    <n v="173.9"/>
    <n v="166.5"/>
    <n v="172.8"/>
    <n v="167"/>
    <n v="172.2"/>
    <n v="164"/>
    <n v="174"/>
    <n v="162.6"/>
    <n v="164.4"/>
    <n v="166.9"/>
    <n v="168.8"/>
    <n v="166.8"/>
    <n v="170.1"/>
    <x v="320"/>
    <n v="172.2"/>
    <n v="162.6"/>
    <n v="166.9"/>
    <n v="1712.1"/>
  </r>
  <r>
    <x v="0"/>
    <d v="2022-05-01T00:00:00"/>
    <x v="9"/>
    <s v="May"/>
    <n v="5"/>
    <n v="152.9"/>
    <n v="214.7"/>
    <n v="161.4"/>
    <n v="164.6"/>
    <n v="209.9"/>
    <n v="168"/>
    <n v="160.4"/>
    <n v="165"/>
    <n v="118.9"/>
    <n v="186.6"/>
    <n v="173.2"/>
    <n v="180.4"/>
    <n v="170.8"/>
    <n v="192.9"/>
    <n v="179.3"/>
    <n v="177.2"/>
    <n v="179"/>
    <n v="167.5"/>
    <n v="175.3"/>
    <n v="168.9"/>
    <n v="177.7"/>
    <n v="167.1"/>
    <n v="167.6"/>
    <n v="171.8"/>
    <n v="168.5"/>
    <n v="170.9"/>
    <n v="172.5"/>
    <x v="321"/>
    <n v="175.3"/>
    <n v="167.1"/>
    <n v="171.8"/>
    <n v="1749.5000000000002"/>
  </r>
  <r>
    <x v="1"/>
    <d v="2022-05-01T00:00:00"/>
    <x v="9"/>
    <s v="May"/>
    <n v="5"/>
    <n v="156.69999999999999"/>
    <n v="221.2"/>
    <n v="164.1"/>
    <n v="165.4"/>
    <n v="189.5"/>
    <n v="174.5"/>
    <n v="203.2"/>
    <n v="164.1"/>
    <n v="121.2"/>
    <n v="181.4"/>
    <n v="158.5"/>
    <n v="184.9"/>
    <n v="177.5"/>
    <n v="197.5"/>
    <n v="170"/>
    <n v="155.9"/>
    <n v="167.8"/>
    <n v="167.5"/>
    <n v="173.5"/>
    <n v="161.1"/>
    <n v="170.1"/>
    <n v="159.4"/>
    <n v="163.19999999999999"/>
    <n v="165.2"/>
    <n v="168.2"/>
    <n v="163.80000000000001"/>
    <n v="170.8"/>
    <x v="322"/>
    <n v="173.5"/>
    <n v="159.4"/>
    <n v="165.2"/>
    <n v="1685.1000000000001"/>
  </r>
  <r>
    <x v="2"/>
    <d v="2022-05-01T00:00:00"/>
    <x v="9"/>
    <s v="May"/>
    <n v="5"/>
    <n v="154.1"/>
    <n v="217"/>
    <n v="162.4"/>
    <n v="164.9"/>
    <n v="202.4"/>
    <n v="171"/>
    <n v="174.9"/>
    <n v="164.7"/>
    <n v="119.7"/>
    <n v="184.9"/>
    <n v="167.1"/>
    <n v="182.5"/>
    <n v="173.3"/>
    <n v="194.1"/>
    <n v="175.6"/>
    <n v="168.4"/>
    <n v="174.6"/>
    <n v="167.5"/>
    <n v="174.6"/>
    <n v="165.2"/>
    <n v="174.8"/>
    <n v="163"/>
    <n v="165.1"/>
    <n v="167.9"/>
    <n v="168.4"/>
    <n v="167.5"/>
    <n v="171.7"/>
    <x v="323"/>
    <n v="174.6"/>
    <n v="163"/>
    <n v="167.9"/>
    <n v="1721.2"/>
  </r>
  <r>
    <x v="0"/>
    <d v="2022-06-01T00:00:00"/>
    <x v="9"/>
    <s v="June"/>
    <n v="6"/>
    <n v="153.80000000000001"/>
    <n v="217.2"/>
    <n v="169.6"/>
    <n v="165.4"/>
    <n v="208.1"/>
    <n v="165.8"/>
    <n v="167.3"/>
    <n v="164.6"/>
    <n v="119.1"/>
    <n v="188.9"/>
    <n v="174.2"/>
    <n v="181.9"/>
    <n v="172.4"/>
    <n v="192.9"/>
    <n v="180.7"/>
    <n v="178.7"/>
    <n v="180.4"/>
    <n v="166.8"/>
    <n v="176.7"/>
    <n v="170.3"/>
    <n v="178.2"/>
    <n v="165.5"/>
    <n v="168"/>
    <n v="172.6"/>
    <n v="169.5"/>
    <n v="171"/>
    <n v="173.6"/>
    <x v="324"/>
    <n v="176.7"/>
    <n v="165.5"/>
    <n v="172.6"/>
    <n v="1756.5"/>
  </r>
  <r>
    <x v="1"/>
    <d v="2022-06-01T00:00:00"/>
    <x v="9"/>
    <s v="June"/>
    <n v="6"/>
    <n v="157.5"/>
    <n v="223.4"/>
    <n v="172.8"/>
    <n v="166.4"/>
    <n v="188.6"/>
    <n v="174.1"/>
    <n v="211.5"/>
    <n v="163.6"/>
    <n v="121.4"/>
    <n v="183.5"/>
    <n v="159.1"/>
    <n v="186.3"/>
    <n v="179.3"/>
    <n v="198.3"/>
    <n v="171.6"/>
    <n v="157.4"/>
    <n v="169.4"/>
    <n v="166.8"/>
    <n v="174.9"/>
    <n v="162.1"/>
    <n v="170.9"/>
    <n v="157.19999999999999"/>
    <n v="164.1"/>
    <n v="166.5"/>
    <n v="169.2"/>
    <n v="163.80000000000001"/>
    <n v="171.4"/>
    <x v="325"/>
    <n v="174.9"/>
    <n v="157.19999999999999"/>
    <n v="166.5"/>
    <n v="1693.6"/>
  </r>
  <r>
    <x v="2"/>
    <d v="2022-06-01T00:00:00"/>
    <x v="9"/>
    <s v="June"/>
    <n v="6"/>
    <n v="155"/>
    <n v="219.4"/>
    <n v="170.8"/>
    <n v="165.8"/>
    <n v="200.9"/>
    <n v="169.7"/>
    <n v="182.3"/>
    <n v="164.3"/>
    <n v="119.9"/>
    <n v="187.1"/>
    <n v="167.9"/>
    <n v="183.9"/>
    <n v="174.9"/>
    <n v="194.3"/>
    <n v="177.1"/>
    <n v="169.9"/>
    <n v="176"/>
    <n v="166.8"/>
    <n v="176"/>
    <n v="166.4"/>
    <n v="175.4"/>
    <n v="161.1"/>
    <n v="165.8"/>
    <n v="169"/>
    <n v="169.4"/>
    <n v="167.5"/>
    <n v="172.6"/>
    <x v="326"/>
    <n v="176"/>
    <n v="161.1"/>
    <n v="169"/>
    <n v="1728.6000000000001"/>
  </r>
  <r>
    <x v="0"/>
    <d v="2022-07-01T00:00:00"/>
    <x v="9"/>
    <s v="July"/>
    <n v="7"/>
    <n v="155.19999999999999"/>
    <n v="210.8"/>
    <n v="174.3"/>
    <n v="166.3"/>
    <n v="202.2"/>
    <n v="169.6"/>
    <n v="168.6"/>
    <n v="164.4"/>
    <n v="119.2"/>
    <n v="191.8"/>
    <n v="174.5"/>
    <n v="183.1"/>
    <n v="172.5"/>
    <n v="193.2"/>
    <n v="182"/>
    <n v="180.3"/>
    <n v="181.7"/>
    <n v="167.8"/>
    <n v="179.6"/>
    <n v="171.3"/>
    <n v="178.8"/>
    <n v="166.3"/>
    <n v="168.6"/>
    <n v="174.7"/>
    <n v="169.7"/>
    <n v="171.8"/>
    <n v="174.3"/>
    <x v="327"/>
    <n v="179.6"/>
    <n v="166.3"/>
    <n v="174.7"/>
    <n v="1765.1999999999998"/>
  </r>
  <r>
    <x v="1"/>
    <d v="2022-07-01T00:00:00"/>
    <x v="9"/>
    <s v="July"/>
    <n v="7"/>
    <n v="159.30000000000001"/>
    <n v="217.1"/>
    <n v="176.6"/>
    <n v="167.1"/>
    <n v="184.8"/>
    <n v="179.5"/>
    <n v="208.5"/>
    <n v="164"/>
    <n v="121.5"/>
    <n v="186.3"/>
    <n v="159.80000000000001"/>
    <n v="187.7"/>
    <n v="179.4"/>
    <n v="198.6"/>
    <n v="172.7"/>
    <n v="158.69999999999999"/>
    <n v="170.6"/>
    <n v="167.8"/>
    <n v="179.5"/>
    <n v="163.1"/>
    <n v="171.7"/>
    <n v="157.4"/>
    <n v="164.6"/>
    <n v="169.1"/>
    <n v="169.8"/>
    <n v="164.7"/>
    <n v="172.3"/>
    <x v="328"/>
    <n v="179.5"/>
    <n v="157.4"/>
    <n v="169.1"/>
    <n v="1702.3"/>
  </r>
  <r>
    <x v="2"/>
    <d v="2022-07-01T00:00:00"/>
    <x v="9"/>
    <s v="July"/>
    <n v="7"/>
    <n v="156.5"/>
    <n v="213"/>
    <n v="175.2"/>
    <n v="166.6"/>
    <n v="195.8"/>
    <n v="174.2"/>
    <n v="182.1"/>
    <n v="164.3"/>
    <n v="120"/>
    <n v="190"/>
    <n v="168.4"/>
    <n v="185.2"/>
    <n v="175"/>
    <n v="194.6"/>
    <n v="178.3"/>
    <n v="171.3"/>
    <n v="177.3"/>
    <n v="167.8"/>
    <n v="179.6"/>
    <n v="167.4"/>
    <n v="176.1"/>
    <n v="161.6"/>
    <n v="166.3"/>
    <n v="171.4"/>
    <n v="169.7"/>
    <n v="168.4"/>
    <n v="173.4"/>
    <x v="329"/>
    <n v="179.6"/>
    <n v="161.6"/>
    <n v="171.4"/>
    <n v="1737.2"/>
  </r>
  <r>
    <x v="0"/>
    <d v="2022-08-01T00:00:00"/>
    <x v="9"/>
    <s v="August"/>
    <n v="8"/>
    <n v="159.5"/>
    <n v="204.1"/>
    <n v="168.3"/>
    <n v="167.9"/>
    <n v="198.1"/>
    <n v="169.2"/>
    <n v="173.1"/>
    <n v="167.1"/>
    <n v="120.2"/>
    <n v="195.6"/>
    <n v="174.8"/>
    <n v="184"/>
    <n v="173.9"/>
    <n v="193.7"/>
    <n v="183.2"/>
    <n v="181.7"/>
    <n v="183"/>
    <n v="169"/>
    <n v="179.1"/>
    <n v="172.3"/>
    <n v="179.4"/>
    <n v="166.6"/>
    <n v="169.3"/>
    <n v="175.7"/>
    <n v="171.1"/>
    <n v="172.6"/>
    <n v="175.3"/>
    <x v="330"/>
    <n v="179.1"/>
    <n v="166.6"/>
    <n v="175.7"/>
    <n v="1775.2999999999997"/>
  </r>
  <r>
    <x v="1"/>
    <d v="2022-08-01T00:00:00"/>
    <x v="9"/>
    <s v="August"/>
    <n v="8"/>
    <n v="162.1"/>
    <n v="210.9"/>
    <n v="170.6"/>
    <n v="168.4"/>
    <n v="182.5"/>
    <n v="177.1"/>
    <n v="213.1"/>
    <n v="167.3"/>
    <n v="122.2"/>
    <n v="189.7"/>
    <n v="160.5"/>
    <n v="188.9"/>
    <n v="180.4"/>
    <n v="198.7"/>
    <n v="173.7"/>
    <n v="160"/>
    <n v="171.6"/>
    <n v="169"/>
    <n v="178.4"/>
    <n v="164.2"/>
    <n v="172.6"/>
    <n v="157.69999999999999"/>
    <n v="165.1"/>
    <n v="169.9"/>
    <n v="171.4"/>
    <n v="165.4"/>
    <n v="173.1"/>
    <x v="331"/>
    <n v="178.4"/>
    <n v="157.69999999999999"/>
    <n v="169.9"/>
    <n v="1711.7"/>
  </r>
  <r>
    <x v="2"/>
    <d v="2022-08-01T00:00:00"/>
    <x v="9"/>
    <s v="August"/>
    <n v="8"/>
    <n v="160.30000000000001"/>
    <n v="206.5"/>
    <n v="169.2"/>
    <n v="168.1"/>
    <n v="192.4"/>
    <n v="172.9"/>
    <n v="186.7"/>
    <n v="167.2"/>
    <n v="120.9"/>
    <n v="193.6"/>
    <n v="168.8"/>
    <n v="186.3"/>
    <n v="176.3"/>
    <n v="195"/>
    <n v="179.5"/>
    <n v="172.7"/>
    <n v="178.5"/>
    <n v="169"/>
    <n v="178.8"/>
    <n v="168.5"/>
    <n v="176.8"/>
    <n v="161.9"/>
    <n v="166.9"/>
    <n v="172.3"/>
    <n v="171.2"/>
    <n v="169.1"/>
    <n v="174.3"/>
    <x v="332"/>
    <n v="178.8"/>
    <n v="161.9"/>
    <n v="172.3"/>
    <n v="1747.2"/>
  </r>
  <r>
    <x v="0"/>
    <d v="2022-09-01T00:00:00"/>
    <x v="9"/>
    <s v="September"/>
    <n v="9"/>
    <n v="162.9"/>
    <n v="206.7"/>
    <n v="169"/>
    <n v="169.5"/>
    <n v="194.1"/>
    <n v="164.1"/>
    <n v="176.9"/>
    <n v="169"/>
    <n v="120.8"/>
    <n v="199.1"/>
    <n v="175.4"/>
    <n v="184.8"/>
    <n v="175.5"/>
    <n v="194.5"/>
    <n v="184.7"/>
    <n v="183.3"/>
    <n v="184.5"/>
    <n v="169.5"/>
    <n v="179.7"/>
    <n v="173.6"/>
    <n v="180.2"/>
    <n v="166.9"/>
    <n v="170"/>
    <n v="176.2"/>
    <n v="170.8"/>
    <n v="173.1"/>
    <n v="176.4"/>
    <x v="333"/>
    <n v="179.7"/>
    <n v="166.9"/>
    <n v="176.2"/>
    <n v="1784.1999999999998"/>
  </r>
  <r>
    <x v="1"/>
    <d v="2022-09-01T00:00:00"/>
    <x v="9"/>
    <s v="September"/>
    <n v="9"/>
    <n v="164.9"/>
    <n v="213.7"/>
    <n v="170.9"/>
    <n v="170.1"/>
    <n v="179.3"/>
    <n v="167.5"/>
    <n v="220.8"/>
    <n v="169.2"/>
    <n v="123.1"/>
    <n v="193.6"/>
    <n v="161.1"/>
    <n v="190.4"/>
    <n v="181.8"/>
    <n v="199.7"/>
    <n v="175"/>
    <n v="161.69999999999999"/>
    <n v="173"/>
    <n v="169.5"/>
    <n v="179.2"/>
    <n v="165"/>
    <n v="173.8"/>
    <n v="158.19999999999999"/>
    <n v="165.8"/>
    <n v="170.9"/>
    <n v="171.1"/>
    <n v="166.1"/>
    <n v="174.1"/>
    <x v="334"/>
    <n v="179.2"/>
    <n v="158.19999999999999"/>
    <n v="170.9"/>
    <n v="1720.6999999999998"/>
  </r>
  <r>
    <x v="2"/>
    <d v="2022-09-01T00:00:00"/>
    <x v="9"/>
    <s v="September"/>
    <n v="9"/>
    <n v="163.5"/>
    <n v="209.2"/>
    <n v="169.7"/>
    <n v="169.7"/>
    <n v="188.7"/>
    <n v="165.7"/>
    <n v="191.8"/>
    <n v="169.1"/>
    <n v="121.6"/>
    <n v="197.3"/>
    <n v="169.4"/>
    <n v="187.4"/>
    <n v="177.8"/>
    <n v="195.9"/>
    <n v="180.9"/>
    <n v="174.3"/>
    <n v="179.9"/>
    <n v="169.5"/>
    <n v="179.5"/>
    <n v="169.5"/>
    <n v="177.8"/>
    <n v="162.30000000000001"/>
    <n v="167.6"/>
    <n v="173.1"/>
    <n v="170.9"/>
    <n v="169.7"/>
    <n v="175.3"/>
    <x v="335"/>
    <n v="179.5"/>
    <n v="162.30000000000001"/>
    <n v="173.1"/>
    <n v="1756"/>
  </r>
  <r>
    <x v="0"/>
    <d v="2022-10-01T00:00:00"/>
    <x v="9"/>
    <s v="October"/>
    <n v="10"/>
    <n v="164.7"/>
    <n v="208.8"/>
    <n v="170.3"/>
    <n v="170.9"/>
    <n v="191.6"/>
    <n v="162.19999999999999"/>
    <n v="184.8"/>
    <n v="169.7"/>
    <n v="121.1"/>
    <n v="201.6"/>
    <n v="175.8"/>
    <n v="185.6"/>
    <n v="177.4"/>
    <n v="194.9"/>
    <n v="186.1"/>
    <n v="184.4"/>
    <n v="185.9"/>
    <n v="171.2"/>
    <n v="180.8"/>
    <n v="174.4"/>
    <n v="181.2"/>
    <n v="167.4"/>
    <n v="170.6"/>
    <n v="176.5"/>
    <n v="172"/>
    <n v="173.9"/>
    <n v="177.9"/>
    <x v="336"/>
    <n v="180.8"/>
    <n v="167.4"/>
    <n v="176.5"/>
    <n v="1794.6000000000001"/>
  </r>
  <r>
    <x v="1"/>
    <d v="2022-10-01T00:00:00"/>
    <x v="9"/>
    <s v="October"/>
    <n v="10"/>
    <n v="166.4"/>
    <n v="214.9"/>
    <n v="171.9"/>
    <n v="171"/>
    <n v="177.7"/>
    <n v="165.7"/>
    <n v="228.6"/>
    <n v="169.9"/>
    <n v="123.4"/>
    <n v="196.4"/>
    <n v="161.6"/>
    <n v="191.5"/>
    <n v="183.3"/>
    <n v="200.1"/>
    <n v="175.5"/>
    <n v="162.6"/>
    <n v="173.6"/>
    <n v="171.2"/>
    <n v="180"/>
    <n v="166"/>
    <n v="174.7"/>
    <n v="158.80000000000001"/>
    <n v="166.3"/>
    <n v="171.2"/>
    <n v="172.3"/>
    <n v="166.8"/>
    <n v="175.3"/>
    <x v="337"/>
    <n v="180"/>
    <n v="158.80000000000001"/>
    <n v="171.2"/>
    <n v="1729.1"/>
  </r>
  <r>
    <x v="2"/>
    <d v="2022-10-01T00:00:00"/>
    <x v="9"/>
    <s v="October"/>
    <n v="10"/>
    <n v="165.2"/>
    <n v="210.9"/>
    <n v="170.9"/>
    <n v="170.9"/>
    <n v="186.5"/>
    <n v="163.80000000000001"/>
    <n v="199.7"/>
    <n v="169.8"/>
    <n v="121.9"/>
    <n v="199.9"/>
    <n v="169.9"/>
    <n v="188.3"/>
    <n v="179.6"/>
    <n v="196.3"/>
    <n v="181.9"/>
    <n v="175.3"/>
    <n v="181"/>
    <n v="171.2"/>
    <n v="180.5"/>
    <n v="170.4"/>
    <n v="178.7"/>
    <n v="162.9"/>
    <n v="168.2"/>
    <n v="173.4"/>
    <n v="172.1"/>
    <n v="170.5"/>
    <n v="176.7"/>
    <x v="338"/>
    <n v="180.5"/>
    <n v="162.9"/>
    <n v="173.4"/>
    <n v="1765.6000000000001"/>
  </r>
  <r>
    <x v="0"/>
    <d v="2022-11-01T00:00:00"/>
    <x v="9"/>
    <s v="November"/>
    <n v="11"/>
    <n v="166.9"/>
    <n v="207.2"/>
    <n v="180.2"/>
    <n v="172.3"/>
    <n v="194"/>
    <n v="159.1"/>
    <n v="171.6"/>
    <n v="170.2"/>
    <n v="121.5"/>
    <n v="204.8"/>
    <n v="176.4"/>
    <n v="186.9"/>
    <n v="176.6"/>
    <n v="195.5"/>
    <n v="187.2"/>
    <n v="185.2"/>
    <n v="186.9"/>
    <n v="171.8"/>
    <n v="181.9"/>
    <n v="175.5"/>
    <n v="182.3"/>
    <n v="167.5"/>
    <n v="170.8"/>
    <n v="176.9"/>
    <n v="173.4"/>
    <n v="174.6"/>
    <n v="177.8"/>
    <x v="339"/>
    <n v="181.9"/>
    <n v="167.5"/>
    <n v="176.9"/>
    <n v="1803.1999999999998"/>
  </r>
  <r>
    <x v="1"/>
    <d v="2022-11-01T00:00:00"/>
    <x v="9"/>
    <s v="November"/>
    <n v="11"/>
    <n v="168.4"/>
    <n v="213.4"/>
    <n v="183.2"/>
    <n v="172.3"/>
    <n v="180"/>
    <n v="162.6"/>
    <n v="205.5"/>
    <n v="171"/>
    <n v="123.4"/>
    <n v="198.8"/>
    <n v="162.1"/>
    <n v="192.4"/>
    <n v="181.3"/>
    <n v="200.6"/>
    <n v="176.7"/>
    <n v="163.5"/>
    <n v="174.7"/>
    <n v="171.8"/>
    <n v="180.3"/>
    <n v="166.9"/>
    <n v="175.8"/>
    <n v="158.9"/>
    <n v="166.7"/>
    <n v="171.5"/>
    <n v="173.8"/>
    <n v="167.4"/>
    <n v="174.1"/>
    <x v="340"/>
    <n v="180.3"/>
    <n v="158.9"/>
    <n v="171.5"/>
    <n v="1737.9"/>
  </r>
  <r>
    <x v="2"/>
    <d v="2022-11-01T00:00:00"/>
    <x v="9"/>
    <s v="November"/>
    <n v="11"/>
    <n v="167.4"/>
    <n v="209.4"/>
    <n v="181.4"/>
    <n v="172.3"/>
    <n v="188.9"/>
    <n v="160.69999999999999"/>
    <n v="183.1"/>
    <n v="170.5"/>
    <n v="122.1"/>
    <n v="202.8"/>
    <n v="170.4"/>
    <n v="189.5"/>
    <n v="178.3"/>
    <n v="196.9"/>
    <n v="183.1"/>
    <n v="176.2"/>
    <n v="182.1"/>
    <n v="171.8"/>
    <n v="181.3"/>
    <n v="171.4"/>
    <n v="179.8"/>
    <n v="163"/>
    <n v="168.5"/>
    <n v="173.7"/>
    <n v="173.6"/>
    <n v="171.1"/>
    <n v="176.5"/>
    <x v="341"/>
    <n v="181.3"/>
    <n v="163"/>
    <n v="173.7"/>
    <n v="1774.5"/>
  </r>
  <r>
    <x v="0"/>
    <d v="2022-12-01T00:00:00"/>
    <x v="9"/>
    <s v="December"/>
    <n v="12"/>
    <n v="168.8"/>
    <n v="206.9"/>
    <n v="189.1"/>
    <n v="173.4"/>
    <n v="193.9"/>
    <n v="156.69999999999999"/>
    <n v="150.19999999999999"/>
    <n v="170.5"/>
    <n v="121.2"/>
    <n v="207.5"/>
    <n v="176.8"/>
    <n v="187.7"/>
    <n v="174.4"/>
    <n v="195.9"/>
    <n v="188.1"/>
    <n v="185.9"/>
    <n v="187.8"/>
    <n v="170.7"/>
    <n v="182.8"/>
    <n v="176.4"/>
    <n v="183.5"/>
    <n v="167.8"/>
    <n v="171.2"/>
    <n v="177.3"/>
    <n v="175.7"/>
    <n v="175.5"/>
    <n v="177.1"/>
    <x v="342"/>
    <n v="182.8"/>
    <n v="167.8"/>
    <n v="177.3"/>
    <n v="1810.7000000000003"/>
  </r>
  <r>
    <x v="1"/>
    <d v="2022-12-01T00:00:00"/>
    <x v="9"/>
    <s v="December"/>
    <n v="12"/>
    <n v="170.2"/>
    <n v="212.9"/>
    <n v="191.9"/>
    <n v="173.9"/>
    <n v="179.1"/>
    <n v="159.5"/>
    <n v="178.7"/>
    <n v="171.3"/>
    <n v="123.1"/>
    <n v="200.5"/>
    <n v="162.80000000000001"/>
    <n v="193.3"/>
    <n v="178.6"/>
    <n v="201.1"/>
    <n v="177.7"/>
    <n v="164.5"/>
    <n v="175.7"/>
    <n v="170.7"/>
    <n v="180.6"/>
    <n v="167.3"/>
    <n v="177.2"/>
    <n v="159.4"/>
    <n v="167.1"/>
    <n v="171.8"/>
    <n v="176"/>
    <n v="168.2"/>
    <n v="174.1"/>
    <x v="343"/>
    <n v="180.6"/>
    <n v="159.4"/>
    <n v="171.8"/>
    <n v="1745.5"/>
  </r>
  <r>
    <x v="2"/>
    <d v="2022-12-01T00:00:00"/>
    <x v="9"/>
    <s v="December"/>
    <n v="12"/>
    <n v="169.2"/>
    <n v="209"/>
    <n v="190.2"/>
    <n v="173.6"/>
    <n v="188.5"/>
    <n v="158"/>
    <n v="159.9"/>
    <n v="170.8"/>
    <n v="121.8"/>
    <n v="205.2"/>
    <n v="171"/>
    <n v="190.3"/>
    <n v="175.9"/>
    <n v="197.3"/>
    <n v="184"/>
    <n v="177"/>
    <n v="183"/>
    <n v="170.7"/>
    <n v="182"/>
    <n v="172.1"/>
    <n v="181.1"/>
    <n v="163.4"/>
    <n v="168.9"/>
    <n v="174.1"/>
    <n v="175.8"/>
    <n v="172"/>
    <n v="175.7"/>
    <x v="344"/>
    <n v="182"/>
    <n v="163.4"/>
    <n v="174.1"/>
    <n v="1781.8999999999999"/>
  </r>
  <r>
    <x v="0"/>
    <d v="2023-01-01T00:00:00"/>
    <x v="10"/>
    <s v="January"/>
    <n v="1"/>
    <n v="174"/>
    <n v="208.3"/>
    <n v="192.9"/>
    <n v="174.3"/>
    <n v="192.6"/>
    <n v="156.30000000000001"/>
    <n v="142.9"/>
    <n v="170.7"/>
    <n v="120.3"/>
    <n v="210.5"/>
    <n v="176.9"/>
    <n v="188.5"/>
    <n v="175"/>
    <n v="196.9"/>
    <n v="189"/>
    <n v="186.3"/>
    <n v="188.6"/>
    <n v="172.1"/>
    <n v="183.2"/>
    <n v="177.2"/>
    <n v="184.7"/>
    <n v="168.2"/>
    <n v="171.8"/>
    <n v="177.8"/>
    <n v="178.4"/>
    <n v="176.5"/>
    <n v="177.8"/>
    <x v="345"/>
    <n v="183.2"/>
    <n v="168.2"/>
    <n v="177.8"/>
    <n v="1821.5000000000002"/>
  </r>
  <r>
    <x v="1"/>
    <d v="2023-01-01T00:00:00"/>
    <x v="10"/>
    <s v="January"/>
    <n v="1"/>
    <n v="173.3"/>
    <n v="215.2"/>
    <n v="197"/>
    <n v="175.2"/>
    <n v="178"/>
    <n v="160.5"/>
    <n v="175.3"/>
    <n v="171.2"/>
    <n v="122.7"/>
    <n v="204.3"/>
    <n v="163.69999999999999"/>
    <n v="194.3"/>
    <n v="179.5"/>
    <n v="201.6"/>
    <n v="178.7"/>
    <n v="165.3"/>
    <n v="176.6"/>
    <n v="172.1"/>
    <n v="180.1"/>
    <n v="168"/>
    <n v="178.5"/>
    <n v="159.5"/>
    <n v="167.8"/>
    <n v="171.8"/>
    <n v="178.8"/>
    <n v="168.9"/>
    <n v="174.9"/>
    <x v="346"/>
    <n v="180.1"/>
    <n v="159.5"/>
    <n v="171.8"/>
    <n v="1756.3"/>
  </r>
  <r>
    <x v="2"/>
    <d v="2023-01-01T00:00:00"/>
    <x v="10"/>
    <s v="January"/>
    <n v="1"/>
    <n v="173.8"/>
    <n v="210.7"/>
    <n v="194.5"/>
    <n v="174.6"/>
    <n v="187.2"/>
    <n v="158.30000000000001"/>
    <n v="153.9"/>
    <n v="170.9"/>
    <n v="121.1"/>
    <n v="208.4"/>
    <n v="171.4"/>
    <n v="191.2"/>
    <n v="176.7"/>
    <n v="198.2"/>
    <n v="184.9"/>
    <n v="177.6"/>
    <n v="183.8"/>
    <n v="172.1"/>
    <n v="182"/>
    <n v="172.9"/>
    <n v="182.3"/>
    <n v="163.6"/>
    <n v="169.5"/>
    <n v="174.3"/>
    <n v="178.6"/>
    <n v="172.8"/>
    <n v="176.5"/>
    <x v="347"/>
    <n v="182"/>
    <n v="163.6"/>
    <n v="174.3"/>
    <n v="1792.6999999999998"/>
  </r>
  <r>
    <x v="0"/>
    <d v="2023-02-01T00:00:00"/>
    <x v="10"/>
    <s v="February"/>
    <n v="2"/>
    <n v="174.2"/>
    <n v="205.2"/>
    <n v="173.9"/>
    <n v="177"/>
    <n v="183.4"/>
    <n v="167.2"/>
    <n v="140.9"/>
    <n v="170.4"/>
    <n v="119.1"/>
    <n v="212.1"/>
    <n v="177.6"/>
    <n v="189.9"/>
    <n v="174.8"/>
    <n v="198.3"/>
    <n v="190"/>
    <n v="187"/>
    <n v="189.6"/>
    <n v="173.5"/>
    <n v="181.6"/>
    <n v="178.6"/>
    <n v="186.6"/>
    <n v="169"/>
    <n v="172.8"/>
    <n v="178.5"/>
    <n v="180.7"/>
    <n v="177.9"/>
    <n v="178"/>
    <x v="348"/>
    <n v="181.6"/>
    <n v="169"/>
    <n v="178.5"/>
    <n v="1835"/>
  </r>
  <r>
    <x v="1"/>
    <d v="2023-02-01T00:00:00"/>
    <x v="10"/>
    <s v="February"/>
    <n v="2"/>
    <n v="174.7"/>
    <n v="212.2"/>
    <n v="177.2"/>
    <n v="177.9"/>
    <n v="172.2"/>
    <n v="172.1"/>
    <n v="175.8"/>
    <n v="172.2"/>
    <n v="121.9"/>
    <n v="204.8"/>
    <n v="164.9"/>
    <n v="196.6"/>
    <n v="180.7"/>
    <n v="202.7"/>
    <n v="180.3"/>
    <n v="167"/>
    <n v="178.2"/>
    <n v="173.5"/>
    <n v="182.8"/>
    <n v="169.2"/>
    <n v="180.8"/>
    <n v="159.80000000000001"/>
    <n v="168.4"/>
    <n v="172.5"/>
    <n v="181.4"/>
    <n v="170"/>
    <n v="176.3"/>
    <x v="349"/>
    <n v="182.8"/>
    <n v="159.80000000000001"/>
    <n v="172.5"/>
    <n v="1771.5000000000002"/>
  </r>
  <r>
    <x v="2"/>
    <d v="2023-02-01T00:00:00"/>
    <x v="10"/>
    <s v="February"/>
    <n v="2"/>
    <n v="174.4"/>
    <n v="207.7"/>
    <n v="175.2"/>
    <n v="177.3"/>
    <n v="179.3"/>
    <n v="169.5"/>
    <n v="152.69999999999999"/>
    <n v="171"/>
    <n v="120"/>
    <n v="209.7"/>
    <n v="172.3"/>
    <n v="193"/>
    <n v="177"/>
    <n v="199.5"/>
    <n v="186.2"/>
    <n v="178.7"/>
    <n v="185.1"/>
    <n v="173.5"/>
    <n v="182.1"/>
    <n v="174.2"/>
    <n v="184.4"/>
    <n v="164.2"/>
    <n v="170.3"/>
    <n v="175"/>
    <n v="181"/>
    <n v="174.1"/>
    <n v="177.2"/>
    <x v="350"/>
    <n v="182.1"/>
    <n v="164.2"/>
    <n v="175"/>
    <n v="1807"/>
  </r>
  <r>
    <x v="0"/>
    <d v="2023-03-01T00:00:00"/>
    <x v="10"/>
    <s v="March"/>
    <n v="3"/>
    <n v="174.3"/>
    <n v="205.2"/>
    <n v="173.9"/>
    <n v="177"/>
    <n v="183.3"/>
    <n v="167.2"/>
    <n v="140.9"/>
    <n v="170.5"/>
    <n v="119.1"/>
    <n v="212.1"/>
    <n v="177.6"/>
    <n v="189.9"/>
    <n v="174.8"/>
    <n v="198.4"/>
    <n v="190"/>
    <n v="187"/>
    <n v="189.6"/>
    <n v="173.5"/>
    <n v="181.4"/>
    <n v="178.6"/>
    <n v="186.6"/>
    <n v="169"/>
    <n v="172.8"/>
    <n v="178.5"/>
    <n v="180.7"/>
    <n v="177.9"/>
    <n v="178"/>
    <x v="351"/>
    <n v="181.4"/>
    <n v="169"/>
    <n v="178.5"/>
    <n v="1835.1"/>
  </r>
  <r>
    <x v="1"/>
    <d v="2023-03-01T00:00:00"/>
    <x v="10"/>
    <s v="March"/>
    <n v="3"/>
    <n v="174.7"/>
    <n v="212.2"/>
    <n v="177.2"/>
    <n v="177.9"/>
    <n v="172.2"/>
    <n v="172.1"/>
    <n v="175.9"/>
    <n v="172.2"/>
    <n v="121.9"/>
    <n v="204.8"/>
    <n v="164.9"/>
    <n v="196.6"/>
    <n v="180.8"/>
    <n v="202.7"/>
    <n v="180.2"/>
    <n v="167"/>
    <n v="178.2"/>
    <n v="173.5"/>
    <n v="182.6"/>
    <n v="169.2"/>
    <n v="180.8"/>
    <n v="159.80000000000001"/>
    <n v="168.4"/>
    <n v="172.5"/>
    <n v="181.5"/>
    <n v="170"/>
    <n v="176.3"/>
    <x v="352"/>
    <n v="182.6"/>
    <n v="159.80000000000001"/>
    <n v="172.5"/>
    <n v="1771.5"/>
  </r>
  <r>
    <x v="2"/>
    <d v="2023-03-01T00:00:00"/>
    <x v="10"/>
    <s v="March"/>
    <n v="3"/>
    <n v="174.4"/>
    <n v="207.7"/>
    <n v="175.2"/>
    <n v="177.3"/>
    <n v="179.2"/>
    <n v="169.5"/>
    <n v="152.80000000000001"/>
    <n v="171.1"/>
    <n v="120"/>
    <n v="209.7"/>
    <n v="172.3"/>
    <n v="193"/>
    <n v="177"/>
    <n v="199.5"/>
    <n v="186.1"/>
    <n v="178.7"/>
    <n v="185.1"/>
    <n v="173.5"/>
    <n v="181.9"/>
    <n v="174.2"/>
    <n v="184.4"/>
    <n v="164.2"/>
    <n v="170.3"/>
    <n v="175"/>
    <n v="181"/>
    <n v="174.1"/>
    <n v="177.2"/>
    <x v="353"/>
    <n v="181.9"/>
    <n v="164.2"/>
    <n v="175"/>
    <n v="1806.8999999999999"/>
  </r>
  <r>
    <x v="0"/>
    <d v="2023-04-01T00:00:00"/>
    <x v="10"/>
    <s v="April"/>
    <n v="4"/>
    <n v="173.3"/>
    <n v="206.9"/>
    <n v="167.9"/>
    <n v="178.2"/>
    <n v="178.5"/>
    <n v="173.7"/>
    <n v="142.80000000000001"/>
    <n v="172.8"/>
    <n v="120.4"/>
    <n v="215.5"/>
    <n v="178.2"/>
    <n v="190.5"/>
    <n v="175.5"/>
    <n v="199.5"/>
    <n v="190.7"/>
    <n v="187.3"/>
    <n v="190.2"/>
    <n v="175.2"/>
    <n v="181.5"/>
    <n v="179.1"/>
    <n v="187.2"/>
    <n v="169.4"/>
    <n v="173.2"/>
    <n v="179.4"/>
    <n v="183.8"/>
    <n v="178.9"/>
    <n v="178.8"/>
    <x v="354"/>
    <n v="181.5"/>
    <n v="169.4"/>
    <n v="179.4"/>
    <n v="1845.1000000000001"/>
  </r>
  <r>
    <x v="1"/>
    <d v="2023-04-01T00:00:00"/>
    <x v="10"/>
    <s v="April"/>
    <n v="4"/>
    <n v="174.8"/>
    <n v="213.7"/>
    <n v="172.4"/>
    <n v="178.8"/>
    <n v="168.7"/>
    <n v="179.2"/>
    <n v="179.9"/>
    <n v="174.7"/>
    <n v="123.1"/>
    <n v="207.8"/>
    <n v="165.5"/>
    <n v="197"/>
    <n v="182.1"/>
    <n v="203.5"/>
    <n v="181"/>
    <n v="167.7"/>
    <n v="178.9"/>
    <n v="175.2"/>
    <n v="182.1"/>
    <n v="169.6"/>
    <n v="181.5"/>
    <n v="160.1"/>
    <n v="168.8"/>
    <n v="174.2"/>
    <n v="184.4"/>
    <n v="170.9"/>
    <n v="177.4"/>
    <x v="355"/>
    <n v="182.1"/>
    <n v="160.1"/>
    <n v="174.2"/>
    <n v="1781.5"/>
  </r>
  <r>
    <x v="2"/>
    <d v="2023-04-01T00:00:00"/>
    <x v="10"/>
    <s v="April"/>
    <n v="4"/>
    <n v="173.8"/>
    <n v="209.3"/>
    <n v="169.6"/>
    <n v="178.4"/>
    <n v="174.9"/>
    <n v="176.3"/>
    <n v="155.4"/>
    <n v="173.4"/>
    <n v="121.3"/>
    <n v="212.9"/>
    <n v="172.9"/>
    <n v="193.5"/>
    <n v="177.9"/>
    <n v="200.6"/>
    <n v="186.9"/>
    <n v="179.2"/>
    <n v="185.7"/>
    <n v="175.2"/>
    <n v="181.7"/>
    <n v="174.6"/>
    <n v="185"/>
    <n v="164.5"/>
    <n v="170.7"/>
    <n v="176.4"/>
    <n v="184"/>
    <n v="175"/>
    <n v="178.1"/>
    <x v="356"/>
    <n v="181.7"/>
    <n v="164.5"/>
    <n v="176.4"/>
    <n v="1816.9"/>
  </r>
  <r>
    <x v="0"/>
    <d v="2023-05-01T00:00:00"/>
    <x v="10"/>
    <s v="May"/>
    <n v="5"/>
    <n v="173.2"/>
    <n v="211.5"/>
    <n v="171"/>
    <n v="179.6"/>
    <n v="173.3"/>
    <n v="169"/>
    <n v="148.69999999999999"/>
    <n v="174.9"/>
    <n v="121.9"/>
    <n v="221"/>
    <n v="178.7"/>
    <n v="191.1"/>
    <n v="176.8"/>
    <n v="199.9"/>
    <n v="191.2"/>
    <n v="187.9"/>
    <n v="190.8"/>
    <n v="175.6"/>
    <n v="182.5"/>
    <n v="179.8"/>
    <n v="187.8"/>
    <n v="169.7"/>
    <n v="173.8"/>
    <n v="180.3"/>
    <n v="184.9"/>
    <n v="179.5"/>
    <n v="179.8"/>
    <x v="357"/>
    <n v="182.5"/>
    <n v="169.7"/>
    <n v="180.3"/>
    <n v="1851.2"/>
  </r>
  <r>
    <x v="1"/>
    <d v="2023-05-01T00:00:00"/>
    <x v="10"/>
    <s v="May"/>
    <n v="5"/>
    <n v="174.7"/>
    <n v="219.4"/>
    <n v="176.7"/>
    <n v="179.4"/>
    <n v="164.4"/>
    <n v="175.8"/>
    <n v="185"/>
    <n v="176.9"/>
    <n v="124.2"/>
    <n v="211.9"/>
    <n v="165.9"/>
    <n v="197.7"/>
    <n v="183.1"/>
    <n v="204.2"/>
    <n v="181.3"/>
    <n v="168.1"/>
    <n v="179.3"/>
    <n v="175.6"/>
    <n v="183.4"/>
    <n v="170.1"/>
    <n v="182.2"/>
    <n v="160.4"/>
    <n v="169.2"/>
    <n v="174.8"/>
    <n v="185.6"/>
    <n v="171.6"/>
    <n v="178.2"/>
    <x v="358"/>
    <n v="183.4"/>
    <n v="160.4"/>
    <n v="174.8"/>
    <n v="1787.2"/>
  </r>
  <r>
    <x v="2"/>
    <d v="2023-05-01T00:00:00"/>
    <x v="10"/>
    <s v="May"/>
    <n v="5"/>
    <n v="173.7"/>
    <n v="214.3"/>
    <n v="173.2"/>
    <n v="179.5"/>
    <n v="170"/>
    <n v="172.2"/>
    <n v="161"/>
    <n v="175.6"/>
    <n v="122.7"/>
    <n v="218"/>
    <n v="173.4"/>
    <n v="194.2"/>
    <n v="179.1"/>
    <n v="201"/>
    <n v="187.3"/>
    <n v="179.7"/>
    <n v="186.2"/>
    <n v="175.6"/>
    <n v="182.8"/>
    <n v="175.2"/>
    <n v="185.7"/>
    <n v="164.8"/>
    <n v="171.2"/>
    <n v="177.1"/>
    <n v="185.2"/>
    <n v="175.7"/>
    <n v="179.1"/>
    <x v="359"/>
    <n v="182.8"/>
    <n v="164.8"/>
    <n v="177.1"/>
    <n v="1822.80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74A12C-B881-431A-A768-603597BE9ED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rowPageCount="1" colPageCount="1"/>
  <pivotFields count="37">
    <pivotField axis="axisPage" multipleItemSelectionAllowed="1" showAll="0">
      <items count="4">
        <item h="1" x="0"/>
        <item x="2"/>
        <item h="1" x="1"/>
        <item t="default"/>
      </items>
    </pivotField>
    <pivotField showAll="0"/>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61">
        <item x="0"/>
        <item x="2"/>
        <item x="1"/>
        <item x="3"/>
        <item x="6"/>
        <item x="8"/>
        <item x="5"/>
        <item x="9"/>
        <item x="7"/>
        <item x="11"/>
        <item x="4"/>
        <item x="12"/>
        <item x="10"/>
        <item x="14"/>
        <item x="13"/>
        <item x="15"/>
        <item x="17"/>
        <item x="18"/>
        <item x="20"/>
        <item x="21"/>
        <item x="16"/>
        <item x="40"/>
        <item x="23"/>
        <item x="41"/>
        <item x="39"/>
        <item x="43"/>
        <item x="37"/>
        <item x="38"/>
        <item x="36"/>
        <item x="44"/>
        <item x="24"/>
        <item x="19"/>
        <item x="42"/>
        <item x="26"/>
        <item x="25"/>
        <item x="46"/>
        <item x="47"/>
        <item x="45"/>
        <item x="34"/>
        <item x="22"/>
        <item x="35"/>
        <item x="27"/>
        <item x="33"/>
        <item x="29"/>
        <item x="48"/>
        <item x="28"/>
        <item x="50"/>
        <item x="49"/>
        <item x="51"/>
        <item x="53"/>
        <item x="30"/>
        <item x="32"/>
        <item x="31"/>
        <item x="52"/>
        <item x="54"/>
        <item x="78"/>
        <item x="71"/>
        <item x="79"/>
        <item x="73"/>
        <item x="76"/>
        <item x="68"/>
        <item x="74"/>
        <item x="75"/>
        <item x="77"/>
        <item x="70"/>
        <item x="72"/>
        <item x="82"/>
        <item x="81"/>
        <item x="56"/>
        <item x="69"/>
        <item x="80"/>
        <item x="63"/>
        <item x="66"/>
        <item x="57"/>
        <item x="65"/>
        <item x="60"/>
        <item x="62"/>
        <item x="64"/>
        <item x="83"/>
        <item x="67"/>
        <item x="85"/>
        <item x="61"/>
        <item x="59"/>
        <item x="84"/>
        <item x="55"/>
        <item x="58"/>
        <item x="86"/>
        <item x="88"/>
        <item x="89"/>
        <item x="91"/>
        <item x="87"/>
        <item x="90"/>
        <item x="92"/>
        <item x="94"/>
        <item x="95"/>
        <item x="97"/>
        <item x="93"/>
        <item x="96"/>
        <item x="114"/>
        <item x="98"/>
        <item x="115"/>
        <item x="111"/>
        <item x="112"/>
        <item x="100"/>
        <item x="104"/>
        <item x="110"/>
        <item x="113"/>
        <item x="106"/>
        <item x="101"/>
        <item x="107"/>
        <item x="109"/>
        <item x="103"/>
        <item x="99"/>
        <item x="105"/>
        <item x="118"/>
        <item x="108"/>
        <item x="116"/>
        <item x="147"/>
        <item x="150"/>
        <item x="117"/>
        <item x="153"/>
        <item x="102"/>
        <item x="156"/>
        <item x="144"/>
        <item x="186"/>
        <item x="154"/>
        <item x="151"/>
        <item x="157"/>
        <item x="189"/>
        <item x="148"/>
        <item x="192"/>
        <item x="119"/>
        <item x="152"/>
        <item x="145"/>
        <item x="155"/>
        <item x="183"/>
        <item x="149"/>
        <item x="141"/>
        <item x="121"/>
        <item x="159"/>
        <item x="146"/>
        <item x="160"/>
        <item x="143"/>
        <item x="158"/>
        <item x="142"/>
        <item x="215"/>
        <item x="212"/>
        <item x="120"/>
        <item x="194"/>
        <item x="180"/>
        <item x="203"/>
        <item x="122"/>
        <item x="140"/>
        <item x="168"/>
        <item x="216"/>
        <item x="206"/>
        <item x="218"/>
        <item x="138"/>
        <item x="187"/>
        <item x="132"/>
        <item x="219"/>
        <item x="190"/>
        <item x="209"/>
        <item x="214"/>
        <item x="139"/>
        <item x="217"/>
        <item x="184"/>
        <item x="124"/>
        <item x="220"/>
        <item x="213"/>
        <item x="135"/>
        <item x="222"/>
        <item x="133"/>
        <item x="137"/>
        <item x="171"/>
        <item x="136"/>
        <item x="177"/>
        <item x="200"/>
        <item x="162"/>
        <item x="221"/>
        <item x="163"/>
        <item x="169"/>
        <item x="125"/>
        <item x="131"/>
        <item x="197"/>
        <item x="134"/>
        <item x="161"/>
        <item x="165"/>
        <item x="211"/>
        <item x="195"/>
        <item x="210"/>
        <item x="207"/>
        <item x="128"/>
        <item x="130"/>
        <item x="204"/>
        <item x="172"/>
        <item x="181"/>
        <item x="188"/>
        <item x="182"/>
        <item x="185"/>
        <item x="223"/>
        <item x="205"/>
        <item x="191"/>
        <item x="127"/>
        <item x="166"/>
        <item x="129"/>
        <item x="167"/>
        <item x="123"/>
        <item x="208"/>
        <item x="193"/>
        <item x="170"/>
        <item x="224"/>
        <item x="164"/>
        <item x="178"/>
        <item x="198"/>
        <item x="174"/>
        <item x="201"/>
        <item x="202"/>
        <item x="179"/>
        <item x="225"/>
        <item x="175"/>
        <item x="196"/>
        <item x="126"/>
        <item x="176"/>
        <item x="227"/>
        <item x="173"/>
        <item x="199"/>
        <item x="228"/>
        <item x="226"/>
        <item x="231"/>
        <item x="230"/>
        <item x="233"/>
        <item x="234"/>
        <item x="229"/>
        <item x="236"/>
        <item x="232"/>
        <item x="235"/>
        <item x="237"/>
        <item x="239"/>
        <item x="252"/>
        <item x="254"/>
        <item x="253"/>
        <item x="238"/>
        <item x="240"/>
        <item x="249"/>
        <item x="242"/>
        <item x="251"/>
        <item x="250"/>
        <item x="241"/>
        <item x="246"/>
        <item x="248"/>
        <item x="243"/>
        <item x="255"/>
        <item x="247"/>
        <item x="245"/>
        <item x="257"/>
        <item x="258"/>
        <item x="244"/>
        <item x="256"/>
        <item x="260"/>
        <item x="261"/>
        <item x="264"/>
        <item x="259"/>
        <item x="263"/>
        <item x="266"/>
        <item x="262"/>
        <item x="279"/>
        <item x="282"/>
        <item x="267"/>
        <item x="281"/>
        <item x="284"/>
        <item x="265"/>
        <item x="269"/>
        <item x="285"/>
        <item x="287"/>
        <item x="283"/>
        <item x="276"/>
        <item x="280"/>
        <item x="278"/>
        <item x="268"/>
        <item x="270"/>
        <item x="286"/>
        <item x="288"/>
        <item x="272"/>
        <item x="277"/>
        <item x="273"/>
        <item x="290"/>
        <item x="275"/>
        <item x="271"/>
        <item x="291"/>
        <item x="289"/>
        <item x="274"/>
        <item x="297"/>
        <item x="294"/>
        <item x="300"/>
        <item x="293"/>
        <item x="299"/>
        <item x="296"/>
        <item x="312"/>
        <item x="310"/>
        <item x="292"/>
        <item x="298"/>
        <item x="314"/>
        <item x="301"/>
        <item x="307"/>
        <item x="295"/>
        <item x="303"/>
        <item x="315"/>
        <item x="309"/>
        <item x="304"/>
        <item x="313"/>
        <item x="317"/>
        <item x="311"/>
        <item x="306"/>
        <item x="316"/>
        <item x="302"/>
        <item x="308"/>
        <item x="318"/>
        <item x="320"/>
        <item x="305"/>
        <item x="321"/>
        <item x="319"/>
        <item x="323"/>
        <item x="324"/>
        <item x="327"/>
        <item x="330"/>
        <item x="326"/>
        <item x="322"/>
        <item x="348"/>
        <item x="351"/>
        <item x="329"/>
        <item x="333"/>
        <item x="332"/>
        <item x="354"/>
        <item x="342"/>
        <item x="350"/>
        <item x="353"/>
        <item x="335"/>
        <item x="345"/>
        <item x="344"/>
        <item x="336"/>
        <item x="325"/>
        <item x="339"/>
        <item x="356"/>
        <item x="357"/>
        <item x="328"/>
        <item x="347"/>
        <item x="331"/>
        <item x="343"/>
        <item x="341"/>
        <item x="338"/>
        <item x="349"/>
        <item x="352"/>
        <item x="334"/>
        <item x="359"/>
        <item x="346"/>
        <item x="340"/>
        <item x="355"/>
        <item x="337"/>
        <item x="358"/>
        <item t="default"/>
      </items>
    </pivotField>
    <pivotField showAll="0"/>
    <pivotField showAll="0"/>
    <pivotField showAll="0"/>
    <pivotField showAll="0"/>
  </pivotFields>
  <rowFields count="1">
    <field x="2"/>
  </rowFields>
  <rowItems count="12">
    <i>
      <x/>
    </i>
    <i>
      <x v="1"/>
    </i>
    <i>
      <x v="2"/>
    </i>
    <i>
      <x v="3"/>
    </i>
    <i>
      <x v="4"/>
    </i>
    <i>
      <x v="5"/>
    </i>
    <i>
      <x v="6"/>
    </i>
    <i>
      <x v="7"/>
    </i>
    <i>
      <x v="8"/>
    </i>
    <i>
      <x v="9"/>
    </i>
    <i>
      <x v="10"/>
    </i>
    <i t="grand">
      <x/>
    </i>
  </rowItems>
  <colItems count="1">
    <i/>
  </colItems>
  <pageFields count="1">
    <pageField fld="0" hier="-1"/>
  </pageFields>
  <dataFields count="1">
    <dataField name="Average of General index" fld="31" subtotal="average" baseField="2" baseItem="1"/>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04ED70-7EEE-478F-80DC-861FAD56AF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rowPageCount="1" colPageCount="1"/>
  <pivotFields count="37">
    <pivotField axis="axisPage" multipleItemSelectionAllowed="1" showAll="0">
      <items count="4">
        <item h="1" x="0"/>
        <item x="2"/>
        <item h="1" x="1"/>
        <item t="default"/>
      </items>
    </pivotField>
    <pivotField showAll="0"/>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61">
        <item x="0"/>
        <item x="2"/>
        <item x="1"/>
        <item x="3"/>
        <item x="6"/>
        <item x="8"/>
        <item x="5"/>
        <item x="9"/>
        <item x="7"/>
        <item x="11"/>
        <item x="4"/>
        <item x="12"/>
        <item x="10"/>
        <item x="14"/>
        <item x="13"/>
        <item x="15"/>
        <item x="17"/>
        <item x="18"/>
        <item x="20"/>
        <item x="21"/>
        <item x="16"/>
        <item x="40"/>
        <item x="23"/>
        <item x="41"/>
        <item x="39"/>
        <item x="43"/>
        <item x="37"/>
        <item x="38"/>
        <item x="36"/>
        <item x="44"/>
        <item x="24"/>
        <item x="19"/>
        <item x="42"/>
        <item x="26"/>
        <item x="25"/>
        <item x="46"/>
        <item x="47"/>
        <item x="45"/>
        <item x="34"/>
        <item x="22"/>
        <item x="35"/>
        <item x="27"/>
        <item x="33"/>
        <item x="29"/>
        <item x="48"/>
        <item x="28"/>
        <item x="50"/>
        <item x="49"/>
        <item x="51"/>
        <item x="53"/>
        <item x="30"/>
        <item x="32"/>
        <item x="31"/>
        <item x="52"/>
        <item x="54"/>
        <item x="78"/>
        <item x="71"/>
        <item x="79"/>
        <item x="73"/>
        <item x="76"/>
        <item x="68"/>
        <item x="74"/>
        <item x="75"/>
        <item x="77"/>
        <item x="70"/>
        <item x="72"/>
        <item x="82"/>
        <item x="81"/>
        <item x="56"/>
        <item x="69"/>
        <item x="80"/>
        <item x="63"/>
        <item x="66"/>
        <item x="57"/>
        <item x="65"/>
        <item x="60"/>
        <item x="62"/>
        <item x="64"/>
        <item x="83"/>
        <item x="67"/>
        <item x="85"/>
        <item x="61"/>
        <item x="59"/>
        <item x="84"/>
        <item x="55"/>
        <item x="58"/>
        <item x="86"/>
        <item x="88"/>
        <item x="89"/>
        <item x="91"/>
        <item x="87"/>
        <item x="90"/>
        <item x="92"/>
        <item x="94"/>
        <item x="95"/>
        <item x="97"/>
        <item x="93"/>
        <item x="96"/>
        <item x="114"/>
        <item x="98"/>
        <item x="115"/>
        <item x="111"/>
        <item x="112"/>
        <item x="100"/>
        <item x="104"/>
        <item x="110"/>
        <item x="113"/>
        <item x="106"/>
        <item x="101"/>
        <item x="107"/>
        <item x="109"/>
        <item x="103"/>
        <item x="99"/>
        <item x="105"/>
        <item x="118"/>
        <item x="108"/>
        <item x="116"/>
        <item x="147"/>
        <item x="150"/>
        <item x="117"/>
        <item x="153"/>
        <item x="102"/>
        <item x="156"/>
        <item x="144"/>
        <item x="186"/>
        <item x="154"/>
        <item x="151"/>
        <item x="157"/>
        <item x="189"/>
        <item x="148"/>
        <item x="192"/>
        <item x="119"/>
        <item x="152"/>
        <item x="145"/>
        <item x="155"/>
        <item x="183"/>
        <item x="149"/>
        <item x="141"/>
        <item x="121"/>
        <item x="159"/>
        <item x="146"/>
        <item x="160"/>
        <item x="143"/>
        <item x="158"/>
        <item x="142"/>
        <item x="215"/>
        <item x="212"/>
        <item x="120"/>
        <item x="194"/>
        <item x="180"/>
        <item x="203"/>
        <item x="122"/>
        <item x="140"/>
        <item x="168"/>
        <item x="216"/>
        <item x="206"/>
        <item x="218"/>
        <item x="138"/>
        <item x="187"/>
        <item x="132"/>
        <item x="219"/>
        <item x="190"/>
        <item x="209"/>
        <item x="214"/>
        <item x="139"/>
        <item x="217"/>
        <item x="184"/>
        <item x="124"/>
        <item x="220"/>
        <item x="213"/>
        <item x="135"/>
        <item x="222"/>
        <item x="133"/>
        <item x="137"/>
        <item x="171"/>
        <item x="136"/>
        <item x="177"/>
        <item x="200"/>
        <item x="162"/>
        <item x="221"/>
        <item x="163"/>
        <item x="169"/>
        <item x="125"/>
        <item x="131"/>
        <item x="197"/>
        <item x="134"/>
        <item x="161"/>
        <item x="165"/>
        <item x="211"/>
        <item x="195"/>
        <item x="210"/>
        <item x="207"/>
        <item x="128"/>
        <item x="130"/>
        <item x="204"/>
        <item x="172"/>
        <item x="181"/>
        <item x="188"/>
        <item x="182"/>
        <item x="185"/>
        <item x="223"/>
        <item x="205"/>
        <item x="191"/>
        <item x="127"/>
        <item x="166"/>
        <item x="129"/>
        <item x="167"/>
        <item x="123"/>
        <item x="208"/>
        <item x="193"/>
        <item x="170"/>
        <item x="224"/>
        <item x="164"/>
        <item x="178"/>
        <item x="198"/>
        <item x="174"/>
        <item x="201"/>
        <item x="202"/>
        <item x="179"/>
        <item x="225"/>
        <item x="175"/>
        <item x="196"/>
        <item x="126"/>
        <item x="176"/>
        <item x="227"/>
        <item x="173"/>
        <item x="199"/>
        <item x="228"/>
        <item x="226"/>
        <item x="231"/>
        <item x="230"/>
        <item x="233"/>
        <item x="234"/>
        <item x="229"/>
        <item x="236"/>
        <item x="232"/>
        <item x="235"/>
        <item x="237"/>
        <item x="239"/>
        <item x="252"/>
        <item x="254"/>
        <item x="253"/>
        <item x="238"/>
        <item x="240"/>
        <item x="249"/>
        <item x="242"/>
        <item x="251"/>
        <item x="250"/>
        <item x="241"/>
        <item x="246"/>
        <item x="248"/>
        <item x="243"/>
        <item x="255"/>
        <item x="247"/>
        <item x="245"/>
        <item x="257"/>
        <item x="258"/>
        <item x="244"/>
        <item x="256"/>
        <item x="260"/>
        <item x="261"/>
        <item x="264"/>
        <item x="259"/>
        <item x="263"/>
        <item x="266"/>
        <item x="262"/>
        <item x="279"/>
        <item x="282"/>
        <item x="267"/>
        <item x="281"/>
        <item x="284"/>
        <item x="265"/>
        <item x="269"/>
        <item x="285"/>
        <item x="287"/>
        <item x="283"/>
        <item x="276"/>
        <item x="280"/>
        <item x="278"/>
        <item x="268"/>
        <item x="270"/>
        <item x="286"/>
        <item x="288"/>
        <item x="272"/>
        <item x="277"/>
        <item x="273"/>
        <item x="290"/>
        <item x="275"/>
        <item x="271"/>
        <item x="291"/>
        <item x="289"/>
        <item x="274"/>
        <item x="297"/>
        <item x="294"/>
        <item x="300"/>
        <item x="293"/>
        <item x="299"/>
        <item x="296"/>
        <item x="312"/>
        <item x="310"/>
        <item x="292"/>
        <item x="298"/>
        <item x="314"/>
        <item x="301"/>
        <item x="307"/>
        <item x="295"/>
        <item x="303"/>
        <item x="315"/>
        <item x="309"/>
        <item x="304"/>
        <item x="313"/>
        <item x="317"/>
        <item x="311"/>
        <item x="306"/>
        <item x="316"/>
        <item x="302"/>
        <item x="308"/>
        <item x="318"/>
        <item x="320"/>
        <item x="305"/>
        <item x="321"/>
        <item x="319"/>
        <item x="323"/>
        <item x="324"/>
        <item x="327"/>
        <item x="330"/>
        <item x="326"/>
        <item x="322"/>
        <item x="348"/>
        <item x="351"/>
        <item x="329"/>
        <item x="333"/>
        <item x="332"/>
        <item x="354"/>
        <item x="342"/>
        <item x="350"/>
        <item x="353"/>
        <item x="335"/>
        <item x="345"/>
        <item x="344"/>
        <item x="336"/>
        <item x="325"/>
        <item x="339"/>
        <item x="356"/>
        <item x="357"/>
        <item x="328"/>
        <item x="347"/>
        <item x="331"/>
        <item x="343"/>
        <item x="341"/>
        <item x="338"/>
        <item x="349"/>
        <item x="352"/>
        <item x="334"/>
        <item x="359"/>
        <item x="346"/>
        <item x="340"/>
        <item x="355"/>
        <item x="337"/>
        <item x="358"/>
        <item t="default"/>
      </items>
    </pivotField>
    <pivotField showAll="0"/>
    <pivotField showAll="0"/>
    <pivotField showAll="0"/>
    <pivotField showAll="0"/>
  </pivotFields>
  <rowFields count="1">
    <field x="2"/>
  </rowFields>
  <rowItems count="12">
    <i>
      <x/>
    </i>
    <i>
      <x v="1"/>
    </i>
    <i>
      <x v="2"/>
    </i>
    <i>
      <x v="3"/>
    </i>
    <i>
      <x v="4"/>
    </i>
    <i>
      <x v="5"/>
    </i>
    <i>
      <x v="6"/>
    </i>
    <i>
      <x v="7"/>
    </i>
    <i>
      <x v="8"/>
    </i>
    <i>
      <x v="9"/>
    </i>
    <i>
      <x v="10"/>
    </i>
    <i t="grand">
      <x/>
    </i>
  </rowItems>
  <colItems count="1">
    <i/>
  </colItems>
  <pageFields count="1">
    <pageField fld="0" hier="-1"/>
  </pageFields>
  <dataFields count="1">
    <dataField name="Average of Food" fld="32" subtotal="average" baseField="2"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F1C71C-25CA-4C81-B377-62E47A4320F8}" name="Table1" displayName="Table1" ref="A2:H8" totalsRowShown="0" headerRowDxfId="15" headerRowBorderDxfId="14" tableBorderDxfId="13" totalsRowBorderDxfId="12">
  <autoFilter ref="A2:H8" xr:uid="{EFF1C71C-25CA-4C81-B377-62E47A4320F8}"/>
  <tableColumns count="8">
    <tableColumn id="1" xr3:uid="{CD3D8F78-CF2B-4806-8294-0C53AF51C414}" name="Category" dataDxfId="11"/>
    <tableColumn id="2" xr3:uid="{DFEE8E54-1984-42A3-97BB-BE562ECDDC95}" name="January" dataDxfId="10"/>
    <tableColumn id="3" xr3:uid="{C3C0A2D4-57DF-4992-B0B2-72812E729631}" name="February" dataDxfId="9"/>
    <tableColumn id="4" xr3:uid="{338D7EE3-A249-46E9-A47E-A2CE54E5130B}" name="March" dataDxfId="8"/>
    <tableColumn id="5" xr3:uid="{7DB69E64-A78D-44BF-A7AA-A4E0527C8812}" name="April" dataDxfId="7"/>
    <tableColumn id="6" xr3:uid="{9834D830-F451-4135-ACE9-1A41DCB825A7}" name="May" dataDxfId="6"/>
    <tableColumn id="7" xr3:uid="{9BED05BF-B1BF-49D7-95E1-FED3A6DF33F0}" name="Total" dataDxfId="5" dataCellStyle="Percent">
      <calculatedColumnFormula>SUM(B3:F3)</calculatedColumnFormula>
    </tableColumn>
    <tableColumn id="8" xr3:uid="{98AA6391-A737-4164-A066-CC1D6CEF9CE5}" name="Percentage" dataDxfId="4" dataCellStyle="Percent">
      <calculatedColumnFormula>(G3/$G$8)</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6987E-3F0F-43EC-A804-8758ED22352E}">
  <dimension ref="A1:AI374"/>
  <sheetViews>
    <sheetView topLeftCell="A350" workbookViewId="0">
      <selection activeCell="AI2" sqref="A2:AI374"/>
    </sheetView>
  </sheetViews>
  <sheetFormatPr defaultRowHeight="14.4" x14ac:dyDescent="0.3"/>
  <cols>
    <col min="1" max="1" width="11.21875" bestFit="1" customWidth="1"/>
    <col min="2" max="2" width="5" bestFit="1" customWidth="1"/>
    <col min="3" max="3" width="10" bestFit="1" customWidth="1"/>
    <col min="4" max="4" width="18.21875" bestFit="1" customWidth="1"/>
    <col min="5" max="5" width="12.109375" bestFit="1" customWidth="1"/>
    <col min="6" max="6" width="6" bestFit="1" customWidth="1"/>
    <col min="7" max="7" width="15.5546875" bestFit="1" customWidth="1"/>
    <col min="8" max="8" width="11" bestFit="1" customWidth="1"/>
    <col min="9" max="9" width="6" bestFit="1" customWidth="1"/>
    <col min="10" max="10" width="9.88671875" bestFit="1" customWidth="1"/>
    <col min="11" max="11" width="17.21875" bestFit="1" customWidth="1"/>
    <col min="12" max="12" width="21.109375" bestFit="1" customWidth="1"/>
    <col min="13" max="13" width="6" bestFit="1" customWidth="1"/>
    <col min="14" max="14" width="21.44140625" bestFit="1" customWidth="1"/>
    <col min="15" max="15" width="30.44140625" bestFit="1" customWidth="1"/>
    <col min="16" max="16" width="17.44140625" bestFit="1" customWidth="1"/>
    <col min="17" max="17" width="24.6640625" bestFit="1" customWidth="1"/>
    <col min="18" max="18" width="7.6640625" bestFit="1" customWidth="1"/>
    <col min="20" max="20" width="19.44140625" bestFit="1" customWidth="1"/>
    <col min="21" max="21" width="7.44140625" bestFit="1" customWidth="1"/>
    <col min="22" max="22" width="11.6640625" bestFit="1" customWidth="1"/>
    <col min="23" max="23" width="25.77734375" bestFit="1" customWidth="1"/>
    <col min="24" max="24" width="6.33203125" bestFit="1" customWidth="1"/>
    <col min="25" max="25" width="25.88671875" bestFit="1" customWidth="1"/>
    <col min="26" max="26" width="23.6640625" bestFit="1" customWidth="1"/>
    <col min="27" max="27" width="9.109375" bestFit="1" customWidth="1"/>
    <col min="28" max="28" width="21.88671875" bestFit="1" customWidth="1"/>
    <col min="29" max="29" width="12.5546875" bestFit="1" customWidth="1"/>
    <col min="30" max="30" width="12.109375" bestFit="1" customWidth="1"/>
  </cols>
  <sheetData>
    <row r="1" spans="1:35" x14ac:dyDescent="0.3">
      <c r="AE1" s="96" t="s">
        <v>56</v>
      </c>
      <c r="AF1" s="96"/>
      <c r="AG1" s="96"/>
      <c r="AH1" s="96"/>
      <c r="AI1" s="96"/>
    </row>
    <row r="2" spans="1:35" x14ac:dyDescent="0.3">
      <c r="A2" t="s">
        <v>0</v>
      </c>
      <c r="B2" t="s">
        <v>1</v>
      </c>
      <c r="C2"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t="s">
        <v>20</v>
      </c>
      <c r="V2" t="s">
        <v>21</v>
      </c>
      <c r="W2" t="s">
        <v>22</v>
      </c>
      <c r="X2" t="s">
        <v>23</v>
      </c>
      <c r="Y2" t="s">
        <v>24</v>
      </c>
      <c r="Z2" t="s">
        <v>25</v>
      </c>
      <c r="AA2" t="s">
        <v>26</v>
      </c>
      <c r="AB2" t="s">
        <v>27</v>
      </c>
      <c r="AC2" t="s">
        <v>28</v>
      </c>
      <c r="AD2" t="s">
        <v>29</v>
      </c>
      <c r="AE2" t="s">
        <v>47</v>
      </c>
      <c r="AF2" t="s">
        <v>53</v>
      </c>
      <c r="AG2" t="s">
        <v>54</v>
      </c>
      <c r="AH2" t="s">
        <v>26</v>
      </c>
      <c r="AI2" t="s">
        <v>55</v>
      </c>
    </row>
    <row r="3" spans="1:35" x14ac:dyDescent="0.3">
      <c r="A3" t="s">
        <v>30</v>
      </c>
      <c r="B3">
        <v>2013</v>
      </c>
      <c r="C3" t="s">
        <v>31</v>
      </c>
      <c r="D3">
        <v>107.5</v>
      </c>
      <c r="E3">
        <v>106.3</v>
      </c>
      <c r="F3">
        <v>108.1</v>
      </c>
      <c r="G3">
        <v>104.9</v>
      </c>
      <c r="H3">
        <v>106.1</v>
      </c>
      <c r="I3">
        <v>103.9</v>
      </c>
      <c r="J3">
        <v>101.9</v>
      </c>
      <c r="K3">
        <v>106.1</v>
      </c>
      <c r="L3">
        <v>106.8</v>
      </c>
      <c r="M3">
        <v>103.1</v>
      </c>
      <c r="N3">
        <v>104.8</v>
      </c>
      <c r="O3">
        <v>106.7</v>
      </c>
      <c r="P3">
        <v>105.5</v>
      </c>
      <c r="Q3">
        <v>105.1</v>
      </c>
      <c r="R3">
        <v>106.5</v>
      </c>
      <c r="S3">
        <v>105.8</v>
      </c>
      <c r="T3">
        <v>106.4</v>
      </c>
      <c r="U3">
        <v>100.3</v>
      </c>
      <c r="V3">
        <v>105.5</v>
      </c>
      <c r="W3">
        <v>104.8</v>
      </c>
      <c r="X3">
        <v>104</v>
      </c>
      <c r="Y3">
        <v>103.3</v>
      </c>
      <c r="Z3">
        <v>103.4</v>
      </c>
      <c r="AA3">
        <v>103.8</v>
      </c>
      <c r="AB3">
        <v>104.7</v>
      </c>
      <c r="AC3">
        <v>104</v>
      </c>
      <c r="AD3">
        <v>105.1</v>
      </c>
      <c r="AE3">
        <f>SUM(D3:P3)</f>
        <v>1371.6999999999998</v>
      </c>
      <c r="AF3">
        <f>SUM(V3)</f>
        <v>105.5</v>
      </c>
      <c r="AG3">
        <f>SUM(Y3)</f>
        <v>103.3</v>
      </c>
      <c r="AH3">
        <f>SUM(AA3)</f>
        <v>103.8</v>
      </c>
      <c r="AI3">
        <f>SUM(Q3:U3,W3:X3,Z3,AB3:AC3)</f>
        <v>1045</v>
      </c>
    </row>
    <row r="4" spans="1:35" x14ac:dyDescent="0.3">
      <c r="A4" t="s">
        <v>32</v>
      </c>
      <c r="B4">
        <v>2013</v>
      </c>
      <c r="C4" t="s">
        <v>31</v>
      </c>
      <c r="D4">
        <v>110.5</v>
      </c>
      <c r="E4">
        <v>109.1</v>
      </c>
      <c r="F4">
        <v>113</v>
      </c>
      <c r="G4">
        <v>103.6</v>
      </c>
      <c r="H4">
        <v>103.4</v>
      </c>
      <c r="I4">
        <v>102.3</v>
      </c>
      <c r="J4">
        <v>102.9</v>
      </c>
      <c r="K4">
        <v>105.8</v>
      </c>
      <c r="L4">
        <v>105.1</v>
      </c>
      <c r="M4">
        <v>101.8</v>
      </c>
      <c r="N4">
        <v>105.1</v>
      </c>
      <c r="O4">
        <v>107.9</v>
      </c>
      <c r="P4">
        <v>105.9</v>
      </c>
      <c r="Q4">
        <v>105.2</v>
      </c>
      <c r="R4">
        <v>105.9</v>
      </c>
      <c r="S4">
        <v>105</v>
      </c>
      <c r="T4">
        <v>105.8</v>
      </c>
      <c r="U4">
        <v>100.3</v>
      </c>
      <c r="V4">
        <v>105.4</v>
      </c>
      <c r="W4">
        <v>104.8</v>
      </c>
      <c r="X4">
        <v>104.1</v>
      </c>
      <c r="Y4">
        <v>103.2</v>
      </c>
      <c r="Z4">
        <v>102.9</v>
      </c>
      <c r="AA4">
        <v>103.5</v>
      </c>
      <c r="AB4">
        <v>104.3</v>
      </c>
      <c r="AC4">
        <v>103.7</v>
      </c>
      <c r="AD4">
        <v>104</v>
      </c>
      <c r="AE4">
        <f t="shared" ref="AE4:AE67" si="0">SUM(D4:P4)</f>
        <v>1376.4</v>
      </c>
      <c r="AF4">
        <f t="shared" ref="AF4:AF67" si="1">SUM(V4)</f>
        <v>105.4</v>
      </c>
      <c r="AG4">
        <f t="shared" ref="AG4:AG67" si="2">SUM(Y4)</f>
        <v>103.2</v>
      </c>
      <c r="AH4">
        <f t="shared" ref="AH4:AH67" si="3">SUM(AA4)</f>
        <v>103.5</v>
      </c>
      <c r="AI4">
        <f t="shared" ref="AI4:AI67" si="4">SUM(Q4:U4,W4:X4,Z4,AB4:AC4)</f>
        <v>1042</v>
      </c>
    </row>
    <row r="5" spans="1:35" x14ac:dyDescent="0.3">
      <c r="A5" t="s">
        <v>33</v>
      </c>
      <c r="B5">
        <v>2013</v>
      </c>
      <c r="C5" t="s">
        <v>31</v>
      </c>
      <c r="D5">
        <v>108.4</v>
      </c>
      <c r="E5">
        <v>107.3</v>
      </c>
      <c r="F5">
        <v>110</v>
      </c>
      <c r="G5">
        <v>104.4</v>
      </c>
      <c r="H5">
        <v>105.1</v>
      </c>
      <c r="I5">
        <v>103.2</v>
      </c>
      <c r="J5">
        <v>102.2</v>
      </c>
      <c r="K5">
        <v>106</v>
      </c>
      <c r="L5">
        <v>106.2</v>
      </c>
      <c r="M5">
        <v>102.7</v>
      </c>
      <c r="N5">
        <v>104.9</v>
      </c>
      <c r="O5">
        <v>107.3</v>
      </c>
      <c r="P5">
        <v>105.6</v>
      </c>
      <c r="Q5">
        <v>105.1</v>
      </c>
      <c r="R5">
        <v>106.3</v>
      </c>
      <c r="S5">
        <v>105.5</v>
      </c>
      <c r="T5">
        <v>106.2</v>
      </c>
      <c r="U5">
        <v>100.3</v>
      </c>
      <c r="V5">
        <v>105.5</v>
      </c>
      <c r="W5">
        <v>104.8</v>
      </c>
      <c r="X5">
        <v>104</v>
      </c>
      <c r="Y5">
        <v>103.2</v>
      </c>
      <c r="Z5">
        <v>103.1</v>
      </c>
      <c r="AA5">
        <v>103.6</v>
      </c>
      <c r="AB5">
        <v>104.5</v>
      </c>
      <c r="AC5">
        <v>103.9</v>
      </c>
      <c r="AD5">
        <v>104.6</v>
      </c>
      <c r="AE5">
        <f t="shared" si="0"/>
        <v>1373.3000000000002</v>
      </c>
      <c r="AF5">
        <f t="shared" si="1"/>
        <v>105.5</v>
      </c>
      <c r="AG5">
        <f t="shared" si="2"/>
        <v>103.2</v>
      </c>
      <c r="AH5">
        <f t="shared" si="3"/>
        <v>103.6</v>
      </c>
      <c r="AI5">
        <f t="shared" si="4"/>
        <v>1043.7</v>
      </c>
    </row>
    <row r="6" spans="1:35" x14ac:dyDescent="0.3">
      <c r="A6" t="s">
        <v>30</v>
      </c>
      <c r="B6">
        <v>2013</v>
      </c>
      <c r="C6" t="s">
        <v>34</v>
      </c>
      <c r="D6">
        <v>109.2</v>
      </c>
      <c r="E6">
        <v>108.7</v>
      </c>
      <c r="F6">
        <v>110.2</v>
      </c>
      <c r="G6">
        <v>105.4</v>
      </c>
      <c r="H6">
        <v>106.7</v>
      </c>
      <c r="I6">
        <v>104</v>
      </c>
      <c r="J6">
        <v>102.4</v>
      </c>
      <c r="K6">
        <v>105.9</v>
      </c>
      <c r="L6">
        <v>105.7</v>
      </c>
      <c r="M6">
        <v>103.1</v>
      </c>
      <c r="N6">
        <v>105.1</v>
      </c>
      <c r="O6">
        <v>107.7</v>
      </c>
      <c r="P6">
        <v>106.3</v>
      </c>
      <c r="Q6">
        <v>105.6</v>
      </c>
      <c r="R6">
        <v>107.1</v>
      </c>
      <c r="S6">
        <v>106.3</v>
      </c>
      <c r="T6">
        <v>107</v>
      </c>
      <c r="U6">
        <v>100.4</v>
      </c>
      <c r="V6">
        <v>106.2</v>
      </c>
      <c r="W6">
        <v>105.2</v>
      </c>
      <c r="X6">
        <v>104.4</v>
      </c>
      <c r="Y6">
        <v>103.9</v>
      </c>
      <c r="Z6">
        <v>104</v>
      </c>
      <c r="AA6">
        <v>104.1</v>
      </c>
      <c r="AB6">
        <v>104.6</v>
      </c>
      <c r="AC6">
        <v>104.4</v>
      </c>
      <c r="AD6">
        <v>105.8</v>
      </c>
      <c r="AE6">
        <f t="shared" si="0"/>
        <v>1380.3999999999999</v>
      </c>
      <c r="AF6">
        <f t="shared" si="1"/>
        <v>106.2</v>
      </c>
      <c r="AG6">
        <f t="shared" si="2"/>
        <v>103.9</v>
      </c>
      <c r="AH6">
        <f t="shared" si="3"/>
        <v>104.1</v>
      </c>
      <c r="AI6">
        <f t="shared" si="4"/>
        <v>1049</v>
      </c>
    </row>
    <row r="7" spans="1:35" x14ac:dyDescent="0.3">
      <c r="A7" t="s">
        <v>32</v>
      </c>
      <c r="B7">
        <v>2013</v>
      </c>
      <c r="C7" t="s">
        <v>34</v>
      </c>
      <c r="D7">
        <v>112.9</v>
      </c>
      <c r="E7">
        <v>112.9</v>
      </c>
      <c r="F7">
        <v>116.9</v>
      </c>
      <c r="G7">
        <v>104</v>
      </c>
      <c r="H7">
        <v>103.5</v>
      </c>
      <c r="I7">
        <v>103.1</v>
      </c>
      <c r="J7">
        <v>104.9</v>
      </c>
      <c r="K7">
        <v>104.1</v>
      </c>
      <c r="L7">
        <v>103.8</v>
      </c>
      <c r="M7">
        <v>102.3</v>
      </c>
      <c r="N7">
        <v>106</v>
      </c>
      <c r="O7">
        <v>109</v>
      </c>
      <c r="P7">
        <v>107.2</v>
      </c>
      <c r="Q7">
        <v>106</v>
      </c>
      <c r="R7">
        <v>106.6</v>
      </c>
      <c r="S7">
        <v>105.5</v>
      </c>
      <c r="T7">
        <v>106.4</v>
      </c>
      <c r="U7">
        <v>100.4</v>
      </c>
      <c r="V7">
        <v>105.7</v>
      </c>
      <c r="W7">
        <v>105.2</v>
      </c>
      <c r="X7">
        <v>104.7</v>
      </c>
      <c r="Y7">
        <v>104.4</v>
      </c>
      <c r="Z7">
        <v>103.3</v>
      </c>
      <c r="AA7">
        <v>103.7</v>
      </c>
      <c r="AB7">
        <v>104.3</v>
      </c>
      <c r="AC7">
        <v>104.3</v>
      </c>
      <c r="AD7">
        <v>104.7</v>
      </c>
      <c r="AE7">
        <f t="shared" si="0"/>
        <v>1390.6000000000001</v>
      </c>
      <c r="AF7">
        <f t="shared" si="1"/>
        <v>105.7</v>
      </c>
      <c r="AG7">
        <f t="shared" si="2"/>
        <v>104.4</v>
      </c>
      <c r="AH7">
        <f t="shared" si="3"/>
        <v>103.7</v>
      </c>
      <c r="AI7">
        <f t="shared" si="4"/>
        <v>1046.7</v>
      </c>
    </row>
    <row r="8" spans="1:35" x14ac:dyDescent="0.3">
      <c r="A8" t="s">
        <v>33</v>
      </c>
      <c r="B8">
        <v>2013</v>
      </c>
      <c r="C8" t="s">
        <v>34</v>
      </c>
      <c r="D8">
        <v>110.4</v>
      </c>
      <c r="E8">
        <v>110.2</v>
      </c>
      <c r="F8">
        <v>112.8</v>
      </c>
      <c r="G8">
        <v>104.9</v>
      </c>
      <c r="H8">
        <v>105.5</v>
      </c>
      <c r="I8">
        <v>103.6</v>
      </c>
      <c r="J8">
        <v>103.2</v>
      </c>
      <c r="K8">
        <v>105.3</v>
      </c>
      <c r="L8">
        <v>105.1</v>
      </c>
      <c r="M8">
        <v>102.8</v>
      </c>
      <c r="N8">
        <v>105.5</v>
      </c>
      <c r="O8">
        <v>108.3</v>
      </c>
      <c r="P8">
        <v>106.6</v>
      </c>
      <c r="Q8">
        <v>105.7</v>
      </c>
      <c r="R8">
        <v>106.9</v>
      </c>
      <c r="S8">
        <v>106</v>
      </c>
      <c r="T8">
        <v>106.8</v>
      </c>
      <c r="U8">
        <v>100.4</v>
      </c>
      <c r="V8">
        <v>106</v>
      </c>
      <c r="W8">
        <v>105.2</v>
      </c>
      <c r="X8">
        <v>104.5</v>
      </c>
      <c r="Y8">
        <v>104.2</v>
      </c>
      <c r="Z8">
        <v>103.6</v>
      </c>
      <c r="AA8">
        <v>103.9</v>
      </c>
      <c r="AB8">
        <v>104.5</v>
      </c>
      <c r="AC8">
        <v>104.4</v>
      </c>
      <c r="AD8">
        <v>105.3</v>
      </c>
      <c r="AE8">
        <f t="shared" si="0"/>
        <v>1384.2</v>
      </c>
      <c r="AF8">
        <f t="shared" si="1"/>
        <v>106</v>
      </c>
      <c r="AG8">
        <f t="shared" si="2"/>
        <v>104.2</v>
      </c>
      <c r="AH8">
        <f t="shared" si="3"/>
        <v>103.9</v>
      </c>
      <c r="AI8">
        <f t="shared" si="4"/>
        <v>1048.0000000000002</v>
      </c>
    </row>
    <row r="9" spans="1:35" x14ac:dyDescent="0.3">
      <c r="A9" t="s">
        <v>30</v>
      </c>
      <c r="B9">
        <v>2013</v>
      </c>
      <c r="C9" t="s">
        <v>35</v>
      </c>
      <c r="D9">
        <v>110.2</v>
      </c>
      <c r="E9">
        <v>108.8</v>
      </c>
      <c r="F9">
        <v>109.9</v>
      </c>
      <c r="G9">
        <v>105.6</v>
      </c>
      <c r="H9">
        <v>106.2</v>
      </c>
      <c r="I9">
        <v>105.7</v>
      </c>
      <c r="J9">
        <v>101.4</v>
      </c>
      <c r="K9">
        <v>105.7</v>
      </c>
      <c r="L9">
        <v>105</v>
      </c>
      <c r="M9">
        <v>103.3</v>
      </c>
      <c r="N9">
        <v>105.6</v>
      </c>
      <c r="O9">
        <v>108.2</v>
      </c>
      <c r="P9">
        <v>106.6</v>
      </c>
      <c r="Q9">
        <v>106.5</v>
      </c>
      <c r="R9">
        <v>107.6</v>
      </c>
      <c r="S9">
        <v>106.8</v>
      </c>
      <c r="T9">
        <v>107.5</v>
      </c>
      <c r="U9">
        <v>100.4</v>
      </c>
      <c r="V9">
        <v>106.1</v>
      </c>
      <c r="W9">
        <v>105.6</v>
      </c>
      <c r="X9">
        <v>104.7</v>
      </c>
      <c r="Y9">
        <v>104.6</v>
      </c>
      <c r="Z9">
        <v>104</v>
      </c>
      <c r="AA9">
        <v>104.3</v>
      </c>
      <c r="AB9">
        <v>104.3</v>
      </c>
      <c r="AC9">
        <v>104.6</v>
      </c>
      <c r="AD9">
        <v>106</v>
      </c>
      <c r="AE9">
        <f t="shared" si="0"/>
        <v>1382.2</v>
      </c>
      <c r="AF9">
        <f t="shared" si="1"/>
        <v>106.1</v>
      </c>
      <c r="AG9">
        <f t="shared" si="2"/>
        <v>104.6</v>
      </c>
      <c r="AH9">
        <f t="shared" si="3"/>
        <v>104.3</v>
      </c>
      <c r="AI9">
        <f t="shared" si="4"/>
        <v>1052</v>
      </c>
    </row>
    <row r="10" spans="1:35" x14ac:dyDescent="0.3">
      <c r="A10" t="s">
        <v>32</v>
      </c>
      <c r="B10">
        <v>2013</v>
      </c>
      <c r="C10" t="s">
        <v>35</v>
      </c>
      <c r="D10">
        <v>113.9</v>
      </c>
      <c r="E10">
        <v>111.4</v>
      </c>
      <c r="F10">
        <v>113.2</v>
      </c>
      <c r="G10">
        <v>104.3</v>
      </c>
      <c r="H10">
        <v>102.7</v>
      </c>
      <c r="I10">
        <v>104.9</v>
      </c>
      <c r="J10">
        <v>103.8</v>
      </c>
      <c r="K10">
        <v>103.5</v>
      </c>
      <c r="L10">
        <v>102.6</v>
      </c>
      <c r="M10">
        <v>102.4</v>
      </c>
      <c r="N10">
        <v>107</v>
      </c>
      <c r="O10">
        <v>109.8</v>
      </c>
      <c r="P10">
        <v>107.3</v>
      </c>
      <c r="Q10">
        <v>106.8</v>
      </c>
      <c r="R10">
        <v>107.2</v>
      </c>
      <c r="S10">
        <v>106</v>
      </c>
      <c r="T10">
        <v>107</v>
      </c>
      <c r="U10">
        <v>100.4</v>
      </c>
      <c r="V10">
        <v>106</v>
      </c>
      <c r="W10">
        <v>105.7</v>
      </c>
      <c r="X10">
        <v>105.2</v>
      </c>
      <c r="Y10">
        <v>105.5</v>
      </c>
      <c r="Z10">
        <v>103.5</v>
      </c>
      <c r="AA10">
        <v>103.8</v>
      </c>
      <c r="AB10">
        <v>104.2</v>
      </c>
      <c r="AC10">
        <v>104.9</v>
      </c>
      <c r="AD10">
        <v>105</v>
      </c>
      <c r="AE10">
        <f t="shared" si="0"/>
        <v>1386.8</v>
      </c>
      <c r="AF10">
        <f t="shared" si="1"/>
        <v>106</v>
      </c>
      <c r="AG10">
        <f t="shared" si="2"/>
        <v>105.5</v>
      </c>
      <c r="AH10">
        <f t="shared" si="3"/>
        <v>103.8</v>
      </c>
      <c r="AI10">
        <f t="shared" si="4"/>
        <v>1050.9000000000001</v>
      </c>
    </row>
    <row r="11" spans="1:35" x14ac:dyDescent="0.3">
      <c r="A11" t="s">
        <v>33</v>
      </c>
      <c r="B11">
        <v>2013</v>
      </c>
      <c r="C11" t="s">
        <v>35</v>
      </c>
      <c r="D11">
        <v>111.4</v>
      </c>
      <c r="E11">
        <v>109.7</v>
      </c>
      <c r="F11">
        <v>111.2</v>
      </c>
      <c r="G11">
        <v>105.1</v>
      </c>
      <c r="H11">
        <v>104.9</v>
      </c>
      <c r="I11">
        <v>105.3</v>
      </c>
      <c r="J11">
        <v>102.2</v>
      </c>
      <c r="K11">
        <v>105</v>
      </c>
      <c r="L11">
        <v>104.2</v>
      </c>
      <c r="M11">
        <v>103</v>
      </c>
      <c r="N11">
        <v>106.2</v>
      </c>
      <c r="O11">
        <v>108.9</v>
      </c>
      <c r="P11">
        <v>106.9</v>
      </c>
      <c r="Q11">
        <v>106.6</v>
      </c>
      <c r="R11">
        <v>107.4</v>
      </c>
      <c r="S11">
        <v>106.5</v>
      </c>
      <c r="T11">
        <v>107.3</v>
      </c>
      <c r="U11">
        <v>100.4</v>
      </c>
      <c r="V11">
        <v>106.1</v>
      </c>
      <c r="W11">
        <v>105.6</v>
      </c>
      <c r="X11">
        <v>104.9</v>
      </c>
      <c r="Y11">
        <v>105.1</v>
      </c>
      <c r="Z11">
        <v>103.7</v>
      </c>
      <c r="AA11">
        <v>104</v>
      </c>
      <c r="AB11">
        <v>104.3</v>
      </c>
      <c r="AC11">
        <v>104.7</v>
      </c>
      <c r="AD11">
        <v>105.5</v>
      </c>
      <c r="AE11">
        <f t="shared" si="0"/>
        <v>1384.0000000000002</v>
      </c>
      <c r="AF11">
        <f t="shared" si="1"/>
        <v>106.1</v>
      </c>
      <c r="AG11">
        <f t="shared" si="2"/>
        <v>105.1</v>
      </c>
      <c r="AH11">
        <f t="shared" si="3"/>
        <v>104</v>
      </c>
      <c r="AI11">
        <f t="shared" si="4"/>
        <v>1051.4000000000001</v>
      </c>
    </row>
    <row r="12" spans="1:35" x14ac:dyDescent="0.3">
      <c r="A12" t="s">
        <v>30</v>
      </c>
      <c r="B12">
        <v>2013</v>
      </c>
      <c r="C12" t="s">
        <v>36</v>
      </c>
      <c r="D12">
        <v>110.2</v>
      </c>
      <c r="E12">
        <v>109.5</v>
      </c>
      <c r="F12">
        <v>106.9</v>
      </c>
      <c r="G12">
        <v>106.3</v>
      </c>
      <c r="H12">
        <v>105.7</v>
      </c>
      <c r="I12">
        <v>108.3</v>
      </c>
      <c r="J12">
        <v>103.4</v>
      </c>
      <c r="K12">
        <v>105.7</v>
      </c>
      <c r="L12">
        <v>104.2</v>
      </c>
      <c r="M12">
        <v>103.2</v>
      </c>
      <c r="N12">
        <v>106.5</v>
      </c>
      <c r="O12">
        <v>108.8</v>
      </c>
      <c r="P12">
        <v>107.1</v>
      </c>
      <c r="Q12">
        <v>107.1</v>
      </c>
      <c r="R12">
        <v>108.1</v>
      </c>
      <c r="S12">
        <v>107.4</v>
      </c>
      <c r="T12">
        <v>108</v>
      </c>
      <c r="U12">
        <v>100.5</v>
      </c>
      <c r="V12">
        <v>106.5</v>
      </c>
      <c r="W12">
        <v>106.1</v>
      </c>
      <c r="X12">
        <v>105.1</v>
      </c>
      <c r="Y12">
        <v>104.4</v>
      </c>
      <c r="Z12">
        <v>104.5</v>
      </c>
      <c r="AA12">
        <v>104.8</v>
      </c>
      <c r="AB12">
        <v>102.7</v>
      </c>
      <c r="AC12">
        <v>104.6</v>
      </c>
      <c r="AD12">
        <v>106.4</v>
      </c>
      <c r="AE12">
        <f t="shared" si="0"/>
        <v>1385.8</v>
      </c>
      <c r="AF12">
        <f t="shared" si="1"/>
        <v>106.5</v>
      </c>
      <c r="AG12">
        <f t="shared" si="2"/>
        <v>104.4</v>
      </c>
      <c r="AH12">
        <f t="shared" si="3"/>
        <v>104.8</v>
      </c>
      <c r="AI12">
        <f t="shared" si="4"/>
        <v>1054.1000000000001</v>
      </c>
    </row>
    <row r="13" spans="1:35" x14ac:dyDescent="0.3">
      <c r="A13" t="s">
        <v>32</v>
      </c>
      <c r="B13">
        <v>2013</v>
      </c>
      <c r="C13" t="s">
        <v>36</v>
      </c>
      <c r="D13">
        <v>114.6</v>
      </c>
      <c r="E13">
        <v>113.4</v>
      </c>
      <c r="F13">
        <v>106</v>
      </c>
      <c r="G13">
        <v>104.7</v>
      </c>
      <c r="H13">
        <v>102.1</v>
      </c>
      <c r="I13">
        <v>109.5</v>
      </c>
      <c r="J13">
        <v>109.7</v>
      </c>
      <c r="K13">
        <v>104.6</v>
      </c>
      <c r="L13">
        <v>102</v>
      </c>
      <c r="M13">
        <v>103.5</v>
      </c>
      <c r="N13">
        <v>108.2</v>
      </c>
      <c r="O13">
        <v>110.6</v>
      </c>
      <c r="P13">
        <v>108.8</v>
      </c>
      <c r="Q13">
        <v>108.5</v>
      </c>
      <c r="R13">
        <v>107.9</v>
      </c>
      <c r="S13">
        <v>106.4</v>
      </c>
      <c r="T13">
        <v>107.7</v>
      </c>
      <c r="U13">
        <v>100.5</v>
      </c>
      <c r="V13">
        <v>106.4</v>
      </c>
      <c r="W13">
        <v>106.5</v>
      </c>
      <c r="X13">
        <v>105.7</v>
      </c>
      <c r="Y13">
        <v>105</v>
      </c>
      <c r="Z13">
        <v>104</v>
      </c>
      <c r="AA13">
        <v>105.2</v>
      </c>
      <c r="AB13">
        <v>103.2</v>
      </c>
      <c r="AC13">
        <v>105.1</v>
      </c>
      <c r="AD13">
        <v>105.7</v>
      </c>
      <c r="AE13">
        <f t="shared" si="0"/>
        <v>1397.6999999999998</v>
      </c>
      <c r="AF13">
        <f t="shared" si="1"/>
        <v>106.4</v>
      </c>
      <c r="AG13">
        <f t="shared" si="2"/>
        <v>105</v>
      </c>
      <c r="AH13">
        <f t="shared" si="3"/>
        <v>105.2</v>
      </c>
      <c r="AI13">
        <f t="shared" si="4"/>
        <v>1055.5</v>
      </c>
    </row>
    <row r="14" spans="1:35" x14ac:dyDescent="0.3">
      <c r="A14" t="s">
        <v>33</v>
      </c>
      <c r="B14">
        <v>2013</v>
      </c>
      <c r="C14" t="s">
        <v>36</v>
      </c>
      <c r="D14">
        <v>111.6</v>
      </c>
      <c r="E14">
        <v>110.9</v>
      </c>
      <c r="F14">
        <v>106.6</v>
      </c>
      <c r="G14">
        <v>105.7</v>
      </c>
      <c r="H14">
        <v>104.4</v>
      </c>
      <c r="I14">
        <v>108.9</v>
      </c>
      <c r="J14">
        <v>105.5</v>
      </c>
      <c r="K14">
        <v>105.3</v>
      </c>
      <c r="L14">
        <v>103.5</v>
      </c>
      <c r="M14">
        <v>103.3</v>
      </c>
      <c r="N14">
        <v>107.2</v>
      </c>
      <c r="O14">
        <v>109.6</v>
      </c>
      <c r="P14">
        <v>107.7</v>
      </c>
      <c r="Q14">
        <v>107.5</v>
      </c>
      <c r="R14">
        <v>108</v>
      </c>
      <c r="S14">
        <v>107</v>
      </c>
      <c r="T14">
        <v>107.9</v>
      </c>
      <c r="U14">
        <v>100.5</v>
      </c>
      <c r="V14">
        <v>106.5</v>
      </c>
      <c r="W14">
        <v>106.3</v>
      </c>
      <c r="X14">
        <v>105.3</v>
      </c>
      <c r="Y14">
        <v>104.7</v>
      </c>
      <c r="Z14">
        <v>104.2</v>
      </c>
      <c r="AA14">
        <v>105</v>
      </c>
      <c r="AB14">
        <v>102.9</v>
      </c>
      <c r="AC14">
        <v>104.8</v>
      </c>
      <c r="AD14">
        <v>106.1</v>
      </c>
      <c r="AE14">
        <f t="shared" si="0"/>
        <v>1390.2</v>
      </c>
      <c r="AF14">
        <f t="shared" si="1"/>
        <v>106.5</v>
      </c>
      <c r="AG14">
        <f t="shared" si="2"/>
        <v>104.7</v>
      </c>
      <c r="AH14">
        <f t="shared" si="3"/>
        <v>105</v>
      </c>
      <c r="AI14">
        <f t="shared" si="4"/>
        <v>1054.3999999999999</v>
      </c>
    </row>
    <row r="15" spans="1:35" x14ac:dyDescent="0.3">
      <c r="A15" t="s">
        <v>30</v>
      </c>
      <c r="B15">
        <v>2013</v>
      </c>
      <c r="C15" t="s">
        <v>37</v>
      </c>
      <c r="D15">
        <v>110.9</v>
      </c>
      <c r="E15">
        <v>109.8</v>
      </c>
      <c r="F15">
        <v>105.9</v>
      </c>
      <c r="G15">
        <v>107.5</v>
      </c>
      <c r="H15">
        <v>105.3</v>
      </c>
      <c r="I15">
        <v>108.1</v>
      </c>
      <c r="J15">
        <v>107.3</v>
      </c>
      <c r="K15">
        <v>106.1</v>
      </c>
      <c r="L15">
        <v>103.7</v>
      </c>
      <c r="M15">
        <v>104</v>
      </c>
      <c r="N15">
        <v>107.4</v>
      </c>
      <c r="O15">
        <v>109.9</v>
      </c>
      <c r="P15">
        <v>108.1</v>
      </c>
      <c r="Q15">
        <v>108.1</v>
      </c>
      <c r="R15">
        <v>108.8</v>
      </c>
      <c r="S15">
        <v>107.9</v>
      </c>
      <c r="T15">
        <v>108.6</v>
      </c>
      <c r="U15">
        <v>100.5</v>
      </c>
      <c r="V15">
        <v>107.5</v>
      </c>
      <c r="W15">
        <v>106.8</v>
      </c>
      <c r="X15">
        <v>105.7</v>
      </c>
      <c r="Y15">
        <v>104.1</v>
      </c>
      <c r="Z15">
        <v>105</v>
      </c>
      <c r="AA15">
        <v>105.5</v>
      </c>
      <c r="AB15">
        <v>102.1</v>
      </c>
      <c r="AC15">
        <v>104.8</v>
      </c>
      <c r="AD15">
        <v>107.2</v>
      </c>
      <c r="AE15">
        <f t="shared" si="0"/>
        <v>1394</v>
      </c>
      <c r="AF15">
        <f t="shared" si="1"/>
        <v>107.5</v>
      </c>
      <c r="AG15">
        <f t="shared" si="2"/>
        <v>104.1</v>
      </c>
      <c r="AH15">
        <f t="shared" si="3"/>
        <v>105.5</v>
      </c>
      <c r="AI15">
        <f t="shared" si="4"/>
        <v>1058.3</v>
      </c>
    </row>
    <row r="16" spans="1:35" x14ac:dyDescent="0.3">
      <c r="A16" t="s">
        <v>32</v>
      </c>
      <c r="B16">
        <v>2013</v>
      </c>
      <c r="C16" t="s">
        <v>37</v>
      </c>
      <c r="D16">
        <v>115.4</v>
      </c>
      <c r="E16">
        <v>114.2</v>
      </c>
      <c r="F16">
        <v>102.7</v>
      </c>
      <c r="G16">
        <v>105.5</v>
      </c>
      <c r="H16">
        <v>101.5</v>
      </c>
      <c r="I16">
        <v>110.6</v>
      </c>
      <c r="J16">
        <v>123.7</v>
      </c>
      <c r="K16">
        <v>105.2</v>
      </c>
      <c r="L16">
        <v>101.9</v>
      </c>
      <c r="M16">
        <v>105</v>
      </c>
      <c r="N16">
        <v>109.1</v>
      </c>
      <c r="O16">
        <v>111.3</v>
      </c>
      <c r="P16">
        <v>111.1</v>
      </c>
      <c r="Q16">
        <v>109.8</v>
      </c>
      <c r="R16">
        <v>108.5</v>
      </c>
      <c r="S16">
        <v>106.7</v>
      </c>
      <c r="T16">
        <v>108.3</v>
      </c>
      <c r="U16">
        <v>100.5</v>
      </c>
      <c r="V16">
        <v>107.2</v>
      </c>
      <c r="W16">
        <v>107.1</v>
      </c>
      <c r="X16">
        <v>106.2</v>
      </c>
      <c r="Y16">
        <v>103.9</v>
      </c>
      <c r="Z16">
        <v>104.6</v>
      </c>
      <c r="AA16">
        <v>105.7</v>
      </c>
      <c r="AB16">
        <v>102.6</v>
      </c>
      <c r="AC16">
        <v>104.9</v>
      </c>
      <c r="AD16">
        <v>106.6</v>
      </c>
      <c r="AE16">
        <f t="shared" si="0"/>
        <v>1417.1999999999998</v>
      </c>
      <c r="AF16">
        <f t="shared" si="1"/>
        <v>107.2</v>
      </c>
      <c r="AG16">
        <f t="shared" si="2"/>
        <v>103.9</v>
      </c>
      <c r="AH16">
        <f t="shared" si="3"/>
        <v>105.7</v>
      </c>
      <c r="AI16">
        <f t="shared" si="4"/>
        <v>1059.2</v>
      </c>
    </row>
    <row r="17" spans="1:35" x14ac:dyDescent="0.3">
      <c r="A17" t="s">
        <v>33</v>
      </c>
      <c r="B17">
        <v>2013</v>
      </c>
      <c r="C17" t="s">
        <v>37</v>
      </c>
      <c r="D17">
        <v>112.3</v>
      </c>
      <c r="E17">
        <v>111.3</v>
      </c>
      <c r="F17">
        <v>104.7</v>
      </c>
      <c r="G17">
        <v>106.8</v>
      </c>
      <c r="H17">
        <v>103.9</v>
      </c>
      <c r="I17">
        <v>109.3</v>
      </c>
      <c r="J17">
        <v>112.9</v>
      </c>
      <c r="K17">
        <v>105.8</v>
      </c>
      <c r="L17">
        <v>103.1</v>
      </c>
      <c r="M17">
        <v>104.3</v>
      </c>
      <c r="N17">
        <v>108.1</v>
      </c>
      <c r="O17">
        <v>110.5</v>
      </c>
      <c r="P17">
        <v>109.2</v>
      </c>
      <c r="Q17">
        <v>108.6</v>
      </c>
      <c r="R17">
        <v>108.7</v>
      </c>
      <c r="S17">
        <v>107.4</v>
      </c>
      <c r="T17">
        <v>108.5</v>
      </c>
      <c r="U17">
        <v>100.5</v>
      </c>
      <c r="V17">
        <v>107.4</v>
      </c>
      <c r="W17">
        <v>106.9</v>
      </c>
      <c r="X17">
        <v>105.9</v>
      </c>
      <c r="Y17">
        <v>104</v>
      </c>
      <c r="Z17">
        <v>104.8</v>
      </c>
      <c r="AA17">
        <v>105.6</v>
      </c>
      <c r="AB17">
        <v>102.3</v>
      </c>
      <c r="AC17">
        <v>104.8</v>
      </c>
      <c r="AD17">
        <v>106.9</v>
      </c>
      <c r="AE17">
        <f t="shared" si="0"/>
        <v>1402.1999999999998</v>
      </c>
      <c r="AF17">
        <f t="shared" si="1"/>
        <v>107.4</v>
      </c>
      <c r="AG17">
        <f t="shared" si="2"/>
        <v>104</v>
      </c>
      <c r="AH17">
        <f t="shared" si="3"/>
        <v>105.6</v>
      </c>
      <c r="AI17">
        <f t="shared" si="4"/>
        <v>1058.3999999999999</v>
      </c>
    </row>
    <row r="18" spans="1:35" x14ac:dyDescent="0.3">
      <c r="A18" t="s">
        <v>30</v>
      </c>
      <c r="B18">
        <v>2013</v>
      </c>
      <c r="C18" t="s">
        <v>38</v>
      </c>
      <c r="D18">
        <v>112.3</v>
      </c>
      <c r="E18">
        <v>112.1</v>
      </c>
      <c r="F18">
        <v>108.1</v>
      </c>
      <c r="G18">
        <v>108.3</v>
      </c>
      <c r="H18">
        <v>105.9</v>
      </c>
      <c r="I18">
        <v>109.2</v>
      </c>
      <c r="J18">
        <v>118</v>
      </c>
      <c r="K18">
        <v>106.8</v>
      </c>
      <c r="L18">
        <v>104.1</v>
      </c>
      <c r="M18">
        <v>105.4</v>
      </c>
      <c r="N18">
        <v>108.2</v>
      </c>
      <c r="O18">
        <v>111</v>
      </c>
      <c r="P18">
        <v>110.6</v>
      </c>
      <c r="Q18">
        <v>109</v>
      </c>
      <c r="R18">
        <v>109.7</v>
      </c>
      <c r="S18">
        <v>108.8</v>
      </c>
      <c r="T18">
        <v>109.5</v>
      </c>
      <c r="U18">
        <v>106.6</v>
      </c>
      <c r="V18">
        <v>108.5</v>
      </c>
      <c r="W18">
        <v>107.5</v>
      </c>
      <c r="X18">
        <v>106.3</v>
      </c>
      <c r="Y18">
        <v>105</v>
      </c>
      <c r="Z18">
        <v>105.6</v>
      </c>
      <c r="AA18">
        <v>106.5</v>
      </c>
      <c r="AB18">
        <v>102.5</v>
      </c>
      <c r="AC18">
        <v>105.5</v>
      </c>
      <c r="AD18">
        <v>108.9</v>
      </c>
      <c r="AE18">
        <f t="shared" si="0"/>
        <v>1420</v>
      </c>
      <c r="AF18">
        <f t="shared" si="1"/>
        <v>108.5</v>
      </c>
      <c r="AG18">
        <f t="shared" si="2"/>
        <v>105</v>
      </c>
      <c r="AH18">
        <f t="shared" si="3"/>
        <v>106.5</v>
      </c>
      <c r="AI18">
        <f t="shared" si="4"/>
        <v>1071</v>
      </c>
    </row>
    <row r="19" spans="1:35" x14ac:dyDescent="0.3">
      <c r="A19" t="s">
        <v>32</v>
      </c>
      <c r="B19">
        <v>2013</v>
      </c>
      <c r="C19" t="s">
        <v>38</v>
      </c>
      <c r="D19">
        <v>117</v>
      </c>
      <c r="E19">
        <v>120.1</v>
      </c>
      <c r="F19">
        <v>112.5</v>
      </c>
      <c r="G19">
        <v>107.3</v>
      </c>
      <c r="H19">
        <v>101.3</v>
      </c>
      <c r="I19">
        <v>112.4</v>
      </c>
      <c r="J19">
        <v>143.6</v>
      </c>
      <c r="K19">
        <v>105.4</v>
      </c>
      <c r="L19">
        <v>101.4</v>
      </c>
      <c r="M19">
        <v>106.4</v>
      </c>
      <c r="N19">
        <v>110</v>
      </c>
      <c r="O19">
        <v>112.2</v>
      </c>
      <c r="P19">
        <v>115</v>
      </c>
      <c r="Q19">
        <v>110.9</v>
      </c>
      <c r="R19">
        <v>109.2</v>
      </c>
      <c r="S19">
        <v>107.2</v>
      </c>
      <c r="T19">
        <v>108.9</v>
      </c>
      <c r="U19">
        <v>106.6</v>
      </c>
      <c r="V19">
        <v>108</v>
      </c>
      <c r="W19">
        <v>107.7</v>
      </c>
      <c r="X19">
        <v>106.5</v>
      </c>
      <c r="Y19">
        <v>105.2</v>
      </c>
      <c r="Z19">
        <v>105.2</v>
      </c>
      <c r="AA19">
        <v>108.1</v>
      </c>
      <c r="AB19">
        <v>103.3</v>
      </c>
      <c r="AC19">
        <v>106.1</v>
      </c>
      <c r="AD19">
        <v>109.7</v>
      </c>
      <c r="AE19">
        <f t="shared" si="0"/>
        <v>1464.6000000000001</v>
      </c>
      <c r="AF19">
        <f t="shared" si="1"/>
        <v>108</v>
      </c>
      <c r="AG19">
        <f t="shared" si="2"/>
        <v>105.2</v>
      </c>
      <c r="AH19">
        <f t="shared" si="3"/>
        <v>108.1</v>
      </c>
      <c r="AI19">
        <f t="shared" si="4"/>
        <v>1071.6000000000001</v>
      </c>
    </row>
    <row r="20" spans="1:35" x14ac:dyDescent="0.3">
      <c r="A20" t="s">
        <v>33</v>
      </c>
      <c r="B20">
        <v>2013</v>
      </c>
      <c r="C20" t="s">
        <v>38</v>
      </c>
      <c r="D20">
        <v>113.8</v>
      </c>
      <c r="E20">
        <v>114.9</v>
      </c>
      <c r="F20">
        <v>109.8</v>
      </c>
      <c r="G20">
        <v>107.9</v>
      </c>
      <c r="H20">
        <v>104.2</v>
      </c>
      <c r="I20">
        <v>110.7</v>
      </c>
      <c r="J20">
        <v>126.7</v>
      </c>
      <c r="K20">
        <v>106.3</v>
      </c>
      <c r="L20">
        <v>103.2</v>
      </c>
      <c r="M20">
        <v>105.7</v>
      </c>
      <c r="N20">
        <v>109</v>
      </c>
      <c r="O20">
        <v>111.6</v>
      </c>
      <c r="P20">
        <v>112.2</v>
      </c>
      <c r="Q20">
        <v>109.5</v>
      </c>
      <c r="R20">
        <v>109.5</v>
      </c>
      <c r="S20">
        <v>108.1</v>
      </c>
      <c r="T20">
        <v>109.3</v>
      </c>
      <c r="U20">
        <v>106.6</v>
      </c>
      <c r="V20">
        <v>108.3</v>
      </c>
      <c r="W20">
        <v>107.6</v>
      </c>
      <c r="X20">
        <v>106.4</v>
      </c>
      <c r="Y20">
        <v>105.1</v>
      </c>
      <c r="Z20">
        <v>105.4</v>
      </c>
      <c r="AA20">
        <v>107.4</v>
      </c>
      <c r="AB20">
        <v>102.8</v>
      </c>
      <c r="AC20">
        <v>105.8</v>
      </c>
      <c r="AD20">
        <v>109.3</v>
      </c>
      <c r="AE20">
        <f t="shared" si="0"/>
        <v>1436</v>
      </c>
      <c r="AF20">
        <f t="shared" si="1"/>
        <v>108.3</v>
      </c>
      <c r="AG20">
        <f t="shared" si="2"/>
        <v>105.1</v>
      </c>
      <c r="AH20">
        <f t="shared" si="3"/>
        <v>107.4</v>
      </c>
      <c r="AI20">
        <f t="shared" si="4"/>
        <v>1071</v>
      </c>
    </row>
    <row r="21" spans="1:35" x14ac:dyDescent="0.3">
      <c r="A21" t="s">
        <v>30</v>
      </c>
      <c r="B21">
        <v>2013</v>
      </c>
      <c r="C21" t="s">
        <v>39</v>
      </c>
      <c r="D21">
        <v>113.4</v>
      </c>
      <c r="E21">
        <v>114.9</v>
      </c>
      <c r="F21">
        <v>110.5</v>
      </c>
      <c r="G21">
        <v>109.3</v>
      </c>
      <c r="H21">
        <v>106.2</v>
      </c>
      <c r="I21">
        <v>110.3</v>
      </c>
      <c r="J21">
        <v>129.19999999999999</v>
      </c>
      <c r="K21">
        <v>107.1</v>
      </c>
      <c r="L21">
        <v>104.3</v>
      </c>
      <c r="M21">
        <v>106.4</v>
      </c>
      <c r="N21">
        <v>109.1</v>
      </c>
      <c r="O21">
        <v>112.1</v>
      </c>
      <c r="P21">
        <v>113.1</v>
      </c>
      <c r="Q21">
        <v>109.8</v>
      </c>
      <c r="R21">
        <v>110.5</v>
      </c>
      <c r="S21">
        <v>109.5</v>
      </c>
      <c r="T21">
        <v>110.3</v>
      </c>
      <c r="U21">
        <v>107.7</v>
      </c>
      <c r="V21">
        <v>109.5</v>
      </c>
      <c r="W21">
        <v>108.3</v>
      </c>
      <c r="X21">
        <v>106.9</v>
      </c>
      <c r="Y21">
        <v>106.8</v>
      </c>
      <c r="Z21">
        <v>106.4</v>
      </c>
      <c r="AA21">
        <v>107.8</v>
      </c>
      <c r="AB21">
        <v>102.5</v>
      </c>
      <c r="AC21">
        <v>106.5</v>
      </c>
      <c r="AD21">
        <v>110.7</v>
      </c>
      <c r="AE21">
        <f t="shared" si="0"/>
        <v>1445.8999999999996</v>
      </c>
      <c r="AF21">
        <f t="shared" si="1"/>
        <v>109.5</v>
      </c>
      <c r="AG21">
        <f t="shared" si="2"/>
        <v>106.8</v>
      </c>
      <c r="AH21">
        <f t="shared" si="3"/>
        <v>107.8</v>
      </c>
      <c r="AI21">
        <f t="shared" si="4"/>
        <v>1078.4000000000001</v>
      </c>
    </row>
    <row r="22" spans="1:35" x14ac:dyDescent="0.3">
      <c r="A22" t="s">
        <v>32</v>
      </c>
      <c r="B22">
        <v>2013</v>
      </c>
      <c r="C22" t="s">
        <v>39</v>
      </c>
      <c r="D22">
        <v>117.8</v>
      </c>
      <c r="E22">
        <v>119.2</v>
      </c>
      <c r="F22">
        <v>114</v>
      </c>
      <c r="G22">
        <v>108.3</v>
      </c>
      <c r="H22">
        <v>101.1</v>
      </c>
      <c r="I22">
        <v>113.2</v>
      </c>
      <c r="J22">
        <v>160.9</v>
      </c>
      <c r="K22">
        <v>105.1</v>
      </c>
      <c r="L22">
        <v>101.3</v>
      </c>
      <c r="M22">
        <v>107.5</v>
      </c>
      <c r="N22">
        <v>110.4</v>
      </c>
      <c r="O22">
        <v>113.1</v>
      </c>
      <c r="P22">
        <v>117.5</v>
      </c>
      <c r="Q22">
        <v>111.7</v>
      </c>
      <c r="R22">
        <v>109.8</v>
      </c>
      <c r="S22">
        <v>107.8</v>
      </c>
      <c r="T22">
        <v>109.5</v>
      </c>
      <c r="U22">
        <v>107.7</v>
      </c>
      <c r="V22">
        <v>108.6</v>
      </c>
      <c r="W22">
        <v>108.1</v>
      </c>
      <c r="X22">
        <v>107.1</v>
      </c>
      <c r="Y22">
        <v>107.3</v>
      </c>
      <c r="Z22">
        <v>105.9</v>
      </c>
      <c r="AA22">
        <v>110.1</v>
      </c>
      <c r="AB22">
        <v>103.2</v>
      </c>
      <c r="AC22">
        <v>107.3</v>
      </c>
      <c r="AD22">
        <v>111.4</v>
      </c>
      <c r="AE22">
        <f t="shared" si="0"/>
        <v>1489.4</v>
      </c>
      <c r="AF22">
        <f t="shared" si="1"/>
        <v>108.6</v>
      </c>
      <c r="AG22">
        <f t="shared" si="2"/>
        <v>107.3</v>
      </c>
      <c r="AH22">
        <f t="shared" si="3"/>
        <v>110.1</v>
      </c>
      <c r="AI22">
        <f t="shared" si="4"/>
        <v>1078.1000000000001</v>
      </c>
    </row>
    <row r="23" spans="1:35" x14ac:dyDescent="0.3">
      <c r="A23" t="s">
        <v>33</v>
      </c>
      <c r="B23">
        <v>2013</v>
      </c>
      <c r="C23" t="s">
        <v>39</v>
      </c>
      <c r="D23">
        <v>114.8</v>
      </c>
      <c r="E23">
        <v>116.4</v>
      </c>
      <c r="F23">
        <v>111.9</v>
      </c>
      <c r="G23">
        <v>108.9</v>
      </c>
      <c r="H23">
        <v>104.3</v>
      </c>
      <c r="I23">
        <v>111.7</v>
      </c>
      <c r="J23">
        <v>140</v>
      </c>
      <c r="K23">
        <v>106.4</v>
      </c>
      <c r="L23">
        <v>103.3</v>
      </c>
      <c r="M23">
        <v>106.8</v>
      </c>
      <c r="N23">
        <v>109.6</v>
      </c>
      <c r="O23">
        <v>112.6</v>
      </c>
      <c r="P23">
        <v>114.7</v>
      </c>
      <c r="Q23">
        <v>110.3</v>
      </c>
      <c r="R23">
        <v>110.2</v>
      </c>
      <c r="S23">
        <v>108.8</v>
      </c>
      <c r="T23">
        <v>110</v>
      </c>
      <c r="U23">
        <v>107.7</v>
      </c>
      <c r="V23">
        <v>109.2</v>
      </c>
      <c r="W23">
        <v>108.2</v>
      </c>
      <c r="X23">
        <v>107</v>
      </c>
      <c r="Y23">
        <v>107.1</v>
      </c>
      <c r="Z23">
        <v>106.1</v>
      </c>
      <c r="AA23">
        <v>109.1</v>
      </c>
      <c r="AB23">
        <v>102.8</v>
      </c>
      <c r="AC23">
        <v>106.9</v>
      </c>
      <c r="AD23">
        <v>111</v>
      </c>
      <c r="AE23">
        <f t="shared" si="0"/>
        <v>1461.3999999999999</v>
      </c>
      <c r="AF23">
        <f t="shared" si="1"/>
        <v>109.2</v>
      </c>
      <c r="AG23">
        <f t="shared" si="2"/>
        <v>107.1</v>
      </c>
      <c r="AH23">
        <f t="shared" si="3"/>
        <v>109.1</v>
      </c>
      <c r="AI23">
        <f t="shared" si="4"/>
        <v>1078</v>
      </c>
    </row>
    <row r="24" spans="1:35" x14ac:dyDescent="0.3">
      <c r="A24" t="s">
        <v>30</v>
      </c>
      <c r="B24">
        <v>2013</v>
      </c>
      <c r="C24" t="s">
        <v>40</v>
      </c>
      <c r="D24">
        <v>114.3</v>
      </c>
      <c r="E24">
        <v>115.4</v>
      </c>
      <c r="F24">
        <v>111.1</v>
      </c>
      <c r="G24">
        <v>110</v>
      </c>
      <c r="H24">
        <v>106.4</v>
      </c>
      <c r="I24">
        <v>110.8</v>
      </c>
      <c r="J24">
        <v>138.9</v>
      </c>
      <c r="K24">
        <v>107.4</v>
      </c>
      <c r="L24">
        <v>104.1</v>
      </c>
      <c r="M24">
        <v>106.9</v>
      </c>
      <c r="N24">
        <v>109.7</v>
      </c>
      <c r="O24">
        <v>112.6</v>
      </c>
      <c r="P24">
        <v>114.9</v>
      </c>
      <c r="Q24">
        <v>110.7</v>
      </c>
      <c r="R24">
        <v>111.3</v>
      </c>
      <c r="S24">
        <v>110.2</v>
      </c>
      <c r="T24">
        <v>111.1</v>
      </c>
      <c r="U24">
        <v>108.9</v>
      </c>
      <c r="V24">
        <v>109.9</v>
      </c>
      <c r="W24">
        <v>108.7</v>
      </c>
      <c r="X24">
        <v>107.5</v>
      </c>
      <c r="Y24">
        <v>107.8</v>
      </c>
      <c r="Z24">
        <v>106.8</v>
      </c>
      <c r="AA24">
        <v>108.7</v>
      </c>
      <c r="AB24">
        <v>105</v>
      </c>
      <c r="AC24">
        <v>107.5</v>
      </c>
      <c r="AD24">
        <v>112.1</v>
      </c>
      <c r="AE24">
        <f t="shared" si="0"/>
        <v>1462.5</v>
      </c>
      <c r="AF24">
        <f t="shared" si="1"/>
        <v>109.9</v>
      </c>
      <c r="AG24">
        <f t="shared" si="2"/>
        <v>107.8</v>
      </c>
      <c r="AH24">
        <f t="shared" si="3"/>
        <v>108.7</v>
      </c>
      <c r="AI24">
        <f t="shared" si="4"/>
        <v>1087.6999999999998</v>
      </c>
    </row>
    <row r="25" spans="1:35" x14ac:dyDescent="0.3">
      <c r="A25" t="s">
        <v>32</v>
      </c>
      <c r="B25">
        <v>2013</v>
      </c>
      <c r="C25" t="s">
        <v>40</v>
      </c>
      <c r="D25">
        <v>118.3</v>
      </c>
      <c r="E25">
        <v>120.4</v>
      </c>
      <c r="F25">
        <v>112.7</v>
      </c>
      <c r="G25">
        <v>108.9</v>
      </c>
      <c r="H25">
        <v>101.1</v>
      </c>
      <c r="I25">
        <v>108.7</v>
      </c>
      <c r="J25">
        <v>177</v>
      </c>
      <c r="K25">
        <v>104.7</v>
      </c>
      <c r="L25">
        <v>101</v>
      </c>
      <c r="M25">
        <v>108.5</v>
      </c>
      <c r="N25">
        <v>110.9</v>
      </c>
      <c r="O25">
        <v>114.3</v>
      </c>
      <c r="P25">
        <v>119.6</v>
      </c>
      <c r="Q25">
        <v>112.4</v>
      </c>
      <c r="R25">
        <v>110.6</v>
      </c>
      <c r="S25">
        <v>108.3</v>
      </c>
      <c r="T25">
        <v>110.2</v>
      </c>
      <c r="U25">
        <v>108.9</v>
      </c>
      <c r="V25">
        <v>109.3</v>
      </c>
      <c r="W25">
        <v>108.7</v>
      </c>
      <c r="X25">
        <v>107.6</v>
      </c>
      <c r="Y25">
        <v>108.1</v>
      </c>
      <c r="Z25">
        <v>106.5</v>
      </c>
      <c r="AA25">
        <v>110.8</v>
      </c>
      <c r="AB25">
        <v>106</v>
      </c>
      <c r="AC25">
        <v>108.3</v>
      </c>
      <c r="AD25">
        <v>112.7</v>
      </c>
      <c r="AE25">
        <f t="shared" si="0"/>
        <v>1506.1000000000001</v>
      </c>
      <c r="AF25">
        <f t="shared" si="1"/>
        <v>109.3</v>
      </c>
      <c r="AG25">
        <f t="shared" si="2"/>
        <v>108.1</v>
      </c>
      <c r="AH25">
        <f t="shared" si="3"/>
        <v>110.8</v>
      </c>
      <c r="AI25">
        <f t="shared" si="4"/>
        <v>1087.5</v>
      </c>
    </row>
    <row r="26" spans="1:35" x14ac:dyDescent="0.3">
      <c r="A26" t="s">
        <v>33</v>
      </c>
      <c r="B26">
        <v>2013</v>
      </c>
      <c r="C26" t="s">
        <v>40</v>
      </c>
      <c r="D26">
        <v>115.6</v>
      </c>
      <c r="E26">
        <v>117.2</v>
      </c>
      <c r="F26">
        <v>111.7</v>
      </c>
      <c r="G26">
        <v>109.6</v>
      </c>
      <c r="H26">
        <v>104.5</v>
      </c>
      <c r="I26">
        <v>109.8</v>
      </c>
      <c r="J26">
        <v>151.80000000000001</v>
      </c>
      <c r="K26">
        <v>106.5</v>
      </c>
      <c r="L26">
        <v>103.1</v>
      </c>
      <c r="M26">
        <v>107.4</v>
      </c>
      <c r="N26">
        <v>110.2</v>
      </c>
      <c r="O26">
        <v>113.4</v>
      </c>
      <c r="P26">
        <v>116.6</v>
      </c>
      <c r="Q26">
        <v>111.2</v>
      </c>
      <c r="R26">
        <v>111</v>
      </c>
      <c r="S26">
        <v>109.4</v>
      </c>
      <c r="T26">
        <v>110.7</v>
      </c>
      <c r="U26">
        <v>108.9</v>
      </c>
      <c r="V26">
        <v>109.7</v>
      </c>
      <c r="W26">
        <v>108.7</v>
      </c>
      <c r="X26">
        <v>107.5</v>
      </c>
      <c r="Y26">
        <v>108</v>
      </c>
      <c r="Z26">
        <v>106.6</v>
      </c>
      <c r="AA26">
        <v>109.9</v>
      </c>
      <c r="AB26">
        <v>105.4</v>
      </c>
      <c r="AC26">
        <v>107.9</v>
      </c>
      <c r="AD26">
        <v>112.4</v>
      </c>
      <c r="AE26">
        <f t="shared" si="0"/>
        <v>1477.4</v>
      </c>
      <c r="AF26">
        <f t="shared" si="1"/>
        <v>109.7</v>
      </c>
      <c r="AG26">
        <f t="shared" si="2"/>
        <v>108</v>
      </c>
      <c r="AH26">
        <f t="shared" si="3"/>
        <v>109.9</v>
      </c>
      <c r="AI26">
        <f t="shared" si="4"/>
        <v>1087.3000000000002</v>
      </c>
    </row>
    <row r="27" spans="1:35" x14ac:dyDescent="0.3">
      <c r="A27" t="s">
        <v>30</v>
      </c>
      <c r="B27">
        <v>2013</v>
      </c>
      <c r="C27" t="s">
        <v>41</v>
      </c>
      <c r="D27">
        <v>115.4</v>
      </c>
      <c r="E27">
        <v>115.7</v>
      </c>
      <c r="F27">
        <v>111.7</v>
      </c>
      <c r="G27">
        <v>111</v>
      </c>
      <c r="H27">
        <v>107.4</v>
      </c>
      <c r="I27">
        <v>110.9</v>
      </c>
      <c r="J27">
        <v>154</v>
      </c>
      <c r="K27">
        <v>108.1</v>
      </c>
      <c r="L27">
        <v>104.2</v>
      </c>
      <c r="M27">
        <v>107.9</v>
      </c>
      <c r="N27">
        <v>110.4</v>
      </c>
      <c r="O27">
        <v>114</v>
      </c>
      <c r="P27">
        <v>117.8</v>
      </c>
      <c r="Q27">
        <v>111.7</v>
      </c>
      <c r="R27">
        <v>112.7</v>
      </c>
      <c r="S27">
        <v>111.4</v>
      </c>
      <c r="T27">
        <v>112.5</v>
      </c>
      <c r="U27">
        <v>109.7</v>
      </c>
      <c r="V27">
        <v>111.1</v>
      </c>
      <c r="W27">
        <v>109.6</v>
      </c>
      <c r="X27">
        <v>108.3</v>
      </c>
      <c r="Y27">
        <v>109.3</v>
      </c>
      <c r="Z27">
        <v>107.7</v>
      </c>
      <c r="AA27">
        <v>109.8</v>
      </c>
      <c r="AB27">
        <v>106.7</v>
      </c>
      <c r="AC27">
        <v>108.7</v>
      </c>
      <c r="AD27">
        <v>114.2</v>
      </c>
      <c r="AE27">
        <f t="shared" si="0"/>
        <v>1488.5000000000002</v>
      </c>
      <c r="AF27">
        <f t="shared" si="1"/>
        <v>111.1</v>
      </c>
      <c r="AG27">
        <f t="shared" si="2"/>
        <v>109.3</v>
      </c>
      <c r="AH27">
        <f t="shared" si="3"/>
        <v>109.8</v>
      </c>
      <c r="AI27">
        <f t="shared" si="4"/>
        <v>1099</v>
      </c>
    </row>
    <row r="28" spans="1:35" x14ac:dyDescent="0.3">
      <c r="A28" t="s">
        <v>32</v>
      </c>
      <c r="B28">
        <v>2013</v>
      </c>
      <c r="C28" t="s">
        <v>41</v>
      </c>
      <c r="D28">
        <v>118.6</v>
      </c>
      <c r="E28">
        <v>119.1</v>
      </c>
      <c r="F28">
        <v>113.2</v>
      </c>
      <c r="G28">
        <v>109.6</v>
      </c>
      <c r="H28">
        <v>101.7</v>
      </c>
      <c r="I28">
        <v>103.2</v>
      </c>
      <c r="J28">
        <v>174.3</v>
      </c>
      <c r="K28">
        <v>105.1</v>
      </c>
      <c r="L28">
        <v>100.8</v>
      </c>
      <c r="M28">
        <v>109.1</v>
      </c>
      <c r="N28">
        <v>111.1</v>
      </c>
      <c r="O28">
        <v>115.4</v>
      </c>
      <c r="P28">
        <v>119.2</v>
      </c>
      <c r="Q28">
        <v>112.9</v>
      </c>
      <c r="R28">
        <v>111.4</v>
      </c>
      <c r="S28">
        <v>109</v>
      </c>
      <c r="T28">
        <v>111.1</v>
      </c>
      <c r="U28">
        <v>109.7</v>
      </c>
      <c r="V28">
        <v>109.5</v>
      </c>
      <c r="W28">
        <v>109.6</v>
      </c>
      <c r="X28">
        <v>107.9</v>
      </c>
      <c r="Y28">
        <v>110.4</v>
      </c>
      <c r="Z28">
        <v>107.4</v>
      </c>
      <c r="AA28">
        <v>111.2</v>
      </c>
      <c r="AB28">
        <v>106.9</v>
      </c>
      <c r="AC28">
        <v>109.4</v>
      </c>
      <c r="AD28">
        <v>113.2</v>
      </c>
      <c r="AE28">
        <f t="shared" si="0"/>
        <v>1500.4</v>
      </c>
      <c r="AF28">
        <f t="shared" si="1"/>
        <v>109.5</v>
      </c>
      <c r="AG28">
        <f t="shared" si="2"/>
        <v>110.4</v>
      </c>
      <c r="AH28">
        <f t="shared" si="3"/>
        <v>111.2</v>
      </c>
      <c r="AI28">
        <f t="shared" si="4"/>
        <v>1095.3</v>
      </c>
    </row>
    <row r="29" spans="1:35" x14ac:dyDescent="0.3">
      <c r="A29" t="s">
        <v>33</v>
      </c>
      <c r="B29">
        <v>2013</v>
      </c>
      <c r="C29" t="s">
        <v>41</v>
      </c>
      <c r="D29">
        <v>116.4</v>
      </c>
      <c r="E29">
        <v>116.9</v>
      </c>
      <c r="F29">
        <v>112.3</v>
      </c>
      <c r="G29">
        <v>110.5</v>
      </c>
      <c r="H29">
        <v>105.3</v>
      </c>
      <c r="I29">
        <v>107.3</v>
      </c>
      <c r="J29">
        <v>160.9</v>
      </c>
      <c r="K29">
        <v>107.1</v>
      </c>
      <c r="L29">
        <v>103.1</v>
      </c>
      <c r="M29">
        <v>108.3</v>
      </c>
      <c r="N29">
        <v>110.7</v>
      </c>
      <c r="O29">
        <v>114.6</v>
      </c>
      <c r="P29">
        <v>118.3</v>
      </c>
      <c r="Q29">
        <v>112</v>
      </c>
      <c r="R29">
        <v>112.2</v>
      </c>
      <c r="S29">
        <v>110.4</v>
      </c>
      <c r="T29">
        <v>111.9</v>
      </c>
      <c r="U29">
        <v>109.7</v>
      </c>
      <c r="V29">
        <v>110.5</v>
      </c>
      <c r="W29">
        <v>109.6</v>
      </c>
      <c r="X29">
        <v>108.1</v>
      </c>
      <c r="Y29">
        <v>109.9</v>
      </c>
      <c r="Z29">
        <v>107.5</v>
      </c>
      <c r="AA29">
        <v>110.6</v>
      </c>
      <c r="AB29">
        <v>106.8</v>
      </c>
      <c r="AC29">
        <v>109</v>
      </c>
      <c r="AD29">
        <v>113.7</v>
      </c>
      <c r="AE29">
        <f t="shared" si="0"/>
        <v>1491.6999999999998</v>
      </c>
      <c r="AF29">
        <f t="shared" si="1"/>
        <v>110.5</v>
      </c>
      <c r="AG29">
        <f t="shared" si="2"/>
        <v>109.9</v>
      </c>
      <c r="AH29">
        <f t="shared" si="3"/>
        <v>110.6</v>
      </c>
      <c r="AI29">
        <f t="shared" si="4"/>
        <v>1097.2</v>
      </c>
    </row>
    <row r="30" spans="1:35" x14ac:dyDescent="0.3">
      <c r="A30" t="s">
        <v>30</v>
      </c>
      <c r="B30">
        <v>2013</v>
      </c>
      <c r="C30" t="s">
        <v>42</v>
      </c>
      <c r="D30">
        <v>116.3</v>
      </c>
      <c r="E30">
        <v>115.4</v>
      </c>
      <c r="F30">
        <v>112.6</v>
      </c>
      <c r="G30">
        <v>111.7</v>
      </c>
      <c r="H30">
        <v>107.7</v>
      </c>
      <c r="I30">
        <v>113.2</v>
      </c>
      <c r="J30">
        <v>164.9</v>
      </c>
      <c r="K30">
        <v>108.3</v>
      </c>
      <c r="L30">
        <v>103.9</v>
      </c>
      <c r="M30">
        <v>108.2</v>
      </c>
      <c r="N30">
        <v>111.1</v>
      </c>
      <c r="O30">
        <v>114.9</v>
      </c>
      <c r="P30">
        <v>119.8</v>
      </c>
      <c r="Q30">
        <v>112.2</v>
      </c>
      <c r="R30">
        <v>113.6</v>
      </c>
      <c r="S30">
        <v>112.3</v>
      </c>
      <c r="T30">
        <v>113.4</v>
      </c>
      <c r="U30">
        <v>110.5</v>
      </c>
      <c r="V30">
        <v>111.6</v>
      </c>
      <c r="W30">
        <v>110.4</v>
      </c>
      <c r="X30">
        <v>108.9</v>
      </c>
      <c r="Y30">
        <v>109.3</v>
      </c>
      <c r="Z30">
        <v>108.3</v>
      </c>
      <c r="AA30">
        <v>110.2</v>
      </c>
      <c r="AB30">
        <v>107.5</v>
      </c>
      <c r="AC30">
        <v>109.1</v>
      </c>
      <c r="AD30">
        <v>115.5</v>
      </c>
      <c r="AE30">
        <f t="shared" si="0"/>
        <v>1508</v>
      </c>
      <c r="AF30">
        <f t="shared" si="1"/>
        <v>111.6</v>
      </c>
      <c r="AG30">
        <f t="shared" si="2"/>
        <v>109.3</v>
      </c>
      <c r="AH30">
        <f t="shared" si="3"/>
        <v>110.2</v>
      </c>
      <c r="AI30">
        <f t="shared" si="4"/>
        <v>1106.1999999999998</v>
      </c>
    </row>
    <row r="31" spans="1:35" x14ac:dyDescent="0.3">
      <c r="A31" t="s">
        <v>32</v>
      </c>
      <c r="B31">
        <v>2013</v>
      </c>
      <c r="C31" t="s">
        <v>42</v>
      </c>
      <c r="D31">
        <v>118.9</v>
      </c>
      <c r="E31">
        <v>118.1</v>
      </c>
      <c r="F31">
        <v>114.5</v>
      </c>
      <c r="G31">
        <v>110.4</v>
      </c>
      <c r="H31">
        <v>102.3</v>
      </c>
      <c r="I31">
        <v>106.2</v>
      </c>
      <c r="J31">
        <v>183.5</v>
      </c>
      <c r="K31">
        <v>105.3</v>
      </c>
      <c r="L31">
        <v>100.2</v>
      </c>
      <c r="M31">
        <v>109.6</v>
      </c>
      <c r="N31">
        <v>111.4</v>
      </c>
      <c r="O31">
        <v>116</v>
      </c>
      <c r="P31">
        <v>120.8</v>
      </c>
      <c r="Q31">
        <v>113.5</v>
      </c>
      <c r="R31">
        <v>112.5</v>
      </c>
      <c r="S31">
        <v>109.7</v>
      </c>
      <c r="T31">
        <v>112</v>
      </c>
      <c r="U31">
        <v>110.5</v>
      </c>
      <c r="V31">
        <v>109.7</v>
      </c>
      <c r="W31">
        <v>110.2</v>
      </c>
      <c r="X31">
        <v>108.2</v>
      </c>
      <c r="Y31">
        <v>109.7</v>
      </c>
      <c r="Z31">
        <v>108</v>
      </c>
      <c r="AA31">
        <v>111.3</v>
      </c>
      <c r="AB31">
        <v>107.3</v>
      </c>
      <c r="AC31">
        <v>109.4</v>
      </c>
      <c r="AD31">
        <v>114</v>
      </c>
      <c r="AE31">
        <f t="shared" si="0"/>
        <v>1517.1999999999998</v>
      </c>
      <c r="AF31">
        <f t="shared" si="1"/>
        <v>109.7</v>
      </c>
      <c r="AG31">
        <f t="shared" si="2"/>
        <v>109.7</v>
      </c>
      <c r="AH31">
        <f t="shared" si="3"/>
        <v>111.3</v>
      </c>
      <c r="AI31">
        <f t="shared" si="4"/>
        <v>1101.3000000000002</v>
      </c>
    </row>
    <row r="32" spans="1:35" x14ac:dyDescent="0.3">
      <c r="A32" t="s">
        <v>33</v>
      </c>
      <c r="B32">
        <v>2013</v>
      </c>
      <c r="C32" t="s">
        <v>42</v>
      </c>
      <c r="D32">
        <v>117.1</v>
      </c>
      <c r="E32">
        <v>116.3</v>
      </c>
      <c r="F32">
        <v>113.3</v>
      </c>
      <c r="G32">
        <v>111.2</v>
      </c>
      <c r="H32">
        <v>105.7</v>
      </c>
      <c r="I32">
        <v>109.9</v>
      </c>
      <c r="J32">
        <v>171.2</v>
      </c>
      <c r="K32">
        <v>107.3</v>
      </c>
      <c r="L32">
        <v>102.7</v>
      </c>
      <c r="M32">
        <v>108.7</v>
      </c>
      <c r="N32">
        <v>111.2</v>
      </c>
      <c r="O32">
        <v>115.4</v>
      </c>
      <c r="P32">
        <v>120.2</v>
      </c>
      <c r="Q32">
        <v>112.5</v>
      </c>
      <c r="R32">
        <v>113.2</v>
      </c>
      <c r="S32">
        <v>111.2</v>
      </c>
      <c r="T32">
        <v>112.8</v>
      </c>
      <c r="U32">
        <v>110.5</v>
      </c>
      <c r="V32">
        <v>110.9</v>
      </c>
      <c r="W32">
        <v>110.3</v>
      </c>
      <c r="X32">
        <v>108.6</v>
      </c>
      <c r="Y32">
        <v>109.5</v>
      </c>
      <c r="Z32">
        <v>108.1</v>
      </c>
      <c r="AA32">
        <v>110.8</v>
      </c>
      <c r="AB32">
        <v>107.4</v>
      </c>
      <c r="AC32">
        <v>109.2</v>
      </c>
      <c r="AD32">
        <v>114.8</v>
      </c>
      <c r="AE32">
        <f t="shared" si="0"/>
        <v>1510.2000000000003</v>
      </c>
      <c r="AF32">
        <f t="shared" si="1"/>
        <v>110.9</v>
      </c>
      <c r="AG32">
        <f t="shared" si="2"/>
        <v>109.5</v>
      </c>
      <c r="AH32">
        <f t="shared" si="3"/>
        <v>110.8</v>
      </c>
      <c r="AI32">
        <f t="shared" si="4"/>
        <v>1103.8</v>
      </c>
    </row>
    <row r="33" spans="1:35" x14ac:dyDescent="0.3">
      <c r="A33" t="s">
        <v>30</v>
      </c>
      <c r="B33">
        <v>2013</v>
      </c>
      <c r="C33" t="s">
        <v>43</v>
      </c>
      <c r="D33">
        <v>117.3</v>
      </c>
      <c r="E33">
        <v>114.9</v>
      </c>
      <c r="F33">
        <v>116.2</v>
      </c>
      <c r="G33">
        <v>112.8</v>
      </c>
      <c r="H33">
        <v>108.9</v>
      </c>
      <c r="I33">
        <v>116.6</v>
      </c>
      <c r="J33">
        <v>178.1</v>
      </c>
      <c r="K33">
        <v>109.1</v>
      </c>
      <c r="L33">
        <v>103.6</v>
      </c>
      <c r="M33">
        <v>109</v>
      </c>
      <c r="N33">
        <v>111.8</v>
      </c>
      <c r="O33">
        <v>116</v>
      </c>
      <c r="P33">
        <v>122.5</v>
      </c>
      <c r="Q33">
        <v>112.8</v>
      </c>
      <c r="R33">
        <v>114.6</v>
      </c>
      <c r="S33">
        <v>113.1</v>
      </c>
      <c r="T33">
        <v>114.4</v>
      </c>
      <c r="U33">
        <v>111.1</v>
      </c>
      <c r="V33">
        <v>112.6</v>
      </c>
      <c r="W33">
        <v>111.3</v>
      </c>
      <c r="X33">
        <v>109.7</v>
      </c>
      <c r="Y33">
        <v>109.6</v>
      </c>
      <c r="Z33">
        <v>108.7</v>
      </c>
      <c r="AA33">
        <v>111</v>
      </c>
      <c r="AB33">
        <v>108.2</v>
      </c>
      <c r="AC33">
        <v>109.8</v>
      </c>
      <c r="AD33">
        <v>117.4</v>
      </c>
      <c r="AE33">
        <f t="shared" si="0"/>
        <v>1536.8</v>
      </c>
      <c r="AF33">
        <f t="shared" si="1"/>
        <v>112.6</v>
      </c>
      <c r="AG33">
        <f t="shared" si="2"/>
        <v>109.6</v>
      </c>
      <c r="AH33">
        <f t="shared" si="3"/>
        <v>111</v>
      </c>
      <c r="AI33">
        <f t="shared" si="4"/>
        <v>1113.7</v>
      </c>
    </row>
    <row r="34" spans="1:35" x14ac:dyDescent="0.3">
      <c r="A34" t="s">
        <v>32</v>
      </c>
      <c r="B34">
        <v>2013</v>
      </c>
      <c r="C34" t="s">
        <v>44</v>
      </c>
      <c r="D34">
        <v>119.8</v>
      </c>
      <c r="E34">
        <v>116.3</v>
      </c>
      <c r="F34">
        <v>122.6</v>
      </c>
      <c r="G34">
        <v>112</v>
      </c>
      <c r="H34">
        <v>103.2</v>
      </c>
      <c r="I34">
        <v>110</v>
      </c>
      <c r="J34">
        <v>192.8</v>
      </c>
      <c r="K34">
        <v>106.3</v>
      </c>
      <c r="L34">
        <v>99.5</v>
      </c>
      <c r="M34">
        <v>110.3</v>
      </c>
      <c r="N34">
        <v>111.8</v>
      </c>
      <c r="O34">
        <v>117.1</v>
      </c>
      <c r="P34">
        <v>122.9</v>
      </c>
      <c r="Q34">
        <v>114.1</v>
      </c>
      <c r="R34">
        <v>113.5</v>
      </c>
      <c r="S34">
        <v>110.3</v>
      </c>
      <c r="T34">
        <v>113</v>
      </c>
      <c r="U34">
        <v>111.1</v>
      </c>
      <c r="V34">
        <v>110</v>
      </c>
      <c r="W34">
        <v>110.9</v>
      </c>
      <c r="X34">
        <v>108.6</v>
      </c>
      <c r="Y34">
        <v>109.5</v>
      </c>
      <c r="Z34">
        <v>108.5</v>
      </c>
      <c r="AA34">
        <v>111.3</v>
      </c>
      <c r="AB34">
        <v>107.9</v>
      </c>
      <c r="AC34">
        <v>109.6</v>
      </c>
      <c r="AD34">
        <v>115</v>
      </c>
      <c r="AE34">
        <f t="shared" si="0"/>
        <v>1544.6</v>
      </c>
      <c r="AF34">
        <f t="shared" si="1"/>
        <v>110</v>
      </c>
      <c r="AG34">
        <f t="shared" si="2"/>
        <v>109.5</v>
      </c>
      <c r="AH34">
        <f t="shared" si="3"/>
        <v>111.3</v>
      </c>
      <c r="AI34">
        <f t="shared" si="4"/>
        <v>1107.5</v>
      </c>
    </row>
    <row r="35" spans="1:35" x14ac:dyDescent="0.3">
      <c r="A35" t="s">
        <v>33</v>
      </c>
      <c r="B35">
        <v>2013</v>
      </c>
      <c r="C35" t="s">
        <v>44</v>
      </c>
      <c r="D35">
        <v>118.1</v>
      </c>
      <c r="E35">
        <v>115.4</v>
      </c>
      <c r="F35">
        <v>118.7</v>
      </c>
      <c r="G35">
        <v>112.5</v>
      </c>
      <c r="H35">
        <v>106.8</v>
      </c>
      <c r="I35">
        <v>113.5</v>
      </c>
      <c r="J35">
        <v>183.1</v>
      </c>
      <c r="K35">
        <v>108.2</v>
      </c>
      <c r="L35">
        <v>102.2</v>
      </c>
      <c r="M35">
        <v>109.4</v>
      </c>
      <c r="N35">
        <v>111.8</v>
      </c>
      <c r="O35">
        <v>116.5</v>
      </c>
      <c r="P35">
        <v>122.6</v>
      </c>
      <c r="Q35">
        <v>113.1</v>
      </c>
      <c r="R35">
        <v>114.2</v>
      </c>
      <c r="S35">
        <v>111.9</v>
      </c>
      <c r="T35">
        <v>113.8</v>
      </c>
      <c r="U35">
        <v>111.1</v>
      </c>
      <c r="V35">
        <v>111.6</v>
      </c>
      <c r="W35">
        <v>111.1</v>
      </c>
      <c r="X35">
        <v>109.3</v>
      </c>
      <c r="Y35">
        <v>109.5</v>
      </c>
      <c r="Z35">
        <v>108.6</v>
      </c>
      <c r="AA35">
        <v>111.2</v>
      </c>
      <c r="AB35">
        <v>108.1</v>
      </c>
      <c r="AC35">
        <v>109.7</v>
      </c>
      <c r="AD35">
        <v>116.3</v>
      </c>
      <c r="AE35">
        <f t="shared" si="0"/>
        <v>1538.8</v>
      </c>
      <c r="AF35">
        <f t="shared" si="1"/>
        <v>111.6</v>
      </c>
      <c r="AG35">
        <f t="shared" si="2"/>
        <v>109.5</v>
      </c>
      <c r="AH35">
        <f t="shared" si="3"/>
        <v>111.2</v>
      </c>
      <c r="AI35">
        <f t="shared" si="4"/>
        <v>1110.9000000000001</v>
      </c>
    </row>
    <row r="36" spans="1:35" x14ac:dyDescent="0.3">
      <c r="A36" t="s">
        <v>30</v>
      </c>
      <c r="B36">
        <v>2013</v>
      </c>
      <c r="C36" t="s">
        <v>45</v>
      </c>
      <c r="D36">
        <v>118.4</v>
      </c>
      <c r="E36">
        <v>115.9</v>
      </c>
      <c r="F36">
        <v>120.4</v>
      </c>
      <c r="G36">
        <v>113.8</v>
      </c>
      <c r="H36">
        <v>109.5</v>
      </c>
      <c r="I36">
        <v>115.5</v>
      </c>
      <c r="J36">
        <v>145.69999999999999</v>
      </c>
      <c r="K36">
        <v>109.5</v>
      </c>
      <c r="L36">
        <v>102.9</v>
      </c>
      <c r="M36">
        <v>109.8</v>
      </c>
      <c r="N36">
        <v>112.1</v>
      </c>
      <c r="O36">
        <v>116.8</v>
      </c>
      <c r="P36">
        <v>118.7</v>
      </c>
      <c r="Q36">
        <v>113.6</v>
      </c>
      <c r="R36">
        <v>115.8</v>
      </c>
      <c r="S36">
        <v>114</v>
      </c>
      <c r="T36">
        <v>115.5</v>
      </c>
      <c r="U36">
        <v>110.7</v>
      </c>
      <c r="V36">
        <v>112.8</v>
      </c>
      <c r="W36">
        <v>112.1</v>
      </c>
      <c r="X36">
        <v>110.1</v>
      </c>
      <c r="Y36">
        <v>109.9</v>
      </c>
      <c r="Z36">
        <v>109.2</v>
      </c>
      <c r="AA36">
        <v>111.6</v>
      </c>
      <c r="AB36">
        <v>108.1</v>
      </c>
      <c r="AC36">
        <v>110.1</v>
      </c>
      <c r="AD36">
        <v>115.5</v>
      </c>
      <c r="AE36">
        <f t="shared" si="0"/>
        <v>1509</v>
      </c>
      <c r="AF36">
        <f t="shared" si="1"/>
        <v>112.8</v>
      </c>
      <c r="AG36">
        <f t="shared" si="2"/>
        <v>109.9</v>
      </c>
      <c r="AH36">
        <f t="shared" si="3"/>
        <v>111.6</v>
      </c>
      <c r="AI36">
        <f t="shared" si="4"/>
        <v>1119.2</v>
      </c>
    </row>
    <row r="37" spans="1:35" x14ac:dyDescent="0.3">
      <c r="A37" t="s">
        <v>32</v>
      </c>
      <c r="B37">
        <v>2013</v>
      </c>
      <c r="C37" t="s">
        <v>45</v>
      </c>
      <c r="D37">
        <v>120.5</v>
      </c>
      <c r="E37">
        <v>118.1</v>
      </c>
      <c r="F37">
        <v>128.5</v>
      </c>
      <c r="G37">
        <v>112.8</v>
      </c>
      <c r="H37">
        <v>103.4</v>
      </c>
      <c r="I37">
        <v>110.7</v>
      </c>
      <c r="J37">
        <v>144.80000000000001</v>
      </c>
      <c r="K37">
        <v>107.1</v>
      </c>
      <c r="L37">
        <v>98.6</v>
      </c>
      <c r="M37">
        <v>111.9</v>
      </c>
      <c r="N37">
        <v>112.1</v>
      </c>
      <c r="O37">
        <v>118.1</v>
      </c>
      <c r="P37">
        <v>117.8</v>
      </c>
      <c r="Q37">
        <v>115</v>
      </c>
      <c r="R37">
        <v>114.2</v>
      </c>
      <c r="S37">
        <v>110.9</v>
      </c>
      <c r="T37">
        <v>113.7</v>
      </c>
      <c r="U37">
        <v>110.7</v>
      </c>
      <c r="V37">
        <v>110.4</v>
      </c>
      <c r="W37">
        <v>111.3</v>
      </c>
      <c r="X37">
        <v>109</v>
      </c>
      <c r="Y37">
        <v>109.7</v>
      </c>
      <c r="Z37">
        <v>108.9</v>
      </c>
      <c r="AA37">
        <v>111.4</v>
      </c>
      <c r="AB37">
        <v>107.7</v>
      </c>
      <c r="AC37">
        <v>109.8</v>
      </c>
      <c r="AD37">
        <v>113.3</v>
      </c>
      <c r="AE37">
        <f t="shared" si="0"/>
        <v>1504.4</v>
      </c>
      <c r="AF37">
        <f t="shared" si="1"/>
        <v>110.4</v>
      </c>
      <c r="AG37">
        <f t="shared" si="2"/>
        <v>109.7</v>
      </c>
      <c r="AH37">
        <f t="shared" si="3"/>
        <v>111.4</v>
      </c>
      <c r="AI37">
        <f t="shared" si="4"/>
        <v>1111.2</v>
      </c>
    </row>
    <row r="38" spans="1:35" x14ac:dyDescent="0.3">
      <c r="A38" t="s">
        <v>33</v>
      </c>
      <c r="B38">
        <v>2013</v>
      </c>
      <c r="C38" t="s">
        <v>45</v>
      </c>
      <c r="D38">
        <v>119.1</v>
      </c>
      <c r="E38">
        <v>116.7</v>
      </c>
      <c r="F38">
        <v>123.5</v>
      </c>
      <c r="G38">
        <v>113.4</v>
      </c>
      <c r="H38">
        <v>107.3</v>
      </c>
      <c r="I38">
        <v>113.3</v>
      </c>
      <c r="J38">
        <v>145.4</v>
      </c>
      <c r="K38">
        <v>108.7</v>
      </c>
      <c r="L38">
        <v>101.5</v>
      </c>
      <c r="M38">
        <v>110.5</v>
      </c>
      <c r="N38">
        <v>112.1</v>
      </c>
      <c r="O38">
        <v>117.4</v>
      </c>
      <c r="P38">
        <v>118.4</v>
      </c>
      <c r="Q38">
        <v>114</v>
      </c>
      <c r="R38">
        <v>115.2</v>
      </c>
      <c r="S38">
        <v>112.7</v>
      </c>
      <c r="T38">
        <v>114.8</v>
      </c>
      <c r="U38">
        <v>110.7</v>
      </c>
      <c r="V38">
        <v>111.9</v>
      </c>
      <c r="W38">
        <v>111.7</v>
      </c>
      <c r="X38">
        <v>109.7</v>
      </c>
      <c r="Y38">
        <v>109.8</v>
      </c>
      <c r="Z38">
        <v>109</v>
      </c>
      <c r="AA38">
        <v>111.5</v>
      </c>
      <c r="AB38">
        <v>107.9</v>
      </c>
      <c r="AC38">
        <v>110</v>
      </c>
      <c r="AD38">
        <v>114.5</v>
      </c>
      <c r="AE38">
        <f t="shared" si="0"/>
        <v>1507.3000000000002</v>
      </c>
      <c r="AF38">
        <f t="shared" si="1"/>
        <v>111.9</v>
      </c>
      <c r="AG38">
        <f t="shared" si="2"/>
        <v>109.8</v>
      </c>
      <c r="AH38">
        <f t="shared" si="3"/>
        <v>111.5</v>
      </c>
      <c r="AI38">
        <f t="shared" si="4"/>
        <v>1115.7</v>
      </c>
    </row>
    <row r="39" spans="1:35" x14ac:dyDescent="0.3">
      <c r="A39" t="s">
        <v>30</v>
      </c>
      <c r="B39">
        <v>2014</v>
      </c>
      <c r="C39" t="s">
        <v>31</v>
      </c>
      <c r="D39">
        <v>118.9</v>
      </c>
      <c r="E39">
        <v>117.1</v>
      </c>
      <c r="F39">
        <v>120.5</v>
      </c>
      <c r="G39">
        <v>114.4</v>
      </c>
      <c r="H39">
        <v>109</v>
      </c>
      <c r="I39">
        <v>115.5</v>
      </c>
      <c r="J39">
        <v>123.9</v>
      </c>
      <c r="K39">
        <v>109.6</v>
      </c>
      <c r="L39">
        <v>101.8</v>
      </c>
      <c r="M39">
        <v>110.2</v>
      </c>
      <c r="N39">
        <v>112.4</v>
      </c>
      <c r="O39">
        <v>117.3</v>
      </c>
      <c r="P39">
        <v>116</v>
      </c>
      <c r="Q39">
        <v>114</v>
      </c>
      <c r="R39">
        <v>116.5</v>
      </c>
      <c r="S39">
        <v>114.5</v>
      </c>
      <c r="T39">
        <v>116.2</v>
      </c>
      <c r="U39">
        <v>111.6</v>
      </c>
      <c r="V39">
        <v>113</v>
      </c>
      <c r="W39">
        <v>112.6</v>
      </c>
      <c r="X39">
        <v>110.6</v>
      </c>
      <c r="Y39">
        <v>110.5</v>
      </c>
      <c r="Z39">
        <v>109.6</v>
      </c>
      <c r="AA39">
        <v>111.8</v>
      </c>
      <c r="AB39">
        <v>108.3</v>
      </c>
      <c r="AC39">
        <v>110.6</v>
      </c>
      <c r="AD39">
        <v>114.2</v>
      </c>
      <c r="AE39">
        <f t="shared" si="0"/>
        <v>1486.6000000000001</v>
      </c>
      <c r="AF39">
        <f t="shared" si="1"/>
        <v>113</v>
      </c>
      <c r="AG39">
        <f t="shared" si="2"/>
        <v>110.5</v>
      </c>
      <c r="AH39">
        <f t="shared" si="3"/>
        <v>111.8</v>
      </c>
      <c r="AI39">
        <f t="shared" si="4"/>
        <v>1124.5</v>
      </c>
    </row>
    <row r="40" spans="1:35" x14ac:dyDescent="0.3">
      <c r="A40" t="s">
        <v>32</v>
      </c>
      <c r="B40">
        <v>2014</v>
      </c>
      <c r="C40" t="s">
        <v>31</v>
      </c>
      <c r="D40">
        <v>121.2</v>
      </c>
      <c r="E40">
        <v>122</v>
      </c>
      <c r="F40">
        <v>129.9</v>
      </c>
      <c r="G40">
        <v>113.6</v>
      </c>
      <c r="H40">
        <v>102.9</v>
      </c>
      <c r="I40">
        <v>112.1</v>
      </c>
      <c r="J40">
        <v>118.9</v>
      </c>
      <c r="K40">
        <v>107.5</v>
      </c>
      <c r="L40">
        <v>96.9</v>
      </c>
      <c r="M40">
        <v>112.7</v>
      </c>
      <c r="N40">
        <v>112.1</v>
      </c>
      <c r="O40">
        <v>119</v>
      </c>
      <c r="P40">
        <v>115.5</v>
      </c>
      <c r="Q40">
        <v>115.7</v>
      </c>
      <c r="R40">
        <v>114.8</v>
      </c>
      <c r="S40">
        <v>111.3</v>
      </c>
      <c r="T40">
        <v>114.3</v>
      </c>
      <c r="U40">
        <v>111.6</v>
      </c>
      <c r="V40">
        <v>111</v>
      </c>
      <c r="W40">
        <v>111.9</v>
      </c>
      <c r="X40">
        <v>109.7</v>
      </c>
      <c r="Y40">
        <v>110.8</v>
      </c>
      <c r="Z40">
        <v>109.8</v>
      </c>
      <c r="AA40">
        <v>111.5</v>
      </c>
      <c r="AB40">
        <v>108</v>
      </c>
      <c r="AC40">
        <v>110.5</v>
      </c>
      <c r="AD40">
        <v>112.9</v>
      </c>
      <c r="AE40">
        <f t="shared" si="0"/>
        <v>1484.3</v>
      </c>
      <c r="AF40">
        <f t="shared" si="1"/>
        <v>111</v>
      </c>
      <c r="AG40">
        <f t="shared" si="2"/>
        <v>110.8</v>
      </c>
      <c r="AH40">
        <f t="shared" si="3"/>
        <v>111.5</v>
      </c>
      <c r="AI40">
        <f t="shared" si="4"/>
        <v>1117.5999999999999</v>
      </c>
    </row>
    <row r="41" spans="1:35" x14ac:dyDescent="0.3">
      <c r="A41" t="s">
        <v>33</v>
      </c>
      <c r="B41">
        <v>2014</v>
      </c>
      <c r="C41" t="s">
        <v>31</v>
      </c>
      <c r="D41">
        <v>119.6</v>
      </c>
      <c r="E41">
        <v>118.8</v>
      </c>
      <c r="F41">
        <v>124.1</v>
      </c>
      <c r="G41">
        <v>114.1</v>
      </c>
      <c r="H41">
        <v>106.8</v>
      </c>
      <c r="I41">
        <v>113.9</v>
      </c>
      <c r="J41">
        <v>122.2</v>
      </c>
      <c r="K41">
        <v>108.9</v>
      </c>
      <c r="L41">
        <v>100.2</v>
      </c>
      <c r="M41">
        <v>111</v>
      </c>
      <c r="N41">
        <v>112.3</v>
      </c>
      <c r="O41">
        <v>118.1</v>
      </c>
      <c r="P41">
        <v>115.8</v>
      </c>
      <c r="Q41">
        <v>114.5</v>
      </c>
      <c r="R41">
        <v>115.8</v>
      </c>
      <c r="S41">
        <v>113.2</v>
      </c>
      <c r="T41">
        <v>115.4</v>
      </c>
      <c r="U41">
        <v>111.6</v>
      </c>
      <c r="V41">
        <v>112.2</v>
      </c>
      <c r="W41">
        <v>112.3</v>
      </c>
      <c r="X41">
        <v>110.3</v>
      </c>
      <c r="Y41">
        <v>110.7</v>
      </c>
      <c r="Z41">
        <v>109.7</v>
      </c>
      <c r="AA41">
        <v>111.6</v>
      </c>
      <c r="AB41">
        <v>108.2</v>
      </c>
      <c r="AC41">
        <v>110.6</v>
      </c>
      <c r="AD41">
        <v>113.6</v>
      </c>
      <c r="AE41">
        <f t="shared" si="0"/>
        <v>1485.7999999999997</v>
      </c>
      <c r="AF41">
        <f t="shared" si="1"/>
        <v>112.2</v>
      </c>
      <c r="AG41">
        <f t="shared" si="2"/>
        <v>110.7</v>
      </c>
      <c r="AH41">
        <f t="shared" si="3"/>
        <v>111.6</v>
      </c>
      <c r="AI41">
        <f t="shared" si="4"/>
        <v>1121.5999999999999</v>
      </c>
    </row>
    <row r="42" spans="1:35" x14ac:dyDescent="0.3">
      <c r="A42" t="s">
        <v>30</v>
      </c>
      <c r="B42">
        <v>2014</v>
      </c>
      <c r="C42" t="s">
        <v>34</v>
      </c>
      <c r="D42">
        <v>119.4</v>
      </c>
      <c r="E42">
        <v>117.7</v>
      </c>
      <c r="F42">
        <v>121.2</v>
      </c>
      <c r="G42">
        <v>115</v>
      </c>
      <c r="H42">
        <v>109</v>
      </c>
      <c r="I42">
        <v>116.6</v>
      </c>
      <c r="J42">
        <v>116</v>
      </c>
      <c r="K42">
        <v>109.8</v>
      </c>
      <c r="L42">
        <v>101.1</v>
      </c>
      <c r="M42">
        <v>110.4</v>
      </c>
      <c r="N42">
        <v>112.9</v>
      </c>
      <c r="O42">
        <v>117.8</v>
      </c>
      <c r="P42">
        <v>115.3</v>
      </c>
      <c r="Q42">
        <v>114.2</v>
      </c>
      <c r="R42">
        <v>117.1</v>
      </c>
      <c r="S42">
        <v>114.5</v>
      </c>
      <c r="T42">
        <v>116.7</v>
      </c>
      <c r="U42">
        <v>112.5</v>
      </c>
      <c r="V42">
        <v>113.2</v>
      </c>
      <c r="W42">
        <v>112.9</v>
      </c>
      <c r="X42">
        <v>110.9</v>
      </c>
      <c r="Y42">
        <v>110.8</v>
      </c>
      <c r="Z42">
        <v>109.9</v>
      </c>
      <c r="AA42">
        <v>112</v>
      </c>
      <c r="AB42">
        <v>108.7</v>
      </c>
      <c r="AC42">
        <v>110.9</v>
      </c>
      <c r="AD42">
        <v>114</v>
      </c>
      <c r="AE42">
        <f t="shared" si="0"/>
        <v>1482.2</v>
      </c>
      <c r="AF42">
        <f t="shared" si="1"/>
        <v>113.2</v>
      </c>
      <c r="AG42">
        <f t="shared" si="2"/>
        <v>110.8</v>
      </c>
      <c r="AH42">
        <f t="shared" si="3"/>
        <v>112</v>
      </c>
      <c r="AI42">
        <f t="shared" si="4"/>
        <v>1128.3</v>
      </c>
    </row>
    <row r="43" spans="1:35" x14ac:dyDescent="0.3">
      <c r="A43" t="s">
        <v>32</v>
      </c>
      <c r="B43">
        <v>2014</v>
      </c>
      <c r="C43" t="s">
        <v>34</v>
      </c>
      <c r="D43">
        <v>121.9</v>
      </c>
      <c r="E43">
        <v>122</v>
      </c>
      <c r="F43">
        <v>124.5</v>
      </c>
      <c r="G43">
        <v>115.2</v>
      </c>
      <c r="H43">
        <v>102.5</v>
      </c>
      <c r="I43">
        <v>114.1</v>
      </c>
      <c r="J43">
        <v>111.5</v>
      </c>
      <c r="K43">
        <v>108.2</v>
      </c>
      <c r="L43">
        <v>95.4</v>
      </c>
      <c r="M43">
        <v>113.5</v>
      </c>
      <c r="N43">
        <v>112.1</v>
      </c>
      <c r="O43">
        <v>119.9</v>
      </c>
      <c r="P43">
        <v>115.2</v>
      </c>
      <c r="Q43">
        <v>116.2</v>
      </c>
      <c r="R43">
        <v>115.3</v>
      </c>
      <c r="S43">
        <v>111.7</v>
      </c>
      <c r="T43">
        <v>114.7</v>
      </c>
      <c r="U43">
        <v>112.5</v>
      </c>
      <c r="V43">
        <v>111.1</v>
      </c>
      <c r="W43">
        <v>112.6</v>
      </c>
      <c r="X43">
        <v>110.4</v>
      </c>
      <c r="Y43">
        <v>111.3</v>
      </c>
      <c r="Z43">
        <v>110.3</v>
      </c>
      <c r="AA43">
        <v>111.6</v>
      </c>
      <c r="AB43">
        <v>108.7</v>
      </c>
      <c r="AC43">
        <v>111</v>
      </c>
      <c r="AD43">
        <v>113.1</v>
      </c>
      <c r="AE43">
        <f t="shared" si="0"/>
        <v>1476</v>
      </c>
      <c r="AF43">
        <f t="shared" si="1"/>
        <v>111.1</v>
      </c>
      <c r="AG43">
        <f t="shared" si="2"/>
        <v>111.3</v>
      </c>
      <c r="AH43">
        <f t="shared" si="3"/>
        <v>111.6</v>
      </c>
      <c r="AI43">
        <f t="shared" si="4"/>
        <v>1123.4000000000001</v>
      </c>
    </row>
    <row r="44" spans="1:35" x14ac:dyDescent="0.3">
      <c r="A44" t="s">
        <v>33</v>
      </c>
      <c r="B44">
        <v>2014</v>
      </c>
      <c r="C44" t="s">
        <v>34</v>
      </c>
      <c r="D44">
        <v>120.2</v>
      </c>
      <c r="E44">
        <v>119.2</v>
      </c>
      <c r="F44">
        <v>122.5</v>
      </c>
      <c r="G44">
        <v>115.1</v>
      </c>
      <c r="H44">
        <v>106.6</v>
      </c>
      <c r="I44">
        <v>115.4</v>
      </c>
      <c r="J44">
        <v>114.5</v>
      </c>
      <c r="K44">
        <v>109.3</v>
      </c>
      <c r="L44">
        <v>99.2</v>
      </c>
      <c r="M44">
        <v>111.4</v>
      </c>
      <c r="N44">
        <v>112.6</v>
      </c>
      <c r="O44">
        <v>118.8</v>
      </c>
      <c r="P44">
        <v>115.3</v>
      </c>
      <c r="Q44">
        <v>114.7</v>
      </c>
      <c r="R44">
        <v>116.4</v>
      </c>
      <c r="S44">
        <v>113.3</v>
      </c>
      <c r="T44">
        <v>115.9</v>
      </c>
      <c r="U44">
        <v>112.5</v>
      </c>
      <c r="V44">
        <v>112.4</v>
      </c>
      <c r="W44">
        <v>112.8</v>
      </c>
      <c r="X44">
        <v>110.7</v>
      </c>
      <c r="Y44">
        <v>111.1</v>
      </c>
      <c r="Z44">
        <v>110.1</v>
      </c>
      <c r="AA44">
        <v>111.8</v>
      </c>
      <c r="AB44">
        <v>108.7</v>
      </c>
      <c r="AC44">
        <v>110.9</v>
      </c>
      <c r="AD44">
        <v>113.6</v>
      </c>
      <c r="AE44">
        <f t="shared" si="0"/>
        <v>1480.1</v>
      </c>
      <c r="AF44">
        <f t="shared" si="1"/>
        <v>112.4</v>
      </c>
      <c r="AG44">
        <f t="shared" si="2"/>
        <v>111.1</v>
      </c>
      <c r="AH44">
        <f t="shared" si="3"/>
        <v>111.8</v>
      </c>
      <c r="AI44">
        <f t="shared" si="4"/>
        <v>1126.0000000000002</v>
      </c>
    </row>
    <row r="45" spans="1:35" x14ac:dyDescent="0.3">
      <c r="A45" t="s">
        <v>30</v>
      </c>
      <c r="B45">
        <v>2014</v>
      </c>
      <c r="C45" t="s">
        <v>35</v>
      </c>
      <c r="D45">
        <v>120.1</v>
      </c>
      <c r="E45">
        <v>118.1</v>
      </c>
      <c r="F45">
        <v>120.7</v>
      </c>
      <c r="G45">
        <v>116.1</v>
      </c>
      <c r="H45">
        <v>109.3</v>
      </c>
      <c r="I45">
        <v>119.6</v>
      </c>
      <c r="J45">
        <v>117.9</v>
      </c>
      <c r="K45">
        <v>110.2</v>
      </c>
      <c r="L45">
        <v>101.2</v>
      </c>
      <c r="M45">
        <v>110.7</v>
      </c>
      <c r="N45">
        <v>113</v>
      </c>
      <c r="O45">
        <v>118.3</v>
      </c>
      <c r="P45">
        <v>116.2</v>
      </c>
      <c r="Q45">
        <v>114.6</v>
      </c>
      <c r="R45">
        <v>117.5</v>
      </c>
      <c r="S45">
        <v>114.9</v>
      </c>
      <c r="T45">
        <v>117.2</v>
      </c>
      <c r="U45">
        <v>113.2</v>
      </c>
      <c r="V45">
        <v>113.4</v>
      </c>
      <c r="W45">
        <v>113.4</v>
      </c>
      <c r="X45">
        <v>111.4</v>
      </c>
      <c r="Y45">
        <v>111.2</v>
      </c>
      <c r="Z45">
        <v>110.2</v>
      </c>
      <c r="AA45">
        <v>112.4</v>
      </c>
      <c r="AB45">
        <v>108.9</v>
      </c>
      <c r="AC45">
        <v>111.3</v>
      </c>
      <c r="AD45">
        <v>114.6</v>
      </c>
      <c r="AE45">
        <f t="shared" si="0"/>
        <v>1491.4</v>
      </c>
      <c r="AF45">
        <f t="shared" si="1"/>
        <v>113.4</v>
      </c>
      <c r="AG45">
        <f t="shared" si="2"/>
        <v>111.2</v>
      </c>
      <c r="AH45">
        <f t="shared" si="3"/>
        <v>112.4</v>
      </c>
      <c r="AI45">
        <f t="shared" si="4"/>
        <v>1132.5999999999999</v>
      </c>
    </row>
    <row r="46" spans="1:35" x14ac:dyDescent="0.3">
      <c r="A46" t="s">
        <v>32</v>
      </c>
      <c r="B46">
        <v>2014</v>
      </c>
      <c r="C46" t="s">
        <v>35</v>
      </c>
      <c r="D46">
        <v>122.1</v>
      </c>
      <c r="E46">
        <v>121.4</v>
      </c>
      <c r="F46">
        <v>121.5</v>
      </c>
      <c r="G46">
        <v>116.2</v>
      </c>
      <c r="H46">
        <v>102.8</v>
      </c>
      <c r="I46">
        <v>117.7</v>
      </c>
      <c r="J46">
        <v>113.3</v>
      </c>
      <c r="K46">
        <v>108.9</v>
      </c>
      <c r="L46">
        <v>96.3</v>
      </c>
      <c r="M46">
        <v>114.1</v>
      </c>
      <c r="N46">
        <v>112.2</v>
      </c>
      <c r="O46">
        <v>120.5</v>
      </c>
      <c r="P46">
        <v>116</v>
      </c>
      <c r="Q46">
        <v>116.7</v>
      </c>
      <c r="R46">
        <v>115.8</v>
      </c>
      <c r="S46">
        <v>112.1</v>
      </c>
      <c r="T46">
        <v>115.2</v>
      </c>
      <c r="U46">
        <v>113.2</v>
      </c>
      <c r="V46">
        <v>110.9</v>
      </c>
      <c r="W46">
        <v>113</v>
      </c>
      <c r="X46">
        <v>110.8</v>
      </c>
      <c r="Y46">
        <v>111.6</v>
      </c>
      <c r="Z46">
        <v>110.9</v>
      </c>
      <c r="AA46">
        <v>111.8</v>
      </c>
      <c r="AB46">
        <v>109.2</v>
      </c>
      <c r="AC46">
        <v>111.4</v>
      </c>
      <c r="AD46">
        <v>113.7</v>
      </c>
      <c r="AE46">
        <f t="shared" si="0"/>
        <v>1483</v>
      </c>
      <c r="AF46">
        <f t="shared" si="1"/>
        <v>110.9</v>
      </c>
      <c r="AG46">
        <f t="shared" si="2"/>
        <v>111.6</v>
      </c>
      <c r="AH46">
        <f t="shared" si="3"/>
        <v>111.8</v>
      </c>
      <c r="AI46">
        <f t="shared" si="4"/>
        <v>1128.3</v>
      </c>
    </row>
    <row r="47" spans="1:35" x14ac:dyDescent="0.3">
      <c r="A47" t="s">
        <v>33</v>
      </c>
      <c r="B47">
        <v>2014</v>
      </c>
      <c r="C47" t="s">
        <v>46</v>
      </c>
      <c r="D47">
        <v>120.7</v>
      </c>
      <c r="E47">
        <v>119.3</v>
      </c>
      <c r="F47">
        <v>121</v>
      </c>
      <c r="G47">
        <v>116.1</v>
      </c>
      <c r="H47">
        <v>106.9</v>
      </c>
      <c r="I47">
        <v>118.7</v>
      </c>
      <c r="J47">
        <v>116.3</v>
      </c>
      <c r="K47">
        <v>109.8</v>
      </c>
      <c r="L47">
        <v>99.6</v>
      </c>
      <c r="M47">
        <v>111.8</v>
      </c>
      <c r="N47">
        <v>112.7</v>
      </c>
      <c r="O47">
        <v>119.3</v>
      </c>
      <c r="P47">
        <v>116.1</v>
      </c>
      <c r="Q47">
        <v>115.2</v>
      </c>
      <c r="R47">
        <v>116.8</v>
      </c>
      <c r="S47">
        <v>113.7</v>
      </c>
      <c r="T47">
        <v>116.4</v>
      </c>
      <c r="U47">
        <v>113.2</v>
      </c>
      <c r="V47">
        <v>112.5</v>
      </c>
      <c r="W47">
        <v>113.2</v>
      </c>
      <c r="X47">
        <v>111.2</v>
      </c>
      <c r="Y47">
        <v>111.4</v>
      </c>
      <c r="Z47">
        <v>110.6</v>
      </c>
      <c r="AA47">
        <v>112</v>
      </c>
      <c r="AB47">
        <v>109</v>
      </c>
      <c r="AC47">
        <v>111.3</v>
      </c>
      <c r="AD47">
        <v>114.2</v>
      </c>
      <c r="AE47">
        <f t="shared" si="0"/>
        <v>1488.2999999999997</v>
      </c>
      <c r="AF47">
        <f t="shared" si="1"/>
        <v>112.5</v>
      </c>
      <c r="AG47">
        <f t="shared" si="2"/>
        <v>111.4</v>
      </c>
      <c r="AH47">
        <f t="shared" si="3"/>
        <v>112</v>
      </c>
      <c r="AI47">
        <f t="shared" si="4"/>
        <v>1130.6000000000001</v>
      </c>
    </row>
    <row r="48" spans="1:35" x14ac:dyDescent="0.3">
      <c r="A48" t="s">
        <v>30</v>
      </c>
      <c r="B48">
        <v>2014</v>
      </c>
      <c r="C48" t="s">
        <v>36</v>
      </c>
      <c r="D48">
        <v>120.2</v>
      </c>
      <c r="E48">
        <v>118.9</v>
      </c>
      <c r="F48">
        <v>118.1</v>
      </c>
      <c r="G48">
        <v>117</v>
      </c>
      <c r="H48">
        <v>109.7</v>
      </c>
      <c r="I48">
        <v>125.5</v>
      </c>
      <c r="J48">
        <v>120.5</v>
      </c>
      <c r="K48">
        <v>111</v>
      </c>
      <c r="L48">
        <v>102.6</v>
      </c>
      <c r="M48">
        <v>111.2</v>
      </c>
      <c r="N48">
        <v>113.5</v>
      </c>
      <c r="O48">
        <v>118.7</v>
      </c>
      <c r="P48">
        <v>117.2</v>
      </c>
      <c r="Q48">
        <v>115.4</v>
      </c>
      <c r="R48">
        <v>118.1</v>
      </c>
      <c r="S48">
        <v>116.1</v>
      </c>
      <c r="T48">
        <v>117.8</v>
      </c>
      <c r="U48">
        <v>113.9</v>
      </c>
      <c r="V48">
        <v>113.4</v>
      </c>
      <c r="W48">
        <v>113.7</v>
      </c>
      <c r="X48">
        <v>111.8</v>
      </c>
      <c r="Y48">
        <v>111.2</v>
      </c>
      <c r="Z48">
        <v>110.5</v>
      </c>
      <c r="AA48">
        <v>113</v>
      </c>
      <c r="AB48">
        <v>108.9</v>
      </c>
      <c r="AC48">
        <v>111.5</v>
      </c>
      <c r="AD48">
        <v>115.4</v>
      </c>
      <c r="AE48">
        <f t="shared" si="0"/>
        <v>1504.1000000000001</v>
      </c>
      <c r="AF48">
        <f t="shared" si="1"/>
        <v>113.4</v>
      </c>
      <c r="AG48">
        <f t="shared" si="2"/>
        <v>111.2</v>
      </c>
      <c r="AH48">
        <f t="shared" si="3"/>
        <v>113</v>
      </c>
      <c r="AI48">
        <f t="shared" si="4"/>
        <v>1137.7</v>
      </c>
    </row>
    <row r="49" spans="1:35" x14ac:dyDescent="0.3">
      <c r="A49" t="s">
        <v>32</v>
      </c>
      <c r="B49">
        <v>2014</v>
      </c>
      <c r="C49" t="s">
        <v>36</v>
      </c>
      <c r="D49">
        <v>122.5</v>
      </c>
      <c r="E49">
        <v>121.7</v>
      </c>
      <c r="F49">
        <v>113.3</v>
      </c>
      <c r="G49">
        <v>117</v>
      </c>
      <c r="H49">
        <v>103.1</v>
      </c>
      <c r="I49">
        <v>126.7</v>
      </c>
      <c r="J49">
        <v>121.2</v>
      </c>
      <c r="K49">
        <v>111</v>
      </c>
      <c r="L49">
        <v>100.3</v>
      </c>
      <c r="M49">
        <v>115.3</v>
      </c>
      <c r="N49">
        <v>112.7</v>
      </c>
      <c r="O49">
        <v>121</v>
      </c>
      <c r="P49">
        <v>118.2</v>
      </c>
      <c r="Q49">
        <v>117.6</v>
      </c>
      <c r="R49">
        <v>116.3</v>
      </c>
      <c r="S49">
        <v>112.5</v>
      </c>
      <c r="T49">
        <v>115.7</v>
      </c>
      <c r="U49">
        <v>113.9</v>
      </c>
      <c r="V49">
        <v>110.9</v>
      </c>
      <c r="W49">
        <v>113.4</v>
      </c>
      <c r="X49">
        <v>111</v>
      </c>
      <c r="Y49">
        <v>111.2</v>
      </c>
      <c r="Z49">
        <v>111.2</v>
      </c>
      <c r="AA49">
        <v>112.5</v>
      </c>
      <c r="AB49">
        <v>109.1</v>
      </c>
      <c r="AC49">
        <v>111.4</v>
      </c>
      <c r="AD49">
        <v>114.7</v>
      </c>
      <c r="AE49">
        <f t="shared" si="0"/>
        <v>1504.0000000000002</v>
      </c>
      <c r="AF49">
        <f t="shared" si="1"/>
        <v>110.9</v>
      </c>
      <c r="AG49">
        <f t="shared" si="2"/>
        <v>111.2</v>
      </c>
      <c r="AH49">
        <f t="shared" si="3"/>
        <v>112.5</v>
      </c>
      <c r="AI49">
        <f t="shared" si="4"/>
        <v>1132.1000000000001</v>
      </c>
    </row>
    <row r="50" spans="1:35" x14ac:dyDescent="0.3">
      <c r="A50" t="s">
        <v>33</v>
      </c>
      <c r="B50">
        <v>2014</v>
      </c>
      <c r="C50" t="s">
        <v>36</v>
      </c>
      <c r="D50">
        <v>120.9</v>
      </c>
      <c r="E50">
        <v>119.9</v>
      </c>
      <c r="F50">
        <v>116.2</v>
      </c>
      <c r="G50">
        <v>117</v>
      </c>
      <c r="H50">
        <v>107.3</v>
      </c>
      <c r="I50">
        <v>126.1</v>
      </c>
      <c r="J50">
        <v>120.7</v>
      </c>
      <c r="K50">
        <v>111</v>
      </c>
      <c r="L50">
        <v>101.8</v>
      </c>
      <c r="M50">
        <v>112.6</v>
      </c>
      <c r="N50">
        <v>113.2</v>
      </c>
      <c r="O50">
        <v>119.8</v>
      </c>
      <c r="P50">
        <v>117.6</v>
      </c>
      <c r="Q50">
        <v>116</v>
      </c>
      <c r="R50">
        <v>117.4</v>
      </c>
      <c r="S50">
        <v>114.6</v>
      </c>
      <c r="T50">
        <v>117</v>
      </c>
      <c r="U50">
        <v>113.9</v>
      </c>
      <c r="V50">
        <v>112.5</v>
      </c>
      <c r="W50">
        <v>113.6</v>
      </c>
      <c r="X50">
        <v>111.5</v>
      </c>
      <c r="Y50">
        <v>111.2</v>
      </c>
      <c r="Z50">
        <v>110.9</v>
      </c>
      <c r="AA50">
        <v>112.7</v>
      </c>
      <c r="AB50">
        <v>109</v>
      </c>
      <c r="AC50">
        <v>111.5</v>
      </c>
      <c r="AD50">
        <v>115.1</v>
      </c>
      <c r="AE50">
        <f t="shared" si="0"/>
        <v>1504.1</v>
      </c>
      <c r="AF50">
        <f t="shared" si="1"/>
        <v>112.5</v>
      </c>
      <c r="AG50">
        <f t="shared" si="2"/>
        <v>111.2</v>
      </c>
      <c r="AH50">
        <f t="shared" si="3"/>
        <v>112.7</v>
      </c>
      <c r="AI50">
        <f t="shared" si="4"/>
        <v>1135.4000000000001</v>
      </c>
    </row>
    <row r="51" spans="1:35" x14ac:dyDescent="0.3">
      <c r="A51" t="s">
        <v>30</v>
      </c>
      <c r="B51">
        <v>2014</v>
      </c>
      <c r="C51" t="s">
        <v>37</v>
      </c>
      <c r="D51">
        <v>120.3</v>
      </c>
      <c r="E51">
        <v>120.2</v>
      </c>
      <c r="F51">
        <v>116.9</v>
      </c>
      <c r="G51">
        <v>118</v>
      </c>
      <c r="H51">
        <v>110.1</v>
      </c>
      <c r="I51">
        <v>126.3</v>
      </c>
      <c r="J51">
        <v>123.9</v>
      </c>
      <c r="K51">
        <v>111.5</v>
      </c>
      <c r="L51">
        <v>103.5</v>
      </c>
      <c r="M51">
        <v>111.6</v>
      </c>
      <c r="N51">
        <v>114.2</v>
      </c>
      <c r="O51">
        <v>119.2</v>
      </c>
      <c r="P51">
        <v>118.2</v>
      </c>
      <c r="Q51">
        <v>116.3</v>
      </c>
      <c r="R51">
        <v>118.7</v>
      </c>
      <c r="S51">
        <v>116.8</v>
      </c>
      <c r="T51">
        <v>118.5</v>
      </c>
      <c r="U51">
        <v>114.3</v>
      </c>
      <c r="V51">
        <v>113.4</v>
      </c>
      <c r="W51">
        <v>114.1</v>
      </c>
      <c r="X51">
        <v>112.1</v>
      </c>
      <c r="Y51">
        <v>111.4</v>
      </c>
      <c r="Z51">
        <v>110.9</v>
      </c>
      <c r="AA51">
        <v>113.1</v>
      </c>
      <c r="AB51">
        <v>108.9</v>
      </c>
      <c r="AC51">
        <v>111.8</v>
      </c>
      <c r="AD51">
        <v>116</v>
      </c>
      <c r="AE51">
        <f t="shared" si="0"/>
        <v>1513.8999999999999</v>
      </c>
      <c r="AF51">
        <f t="shared" si="1"/>
        <v>113.4</v>
      </c>
      <c r="AG51">
        <f t="shared" si="2"/>
        <v>111.4</v>
      </c>
      <c r="AH51">
        <f t="shared" si="3"/>
        <v>113.1</v>
      </c>
      <c r="AI51">
        <f t="shared" si="4"/>
        <v>1142.4000000000001</v>
      </c>
    </row>
    <row r="52" spans="1:35" x14ac:dyDescent="0.3">
      <c r="A52" t="s">
        <v>32</v>
      </c>
      <c r="B52">
        <v>2014</v>
      </c>
      <c r="C52" t="s">
        <v>37</v>
      </c>
      <c r="D52">
        <v>122.7</v>
      </c>
      <c r="E52">
        <v>124.1</v>
      </c>
      <c r="F52">
        <v>114.2</v>
      </c>
      <c r="G52">
        <v>119.1</v>
      </c>
      <c r="H52">
        <v>103.5</v>
      </c>
      <c r="I52">
        <v>129.19999999999999</v>
      </c>
      <c r="J52">
        <v>127</v>
      </c>
      <c r="K52">
        <v>112.6</v>
      </c>
      <c r="L52">
        <v>101.3</v>
      </c>
      <c r="M52">
        <v>117</v>
      </c>
      <c r="N52">
        <v>112.9</v>
      </c>
      <c r="O52">
        <v>121.7</v>
      </c>
      <c r="P52">
        <v>120</v>
      </c>
      <c r="Q52">
        <v>118.3</v>
      </c>
      <c r="R52">
        <v>116.8</v>
      </c>
      <c r="S52">
        <v>112.9</v>
      </c>
      <c r="T52">
        <v>116.2</v>
      </c>
      <c r="U52">
        <v>114.3</v>
      </c>
      <c r="V52">
        <v>111.1</v>
      </c>
      <c r="W52">
        <v>114.1</v>
      </c>
      <c r="X52">
        <v>111.2</v>
      </c>
      <c r="Y52">
        <v>111.3</v>
      </c>
      <c r="Z52">
        <v>111.5</v>
      </c>
      <c r="AA52">
        <v>112.9</v>
      </c>
      <c r="AB52">
        <v>109.3</v>
      </c>
      <c r="AC52">
        <v>111.7</v>
      </c>
      <c r="AD52">
        <v>115.6</v>
      </c>
      <c r="AE52">
        <f t="shared" si="0"/>
        <v>1525.3000000000002</v>
      </c>
      <c r="AF52">
        <f t="shared" si="1"/>
        <v>111.1</v>
      </c>
      <c r="AG52">
        <f t="shared" si="2"/>
        <v>111.3</v>
      </c>
      <c r="AH52">
        <f t="shared" si="3"/>
        <v>112.9</v>
      </c>
      <c r="AI52">
        <f t="shared" si="4"/>
        <v>1136.3000000000002</v>
      </c>
    </row>
    <row r="53" spans="1:35" x14ac:dyDescent="0.3">
      <c r="A53" t="s">
        <v>33</v>
      </c>
      <c r="B53">
        <v>2014</v>
      </c>
      <c r="C53" t="s">
        <v>37</v>
      </c>
      <c r="D53">
        <v>121.1</v>
      </c>
      <c r="E53">
        <v>121.6</v>
      </c>
      <c r="F53">
        <v>115.9</v>
      </c>
      <c r="G53">
        <v>118.4</v>
      </c>
      <c r="H53">
        <v>107.7</v>
      </c>
      <c r="I53">
        <v>127.7</v>
      </c>
      <c r="J53">
        <v>125</v>
      </c>
      <c r="K53">
        <v>111.9</v>
      </c>
      <c r="L53">
        <v>102.8</v>
      </c>
      <c r="M53">
        <v>113.4</v>
      </c>
      <c r="N53">
        <v>113.7</v>
      </c>
      <c r="O53">
        <v>120.4</v>
      </c>
      <c r="P53">
        <v>118.9</v>
      </c>
      <c r="Q53">
        <v>116.8</v>
      </c>
      <c r="R53">
        <v>118</v>
      </c>
      <c r="S53">
        <v>115.2</v>
      </c>
      <c r="T53">
        <v>117.6</v>
      </c>
      <c r="U53">
        <v>114.3</v>
      </c>
      <c r="V53">
        <v>112.5</v>
      </c>
      <c r="W53">
        <v>114.1</v>
      </c>
      <c r="X53">
        <v>111.8</v>
      </c>
      <c r="Y53">
        <v>111.3</v>
      </c>
      <c r="Z53">
        <v>111.2</v>
      </c>
      <c r="AA53">
        <v>113</v>
      </c>
      <c r="AB53">
        <v>109.1</v>
      </c>
      <c r="AC53">
        <v>111.8</v>
      </c>
      <c r="AD53">
        <v>115.8</v>
      </c>
      <c r="AE53">
        <f t="shared" si="0"/>
        <v>1518.5000000000005</v>
      </c>
      <c r="AF53">
        <f t="shared" si="1"/>
        <v>112.5</v>
      </c>
      <c r="AG53">
        <f t="shared" si="2"/>
        <v>111.3</v>
      </c>
      <c r="AH53">
        <f t="shared" si="3"/>
        <v>113</v>
      </c>
      <c r="AI53">
        <f t="shared" si="4"/>
        <v>1139.8999999999999</v>
      </c>
    </row>
    <row r="54" spans="1:35" x14ac:dyDescent="0.3">
      <c r="A54" t="s">
        <v>30</v>
      </c>
      <c r="B54">
        <v>2014</v>
      </c>
      <c r="C54" t="s">
        <v>38</v>
      </c>
      <c r="D54">
        <v>120.7</v>
      </c>
      <c r="E54">
        <v>121.6</v>
      </c>
      <c r="F54">
        <v>116.1</v>
      </c>
      <c r="G54">
        <v>119.3</v>
      </c>
      <c r="H54">
        <v>110.3</v>
      </c>
      <c r="I54">
        <v>125.8</v>
      </c>
      <c r="J54">
        <v>129.30000000000001</v>
      </c>
      <c r="K54">
        <v>112.2</v>
      </c>
      <c r="L54">
        <v>103.6</v>
      </c>
      <c r="M54">
        <v>112.3</v>
      </c>
      <c r="N54">
        <v>114.9</v>
      </c>
      <c r="O54">
        <v>120.1</v>
      </c>
      <c r="P54">
        <v>119.5</v>
      </c>
      <c r="Q54">
        <v>117.3</v>
      </c>
      <c r="R54">
        <v>119.7</v>
      </c>
      <c r="S54">
        <v>117.3</v>
      </c>
      <c r="T54">
        <v>119.3</v>
      </c>
      <c r="U54">
        <v>113.9</v>
      </c>
      <c r="V54">
        <v>114.4</v>
      </c>
      <c r="W54">
        <v>114.9</v>
      </c>
      <c r="X54">
        <v>112.8</v>
      </c>
      <c r="Y54">
        <v>112.2</v>
      </c>
      <c r="Z54">
        <v>111.4</v>
      </c>
      <c r="AA54">
        <v>114.3</v>
      </c>
      <c r="AB54">
        <v>108</v>
      </c>
      <c r="AC54">
        <v>112.3</v>
      </c>
      <c r="AD54">
        <v>117</v>
      </c>
      <c r="AE54">
        <f t="shared" si="0"/>
        <v>1525.6999999999998</v>
      </c>
      <c r="AF54">
        <f t="shared" si="1"/>
        <v>114.4</v>
      </c>
      <c r="AG54">
        <f t="shared" si="2"/>
        <v>112.2</v>
      </c>
      <c r="AH54">
        <f t="shared" si="3"/>
        <v>114.3</v>
      </c>
      <c r="AI54">
        <f t="shared" si="4"/>
        <v>1146.8999999999999</v>
      </c>
    </row>
    <row r="55" spans="1:35" x14ac:dyDescent="0.3">
      <c r="A55" t="s">
        <v>32</v>
      </c>
      <c r="B55">
        <v>2014</v>
      </c>
      <c r="C55" t="s">
        <v>38</v>
      </c>
      <c r="D55">
        <v>123.1</v>
      </c>
      <c r="E55">
        <v>125.9</v>
      </c>
      <c r="F55">
        <v>115.4</v>
      </c>
      <c r="G55">
        <v>120.4</v>
      </c>
      <c r="H55">
        <v>103.4</v>
      </c>
      <c r="I55">
        <v>131.19999999999999</v>
      </c>
      <c r="J55">
        <v>137.5</v>
      </c>
      <c r="K55">
        <v>112.8</v>
      </c>
      <c r="L55">
        <v>101.4</v>
      </c>
      <c r="M55">
        <v>118.3</v>
      </c>
      <c r="N55">
        <v>113.2</v>
      </c>
      <c r="O55">
        <v>122.4</v>
      </c>
      <c r="P55">
        <v>122</v>
      </c>
      <c r="Q55">
        <v>119</v>
      </c>
      <c r="R55">
        <v>117.4</v>
      </c>
      <c r="S55">
        <v>113.2</v>
      </c>
      <c r="T55">
        <v>116.7</v>
      </c>
      <c r="U55">
        <v>113.9</v>
      </c>
      <c r="V55">
        <v>111.2</v>
      </c>
      <c r="W55">
        <v>114.3</v>
      </c>
      <c r="X55">
        <v>111.4</v>
      </c>
      <c r="Y55">
        <v>111.5</v>
      </c>
      <c r="Z55">
        <v>111.8</v>
      </c>
      <c r="AA55">
        <v>115.1</v>
      </c>
      <c r="AB55">
        <v>108.7</v>
      </c>
      <c r="AC55">
        <v>112.2</v>
      </c>
      <c r="AD55">
        <v>116.4</v>
      </c>
      <c r="AE55">
        <f t="shared" si="0"/>
        <v>1547</v>
      </c>
      <c r="AF55">
        <f t="shared" si="1"/>
        <v>111.2</v>
      </c>
      <c r="AG55">
        <f t="shared" si="2"/>
        <v>111.5</v>
      </c>
      <c r="AH55">
        <f t="shared" si="3"/>
        <v>115.1</v>
      </c>
      <c r="AI55">
        <f t="shared" si="4"/>
        <v>1138.5999999999999</v>
      </c>
    </row>
    <row r="56" spans="1:35" x14ac:dyDescent="0.3">
      <c r="A56" t="s">
        <v>33</v>
      </c>
      <c r="B56">
        <v>2014</v>
      </c>
      <c r="C56" t="s">
        <v>38</v>
      </c>
      <c r="D56">
        <v>121.5</v>
      </c>
      <c r="E56">
        <v>123.1</v>
      </c>
      <c r="F56">
        <v>115.8</v>
      </c>
      <c r="G56">
        <v>119.7</v>
      </c>
      <c r="H56">
        <v>107.8</v>
      </c>
      <c r="I56">
        <v>128.30000000000001</v>
      </c>
      <c r="J56">
        <v>132.1</v>
      </c>
      <c r="K56">
        <v>112.4</v>
      </c>
      <c r="L56">
        <v>102.9</v>
      </c>
      <c r="M56">
        <v>114.3</v>
      </c>
      <c r="N56">
        <v>114.2</v>
      </c>
      <c r="O56">
        <v>121.2</v>
      </c>
      <c r="P56">
        <v>120.4</v>
      </c>
      <c r="Q56">
        <v>117.8</v>
      </c>
      <c r="R56">
        <v>118.8</v>
      </c>
      <c r="S56">
        <v>115.6</v>
      </c>
      <c r="T56">
        <v>118.3</v>
      </c>
      <c r="U56">
        <v>113.9</v>
      </c>
      <c r="V56">
        <v>113.2</v>
      </c>
      <c r="W56">
        <v>114.6</v>
      </c>
      <c r="X56">
        <v>112.3</v>
      </c>
      <c r="Y56">
        <v>111.8</v>
      </c>
      <c r="Z56">
        <v>111.6</v>
      </c>
      <c r="AA56">
        <v>114.8</v>
      </c>
      <c r="AB56">
        <v>108.3</v>
      </c>
      <c r="AC56">
        <v>112.3</v>
      </c>
      <c r="AD56">
        <v>116.7</v>
      </c>
      <c r="AE56">
        <f t="shared" si="0"/>
        <v>1533.7000000000003</v>
      </c>
      <c r="AF56">
        <f t="shared" si="1"/>
        <v>113.2</v>
      </c>
      <c r="AG56">
        <f t="shared" si="2"/>
        <v>111.8</v>
      </c>
      <c r="AH56">
        <f t="shared" si="3"/>
        <v>114.8</v>
      </c>
      <c r="AI56">
        <f t="shared" si="4"/>
        <v>1143.5</v>
      </c>
    </row>
    <row r="57" spans="1:35" x14ac:dyDescent="0.3">
      <c r="A57" t="s">
        <v>30</v>
      </c>
      <c r="B57">
        <v>2014</v>
      </c>
      <c r="C57" t="s">
        <v>39</v>
      </c>
      <c r="D57">
        <v>121.7</v>
      </c>
      <c r="E57">
        <v>122.5</v>
      </c>
      <c r="F57">
        <v>117.7</v>
      </c>
      <c r="G57">
        <v>120.6</v>
      </c>
      <c r="H57">
        <v>110.4</v>
      </c>
      <c r="I57">
        <v>129.1</v>
      </c>
      <c r="J57">
        <v>150.1</v>
      </c>
      <c r="K57">
        <v>113.2</v>
      </c>
      <c r="L57">
        <v>104.8</v>
      </c>
      <c r="M57">
        <v>113.3</v>
      </c>
      <c r="N57">
        <v>115.6</v>
      </c>
      <c r="O57">
        <v>120.9</v>
      </c>
      <c r="P57">
        <v>123.3</v>
      </c>
      <c r="Q57">
        <v>118</v>
      </c>
      <c r="R57">
        <v>120.7</v>
      </c>
      <c r="S57">
        <v>118.3</v>
      </c>
      <c r="T57">
        <v>120.3</v>
      </c>
      <c r="U57">
        <v>114.8</v>
      </c>
      <c r="V57">
        <v>115.3</v>
      </c>
      <c r="W57">
        <v>115.4</v>
      </c>
      <c r="X57">
        <v>113.4</v>
      </c>
      <c r="Y57">
        <v>113.2</v>
      </c>
      <c r="Z57">
        <v>111.8</v>
      </c>
      <c r="AA57">
        <v>115.5</v>
      </c>
      <c r="AB57">
        <v>108.8</v>
      </c>
      <c r="AC57">
        <v>113.1</v>
      </c>
      <c r="AD57">
        <v>119.5</v>
      </c>
      <c r="AE57">
        <f t="shared" si="0"/>
        <v>1563.2</v>
      </c>
      <c r="AF57">
        <f t="shared" si="1"/>
        <v>115.3</v>
      </c>
      <c r="AG57">
        <f t="shared" si="2"/>
        <v>113.2</v>
      </c>
      <c r="AH57">
        <f t="shared" si="3"/>
        <v>115.5</v>
      </c>
      <c r="AI57">
        <f t="shared" si="4"/>
        <v>1154.5999999999999</v>
      </c>
    </row>
    <row r="58" spans="1:35" x14ac:dyDescent="0.3">
      <c r="A58" t="s">
        <v>32</v>
      </c>
      <c r="B58">
        <v>2014</v>
      </c>
      <c r="C58" t="s">
        <v>39</v>
      </c>
      <c r="D58">
        <v>123.8</v>
      </c>
      <c r="E58">
        <v>126.4</v>
      </c>
      <c r="F58">
        <v>118</v>
      </c>
      <c r="G58">
        <v>121.6</v>
      </c>
      <c r="H58">
        <v>103.5</v>
      </c>
      <c r="I58">
        <v>133.69999999999999</v>
      </c>
      <c r="J58">
        <v>172.4</v>
      </c>
      <c r="K58">
        <v>113.1</v>
      </c>
      <c r="L58">
        <v>102.7</v>
      </c>
      <c r="M58">
        <v>120</v>
      </c>
      <c r="N58">
        <v>113.8</v>
      </c>
      <c r="O58">
        <v>123.4</v>
      </c>
      <c r="P58">
        <v>127.1</v>
      </c>
      <c r="Q58">
        <v>121</v>
      </c>
      <c r="R58">
        <v>118</v>
      </c>
      <c r="S58">
        <v>113.6</v>
      </c>
      <c r="T58">
        <v>117.4</v>
      </c>
      <c r="U58">
        <v>114.8</v>
      </c>
      <c r="V58">
        <v>111.6</v>
      </c>
      <c r="W58">
        <v>114.9</v>
      </c>
      <c r="X58">
        <v>111.5</v>
      </c>
      <c r="Y58">
        <v>113</v>
      </c>
      <c r="Z58">
        <v>112.4</v>
      </c>
      <c r="AA58">
        <v>117.8</v>
      </c>
      <c r="AB58">
        <v>109.7</v>
      </c>
      <c r="AC58">
        <v>113.5</v>
      </c>
      <c r="AD58">
        <v>118.9</v>
      </c>
      <c r="AE58">
        <f t="shared" si="0"/>
        <v>1599.5</v>
      </c>
      <c r="AF58">
        <f t="shared" si="1"/>
        <v>111.6</v>
      </c>
      <c r="AG58">
        <f t="shared" si="2"/>
        <v>113</v>
      </c>
      <c r="AH58">
        <f t="shared" si="3"/>
        <v>117.8</v>
      </c>
      <c r="AI58">
        <f t="shared" si="4"/>
        <v>1146.8</v>
      </c>
    </row>
    <row r="59" spans="1:35" x14ac:dyDescent="0.3">
      <c r="A59" t="s">
        <v>33</v>
      </c>
      <c r="B59">
        <v>2014</v>
      </c>
      <c r="C59" t="s">
        <v>39</v>
      </c>
      <c r="D59">
        <v>122.4</v>
      </c>
      <c r="E59">
        <v>123.9</v>
      </c>
      <c r="F59">
        <v>117.8</v>
      </c>
      <c r="G59">
        <v>121</v>
      </c>
      <c r="H59">
        <v>107.9</v>
      </c>
      <c r="I59">
        <v>131.19999999999999</v>
      </c>
      <c r="J59">
        <v>157.69999999999999</v>
      </c>
      <c r="K59">
        <v>113.2</v>
      </c>
      <c r="L59">
        <v>104.1</v>
      </c>
      <c r="M59">
        <v>115.5</v>
      </c>
      <c r="N59">
        <v>114.8</v>
      </c>
      <c r="O59">
        <v>122.1</v>
      </c>
      <c r="P59">
        <v>124.7</v>
      </c>
      <c r="Q59">
        <v>118.8</v>
      </c>
      <c r="R59">
        <v>119.6</v>
      </c>
      <c r="S59">
        <v>116.3</v>
      </c>
      <c r="T59">
        <v>119.1</v>
      </c>
      <c r="U59">
        <v>114.8</v>
      </c>
      <c r="V59">
        <v>113.9</v>
      </c>
      <c r="W59">
        <v>115.2</v>
      </c>
      <c r="X59">
        <v>112.7</v>
      </c>
      <c r="Y59">
        <v>113.1</v>
      </c>
      <c r="Z59">
        <v>112.1</v>
      </c>
      <c r="AA59">
        <v>116.8</v>
      </c>
      <c r="AB59">
        <v>109.2</v>
      </c>
      <c r="AC59">
        <v>113.3</v>
      </c>
      <c r="AD59">
        <v>119.2</v>
      </c>
      <c r="AE59">
        <f t="shared" si="0"/>
        <v>1576.3</v>
      </c>
      <c r="AF59">
        <f t="shared" si="1"/>
        <v>113.9</v>
      </c>
      <c r="AG59">
        <f t="shared" si="2"/>
        <v>113.1</v>
      </c>
      <c r="AH59">
        <f t="shared" si="3"/>
        <v>116.8</v>
      </c>
      <c r="AI59">
        <f t="shared" si="4"/>
        <v>1151.0999999999999</v>
      </c>
    </row>
    <row r="60" spans="1:35" x14ac:dyDescent="0.3">
      <c r="A60" t="s">
        <v>30</v>
      </c>
      <c r="B60">
        <v>2014</v>
      </c>
      <c r="C60" t="s">
        <v>40</v>
      </c>
      <c r="D60">
        <v>121.8</v>
      </c>
      <c r="E60">
        <v>122.8</v>
      </c>
      <c r="F60">
        <v>117.8</v>
      </c>
      <c r="G60">
        <v>121.9</v>
      </c>
      <c r="H60">
        <v>110.6</v>
      </c>
      <c r="I60">
        <v>129.69999999999999</v>
      </c>
      <c r="J60">
        <v>161.1</v>
      </c>
      <c r="K60">
        <v>114.1</v>
      </c>
      <c r="L60">
        <v>105.1</v>
      </c>
      <c r="M60">
        <v>114.6</v>
      </c>
      <c r="N60">
        <v>115.8</v>
      </c>
      <c r="O60">
        <v>121.7</v>
      </c>
      <c r="P60">
        <v>125.3</v>
      </c>
      <c r="Q60">
        <v>118.8</v>
      </c>
      <c r="R60">
        <v>120.9</v>
      </c>
      <c r="S60">
        <v>118.8</v>
      </c>
      <c r="T60">
        <v>120.7</v>
      </c>
      <c r="U60">
        <v>115.5</v>
      </c>
      <c r="V60">
        <v>115.4</v>
      </c>
      <c r="W60">
        <v>115.9</v>
      </c>
      <c r="X60">
        <v>114</v>
      </c>
      <c r="Y60">
        <v>113.2</v>
      </c>
      <c r="Z60">
        <v>112.2</v>
      </c>
      <c r="AA60">
        <v>116.2</v>
      </c>
      <c r="AB60">
        <v>109.4</v>
      </c>
      <c r="AC60">
        <v>113.5</v>
      </c>
      <c r="AD60">
        <v>120.7</v>
      </c>
      <c r="AE60">
        <f t="shared" si="0"/>
        <v>1582.2999999999997</v>
      </c>
      <c r="AF60">
        <f t="shared" si="1"/>
        <v>115.4</v>
      </c>
      <c r="AG60">
        <f t="shared" si="2"/>
        <v>113.2</v>
      </c>
      <c r="AH60">
        <f t="shared" si="3"/>
        <v>116.2</v>
      </c>
      <c r="AI60">
        <f t="shared" si="4"/>
        <v>1159.7</v>
      </c>
    </row>
    <row r="61" spans="1:35" x14ac:dyDescent="0.3">
      <c r="A61" t="s">
        <v>32</v>
      </c>
      <c r="B61">
        <v>2014</v>
      </c>
      <c r="C61" t="s">
        <v>40</v>
      </c>
      <c r="D61">
        <v>124.8</v>
      </c>
      <c r="E61">
        <v>127.3</v>
      </c>
      <c r="F61">
        <v>116.5</v>
      </c>
      <c r="G61">
        <v>122.2</v>
      </c>
      <c r="H61">
        <v>103.6</v>
      </c>
      <c r="I61">
        <v>132.69999999999999</v>
      </c>
      <c r="J61">
        <v>181.9</v>
      </c>
      <c r="K61">
        <v>115.2</v>
      </c>
      <c r="L61">
        <v>102.7</v>
      </c>
      <c r="M61">
        <v>122.1</v>
      </c>
      <c r="N61">
        <v>114.4</v>
      </c>
      <c r="O61">
        <v>124.7</v>
      </c>
      <c r="P61">
        <v>128.9</v>
      </c>
      <c r="Q61">
        <v>123</v>
      </c>
      <c r="R61">
        <v>118.6</v>
      </c>
      <c r="S61">
        <v>114.1</v>
      </c>
      <c r="T61">
        <v>117.9</v>
      </c>
      <c r="U61">
        <v>115.5</v>
      </c>
      <c r="V61">
        <v>111.8</v>
      </c>
      <c r="W61">
        <v>115.3</v>
      </c>
      <c r="X61">
        <v>112.2</v>
      </c>
      <c r="Y61">
        <v>112.5</v>
      </c>
      <c r="Z61">
        <v>112.9</v>
      </c>
      <c r="AA61">
        <v>119.2</v>
      </c>
      <c r="AB61">
        <v>110.5</v>
      </c>
      <c r="AC61">
        <v>113.9</v>
      </c>
      <c r="AD61">
        <v>119.9</v>
      </c>
      <c r="AE61">
        <f t="shared" si="0"/>
        <v>1617</v>
      </c>
      <c r="AF61">
        <f t="shared" si="1"/>
        <v>111.8</v>
      </c>
      <c r="AG61">
        <f t="shared" si="2"/>
        <v>112.5</v>
      </c>
      <c r="AH61">
        <f t="shared" si="3"/>
        <v>119.2</v>
      </c>
      <c r="AI61">
        <f t="shared" si="4"/>
        <v>1153.9000000000001</v>
      </c>
    </row>
    <row r="62" spans="1:35" x14ac:dyDescent="0.3">
      <c r="A62" t="s">
        <v>33</v>
      </c>
      <c r="B62">
        <v>2014</v>
      </c>
      <c r="C62" t="s">
        <v>40</v>
      </c>
      <c r="D62">
        <v>122.7</v>
      </c>
      <c r="E62">
        <v>124.4</v>
      </c>
      <c r="F62">
        <v>117.3</v>
      </c>
      <c r="G62">
        <v>122</v>
      </c>
      <c r="H62">
        <v>108</v>
      </c>
      <c r="I62">
        <v>131.1</v>
      </c>
      <c r="J62">
        <v>168.2</v>
      </c>
      <c r="K62">
        <v>114.5</v>
      </c>
      <c r="L62">
        <v>104.3</v>
      </c>
      <c r="M62">
        <v>117.1</v>
      </c>
      <c r="N62">
        <v>115.2</v>
      </c>
      <c r="O62">
        <v>123.1</v>
      </c>
      <c r="P62">
        <v>126.6</v>
      </c>
      <c r="Q62">
        <v>119.9</v>
      </c>
      <c r="R62">
        <v>120</v>
      </c>
      <c r="S62">
        <v>116.8</v>
      </c>
      <c r="T62">
        <v>119.6</v>
      </c>
      <c r="U62">
        <v>115.5</v>
      </c>
      <c r="V62">
        <v>114</v>
      </c>
      <c r="W62">
        <v>115.6</v>
      </c>
      <c r="X62">
        <v>113.3</v>
      </c>
      <c r="Y62">
        <v>112.8</v>
      </c>
      <c r="Z62">
        <v>112.6</v>
      </c>
      <c r="AA62">
        <v>118</v>
      </c>
      <c r="AB62">
        <v>109.9</v>
      </c>
      <c r="AC62">
        <v>113.7</v>
      </c>
      <c r="AD62">
        <v>120.3</v>
      </c>
      <c r="AE62">
        <f t="shared" si="0"/>
        <v>1594.4999999999998</v>
      </c>
      <c r="AF62">
        <f t="shared" si="1"/>
        <v>114</v>
      </c>
      <c r="AG62">
        <f t="shared" si="2"/>
        <v>112.8</v>
      </c>
      <c r="AH62">
        <f t="shared" si="3"/>
        <v>118</v>
      </c>
      <c r="AI62">
        <f t="shared" si="4"/>
        <v>1156.9000000000001</v>
      </c>
    </row>
    <row r="63" spans="1:35" x14ac:dyDescent="0.3">
      <c r="A63" t="s">
        <v>30</v>
      </c>
      <c r="B63">
        <v>2014</v>
      </c>
      <c r="C63" t="s">
        <v>41</v>
      </c>
      <c r="D63">
        <v>122.3</v>
      </c>
      <c r="E63">
        <v>122.4</v>
      </c>
      <c r="F63">
        <v>117.8</v>
      </c>
      <c r="G63">
        <v>122.7</v>
      </c>
      <c r="H63">
        <v>110.4</v>
      </c>
      <c r="I63">
        <v>129.80000000000001</v>
      </c>
      <c r="J63">
        <v>158.80000000000001</v>
      </c>
      <c r="K63">
        <v>115</v>
      </c>
      <c r="L63">
        <v>104.7</v>
      </c>
      <c r="M63">
        <v>114.9</v>
      </c>
      <c r="N63">
        <v>116.5</v>
      </c>
      <c r="O63">
        <v>122.6</v>
      </c>
      <c r="P63">
        <v>125.3</v>
      </c>
      <c r="Q63">
        <v>119.5</v>
      </c>
      <c r="R63">
        <v>121.7</v>
      </c>
      <c r="S63">
        <v>119.2</v>
      </c>
      <c r="T63">
        <v>121.3</v>
      </c>
      <c r="U63">
        <v>116.1</v>
      </c>
      <c r="V63">
        <v>115.8</v>
      </c>
      <c r="W63">
        <v>116.7</v>
      </c>
      <c r="X63">
        <v>114.5</v>
      </c>
      <c r="Y63">
        <v>112.8</v>
      </c>
      <c r="Z63">
        <v>112.6</v>
      </c>
      <c r="AA63">
        <v>116.6</v>
      </c>
      <c r="AB63">
        <v>109.1</v>
      </c>
      <c r="AC63">
        <v>113.7</v>
      </c>
      <c r="AD63">
        <v>120.9</v>
      </c>
      <c r="AE63">
        <f t="shared" si="0"/>
        <v>1583.2</v>
      </c>
      <c r="AF63">
        <f t="shared" si="1"/>
        <v>115.8</v>
      </c>
      <c r="AG63">
        <f t="shared" si="2"/>
        <v>112.8</v>
      </c>
      <c r="AH63">
        <f t="shared" si="3"/>
        <v>116.6</v>
      </c>
      <c r="AI63">
        <f t="shared" si="4"/>
        <v>1164.4000000000001</v>
      </c>
    </row>
    <row r="64" spans="1:35" x14ac:dyDescent="0.3">
      <c r="A64" t="s">
        <v>32</v>
      </c>
      <c r="B64">
        <v>2014</v>
      </c>
      <c r="C64" t="s">
        <v>41</v>
      </c>
      <c r="D64">
        <v>124.2</v>
      </c>
      <c r="E64">
        <v>125.4</v>
      </c>
      <c r="F64">
        <v>116.4</v>
      </c>
      <c r="G64">
        <v>122.7</v>
      </c>
      <c r="H64">
        <v>103.5</v>
      </c>
      <c r="I64">
        <v>124.5</v>
      </c>
      <c r="J64">
        <v>168.6</v>
      </c>
      <c r="K64">
        <v>116.9</v>
      </c>
      <c r="L64">
        <v>101.9</v>
      </c>
      <c r="M64">
        <v>122.9</v>
      </c>
      <c r="N64">
        <v>114.8</v>
      </c>
      <c r="O64">
        <v>125.2</v>
      </c>
      <c r="P64">
        <v>126.7</v>
      </c>
      <c r="Q64">
        <v>124.3</v>
      </c>
      <c r="R64">
        <v>119.2</v>
      </c>
      <c r="S64">
        <v>114.5</v>
      </c>
      <c r="T64">
        <v>118.4</v>
      </c>
      <c r="U64">
        <v>116.1</v>
      </c>
      <c r="V64">
        <v>111.8</v>
      </c>
      <c r="W64">
        <v>115.5</v>
      </c>
      <c r="X64">
        <v>112.3</v>
      </c>
      <c r="Y64">
        <v>111.2</v>
      </c>
      <c r="Z64">
        <v>113.4</v>
      </c>
      <c r="AA64">
        <v>120</v>
      </c>
      <c r="AB64">
        <v>110</v>
      </c>
      <c r="AC64">
        <v>113.6</v>
      </c>
      <c r="AD64">
        <v>119.2</v>
      </c>
      <c r="AE64">
        <f t="shared" si="0"/>
        <v>1593.7000000000003</v>
      </c>
      <c r="AF64">
        <f t="shared" si="1"/>
        <v>111.8</v>
      </c>
      <c r="AG64">
        <f t="shared" si="2"/>
        <v>111.2</v>
      </c>
      <c r="AH64">
        <f t="shared" si="3"/>
        <v>120</v>
      </c>
      <c r="AI64">
        <f t="shared" si="4"/>
        <v>1157.2999999999997</v>
      </c>
    </row>
    <row r="65" spans="1:35" x14ac:dyDescent="0.3">
      <c r="A65" t="s">
        <v>33</v>
      </c>
      <c r="B65">
        <v>2014</v>
      </c>
      <c r="C65" t="s">
        <v>41</v>
      </c>
      <c r="D65">
        <v>122.9</v>
      </c>
      <c r="E65">
        <v>123.5</v>
      </c>
      <c r="F65">
        <v>117.3</v>
      </c>
      <c r="G65">
        <v>122.7</v>
      </c>
      <c r="H65">
        <v>107.9</v>
      </c>
      <c r="I65">
        <v>127.3</v>
      </c>
      <c r="J65">
        <v>162.1</v>
      </c>
      <c r="K65">
        <v>115.6</v>
      </c>
      <c r="L65">
        <v>103.8</v>
      </c>
      <c r="M65">
        <v>117.6</v>
      </c>
      <c r="N65">
        <v>115.8</v>
      </c>
      <c r="O65">
        <v>123.8</v>
      </c>
      <c r="P65">
        <v>125.8</v>
      </c>
      <c r="Q65">
        <v>120.8</v>
      </c>
      <c r="R65">
        <v>120.7</v>
      </c>
      <c r="S65">
        <v>117.2</v>
      </c>
      <c r="T65">
        <v>120.1</v>
      </c>
      <c r="U65">
        <v>116.1</v>
      </c>
      <c r="V65">
        <v>114.3</v>
      </c>
      <c r="W65">
        <v>116.1</v>
      </c>
      <c r="X65">
        <v>113.7</v>
      </c>
      <c r="Y65">
        <v>112</v>
      </c>
      <c r="Z65">
        <v>113.1</v>
      </c>
      <c r="AA65">
        <v>118.6</v>
      </c>
      <c r="AB65">
        <v>109.5</v>
      </c>
      <c r="AC65">
        <v>113.7</v>
      </c>
      <c r="AD65">
        <v>120.1</v>
      </c>
      <c r="AE65">
        <f t="shared" si="0"/>
        <v>1586.0999999999997</v>
      </c>
      <c r="AF65">
        <f t="shared" si="1"/>
        <v>114.3</v>
      </c>
      <c r="AG65">
        <f t="shared" si="2"/>
        <v>112</v>
      </c>
      <c r="AH65">
        <f t="shared" si="3"/>
        <v>118.6</v>
      </c>
      <c r="AI65">
        <f t="shared" si="4"/>
        <v>1161.0000000000002</v>
      </c>
    </row>
    <row r="66" spans="1:35" x14ac:dyDescent="0.3">
      <c r="A66" t="s">
        <v>30</v>
      </c>
      <c r="B66">
        <v>2014</v>
      </c>
      <c r="C66" t="s">
        <v>42</v>
      </c>
      <c r="D66">
        <v>122.6</v>
      </c>
      <c r="E66">
        <v>122.5</v>
      </c>
      <c r="F66">
        <v>118.3</v>
      </c>
      <c r="G66">
        <v>123.2</v>
      </c>
      <c r="H66">
        <v>110.5</v>
      </c>
      <c r="I66">
        <v>128.9</v>
      </c>
      <c r="J66">
        <v>155.30000000000001</v>
      </c>
      <c r="K66">
        <v>115.5</v>
      </c>
      <c r="L66">
        <v>104</v>
      </c>
      <c r="M66">
        <v>115.3</v>
      </c>
      <c r="N66">
        <v>116.8</v>
      </c>
      <c r="O66">
        <v>123.2</v>
      </c>
      <c r="P66">
        <v>125.1</v>
      </c>
      <c r="Q66">
        <v>120</v>
      </c>
      <c r="R66">
        <v>122.7</v>
      </c>
      <c r="S66">
        <v>120.3</v>
      </c>
      <c r="T66">
        <v>122.3</v>
      </c>
      <c r="U66">
        <v>116.7</v>
      </c>
      <c r="V66">
        <v>116.4</v>
      </c>
      <c r="W66">
        <v>117.5</v>
      </c>
      <c r="X66">
        <v>115.3</v>
      </c>
      <c r="Y66">
        <v>112.6</v>
      </c>
      <c r="Z66">
        <v>113</v>
      </c>
      <c r="AA66">
        <v>116.9</v>
      </c>
      <c r="AB66">
        <v>109.3</v>
      </c>
      <c r="AC66">
        <v>114</v>
      </c>
      <c r="AD66">
        <v>121</v>
      </c>
      <c r="AE66">
        <f t="shared" si="0"/>
        <v>1581.1999999999998</v>
      </c>
      <c r="AF66">
        <f t="shared" si="1"/>
        <v>116.4</v>
      </c>
      <c r="AG66">
        <f t="shared" si="2"/>
        <v>112.6</v>
      </c>
      <c r="AH66">
        <f t="shared" si="3"/>
        <v>116.9</v>
      </c>
      <c r="AI66">
        <f t="shared" si="4"/>
        <v>1171.0999999999999</v>
      </c>
    </row>
    <row r="67" spans="1:35" x14ac:dyDescent="0.3">
      <c r="A67" t="s">
        <v>32</v>
      </c>
      <c r="B67">
        <v>2014</v>
      </c>
      <c r="C67" t="s">
        <v>42</v>
      </c>
      <c r="D67">
        <v>124.6</v>
      </c>
      <c r="E67">
        <v>126.1</v>
      </c>
      <c r="F67">
        <v>117.8</v>
      </c>
      <c r="G67">
        <v>123.1</v>
      </c>
      <c r="H67">
        <v>103.5</v>
      </c>
      <c r="I67">
        <v>123.5</v>
      </c>
      <c r="J67">
        <v>159.6</v>
      </c>
      <c r="K67">
        <v>117.4</v>
      </c>
      <c r="L67">
        <v>101.2</v>
      </c>
      <c r="M67">
        <v>123.8</v>
      </c>
      <c r="N67">
        <v>115.2</v>
      </c>
      <c r="O67">
        <v>125.9</v>
      </c>
      <c r="P67">
        <v>125.8</v>
      </c>
      <c r="Q67">
        <v>124.3</v>
      </c>
      <c r="R67">
        <v>119.6</v>
      </c>
      <c r="S67">
        <v>114.9</v>
      </c>
      <c r="T67">
        <v>118.9</v>
      </c>
      <c r="U67">
        <v>116.7</v>
      </c>
      <c r="V67">
        <v>112</v>
      </c>
      <c r="W67">
        <v>115.8</v>
      </c>
      <c r="X67">
        <v>112.6</v>
      </c>
      <c r="Y67">
        <v>111</v>
      </c>
      <c r="Z67">
        <v>113.6</v>
      </c>
      <c r="AA67">
        <v>120.2</v>
      </c>
      <c r="AB67">
        <v>110.1</v>
      </c>
      <c r="AC67">
        <v>113.7</v>
      </c>
      <c r="AD67">
        <v>119.1</v>
      </c>
      <c r="AE67">
        <f t="shared" si="0"/>
        <v>1587.5</v>
      </c>
      <c r="AF67">
        <f t="shared" si="1"/>
        <v>112</v>
      </c>
      <c r="AG67">
        <f t="shared" si="2"/>
        <v>111</v>
      </c>
      <c r="AH67">
        <f t="shared" si="3"/>
        <v>120.2</v>
      </c>
      <c r="AI67">
        <f t="shared" si="4"/>
        <v>1160.2</v>
      </c>
    </row>
    <row r="68" spans="1:35" x14ac:dyDescent="0.3">
      <c r="A68" t="s">
        <v>33</v>
      </c>
      <c r="B68">
        <v>2014</v>
      </c>
      <c r="C68" t="s">
        <v>42</v>
      </c>
      <c r="D68">
        <v>123.2</v>
      </c>
      <c r="E68">
        <v>123.8</v>
      </c>
      <c r="F68">
        <v>118.1</v>
      </c>
      <c r="G68">
        <v>123.2</v>
      </c>
      <c r="H68">
        <v>107.9</v>
      </c>
      <c r="I68">
        <v>126.4</v>
      </c>
      <c r="J68">
        <v>156.80000000000001</v>
      </c>
      <c r="K68">
        <v>116.1</v>
      </c>
      <c r="L68">
        <v>103.1</v>
      </c>
      <c r="M68">
        <v>118.1</v>
      </c>
      <c r="N68">
        <v>116.1</v>
      </c>
      <c r="O68">
        <v>124.5</v>
      </c>
      <c r="P68">
        <v>125.4</v>
      </c>
      <c r="Q68">
        <v>121.1</v>
      </c>
      <c r="R68">
        <v>121.5</v>
      </c>
      <c r="S68">
        <v>118.1</v>
      </c>
      <c r="T68">
        <v>121</v>
      </c>
      <c r="U68">
        <v>116.7</v>
      </c>
      <c r="V68">
        <v>114.7</v>
      </c>
      <c r="W68">
        <v>116.7</v>
      </c>
      <c r="X68">
        <v>114.3</v>
      </c>
      <c r="Y68">
        <v>111.8</v>
      </c>
      <c r="Z68">
        <v>113.3</v>
      </c>
      <c r="AA68">
        <v>118.8</v>
      </c>
      <c r="AB68">
        <v>109.6</v>
      </c>
      <c r="AC68">
        <v>113.9</v>
      </c>
      <c r="AD68">
        <v>120.1</v>
      </c>
      <c r="AE68">
        <f t="shared" ref="AE68:AE131" si="5">SUM(D68:P68)</f>
        <v>1582.7</v>
      </c>
      <c r="AF68">
        <f t="shared" ref="AF68:AF131" si="6">SUM(V68)</f>
        <v>114.7</v>
      </c>
      <c r="AG68">
        <f t="shared" ref="AG68:AG131" si="7">SUM(Y68)</f>
        <v>111.8</v>
      </c>
      <c r="AH68">
        <f t="shared" ref="AH68:AH131" si="8">SUM(AA68)</f>
        <v>118.8</v>
      </c>
      <c r="AI68">
        <f t="shared" ref="AI68:AI131" si="9">SUM(Q68:U68,W68:X68,Z68,AB68:AC68)</f>
        <v>1166.2</v>
      </c>
    </row>
    <row r="69" spans="1:35" x14ac:dyDescent="0.3">
      <c r="A69" t="s">
        <v>30</v>
      </c>
      <c r="B69">
        <v>2014</v>
      </c>
      <c r="C69" t="s">
        <v>44</v>
      </c>
      <c r="D69">
        <v>122.7</v>
      </c>
      <c r="E69">
        <v>122.6</v>
      </c>
      <c r="F69">
        <v>119.9</v>
      </c>
      <c r="G69">
        <v>124</v>
      </c>
      <c r="H69">
        <v>110.5</v>
      </c>
      <c r="I69">
        <v>128.80000000000001</v>
      </c>
      <c r="J69">
        <v>152</v>
      </c>
      <c r="K69">
        <v>116.2</v>
      </c>
      <c r="L69">
        <v>103.3</v>
      </c>
      <c r="M69">
        <v>115.8</v>
      </c>
      <c r="N69">
        <v>116.8</v>
      </c>
      <c r="O69">
        <v>124.5</v>
      </c>
      <c r="P69">
        <v>124.9</v>
      </c>
      <c r="Q69">
        <v>120.8</v>
      </c>
      <c r="R69">
        <v>123.3</v>
      </c>
      <c r="S69">
        <v>120.5</v>
      </c>
      <c r="T69">
        <v>122.9</v>
      </c>
      <c r="U69">
        <v>117.1</v>
      </c>
      <c r="V69">
        <v>117.3</v>
      </c>
      <c r="W69">
        <v>118.1</v>
      </c>
      <c r="X69">
        <v>115.9</v>
      </c>
      <c r="Y69">
        <v>112</v>
      </c>
      <c r="Z69">
        <v>113.3</v>
      </c>
      <c r="AA69">
        <v>117.2</v>
      </c>
      <c r="AB69">
        <v>108.8</v>
      </c>
      <c r="AC69">
        <v>114.1</v>
      </c>
      <c r="AD69">
        <v>121.1</v>
      </c>
      <c r="AE69">
        <f t="shared" si="5"/>
        <v>1582</v>
      </c>
      <c r="AF69">
        <f t="shared" si="6"/>
        <v>117.3</v>
      </c>
      <c r="AG69">
        <f t="shared" si="7"/>
        <v>112</v>
      </c>
      <c r="AH69">
        <f t="shared" si="8"/>
        <v>117.2</v>
      </c>
      <c r="AI69">
        <f t="shared" si="9"/>
        <v>1174.8</v>
      </c>
    </row>
    <row r="70" spans="1:35" x14ac:dyDescent="0.3">
      <c r="A70" t="s">
        <v>32</v>
      </c>
      <c r="B70">
        <v>2014</v>
      </c>
      <c r="C70" t="s">
        <v>44</v>
      </c>
      <c r="D70">
        <v>124.5</v>
      </c>
      <c r="E70">
        <v>125.6</v>
      </c>
      <c r="F70">
        <v>122.7</v>
      </c>
      <c r="G70">
        <v>124.6</v>
      </c>
      <c r="H70">
        <v>103.2</v>
      </c>
      <c r="I70">
        <v>122.2</v>
      </c>
      <c r="J70">
        <v>153.19999999999999</v>
      </c>
      <c r="K70">
        <v>119.3</v>
      </c>
      <c r="L70">
        <v>99.8</v>
      </c>
      <c r="M70">
        <v>124.6</v>
      </c>
      <c r="N70">
        <v>115.8</v>
      </c>
      <c r="O70">
        <v>126.9</v>
      </c>
      <c r="P70">
        <v>125.4</v>
      </c>
      <c r="Q70">
        <v>125.8</v>
      </c>
      <c r="R70">
        <v>120.3</v>
      </c>
      <c r="S70">
        <v>115.4</v>
      </c>
      <c r="T70">
        <v>119.5</v>
      </c>
      <c r="U70">
        <v>117.1</v>
      </c>
      <c r="V70">
        <v>112.6</v>
      </c>
      <c r="W70">
        <v>116.4</v>
      </c>
      <c r="X70">
        <v>113</v>
      </c>
      <c r="Y70">
        <v>109.7</v>
      </c>
      <c r="Z70">
        <v>114</v>
      </c>
      <c r="AA70">
        <v>120.3</v>
      </c>
      <c r="AB70">
        <v>109.6</v>
      </c>
      <c r="AC70">
        <v>113.4</v>
      </c>
      <c r="AD70">
        <v>119</v>
      </c>
      <c r="AE70">
        <f t="shared" si="5"/>
        <v>1587.8</v>
      </c>
      <c r="AF70">
        <f t="shared" si="6"/>
        <v>112.6</v>
      </c>
      <c r="AG70">
        <f t="shared" si="7"/>
        <v>109.7</v>
      </c>
      <c r="AH70">
        <f t="shared" si="8"/>
        <v>120.3</v>
      </c>
      <c r="AI70">
        <f t="shared" si="9"/>
        <v>1164.5</v>
      </c>
    </row>
    <row r="71" spans="1:35" x14ac:dyDescent="0.3">
      <c r="A71" t="s">
        <v>33</v>
      </c>
      <c r="B71">
        <v>2014</v>
      </c>
      <c r="C71" t="s">
        <v>44</v>
      </c>
      <c r="D71">
        <v>123.3</v>
      </c>
      <c r="E71">
        <v>123.7</v>
      </c>
      <c r="F71">
        <v>121</v>
      </c>
      <c r="G71">
        <v>124.2</v>
      </c>
      <c r="H71">
        <v>107.8</v>
      </c>
      <c r="I71">
        <v>125.7</v>
      </c>
      <c r="J71">
        <v>152.4</v>
      </c>
      <c r="K71">
        <v>117.2</v>
      </c>
      <c r="L71">
        <v>102.1</v>
      </c>
      <c r="M71">
        <v>118.7</v>
      </c>
      <c r="N71">
        <v>116.4</v>
      </c>
      <c r="O71">
        <v>125.6</v>
      </c>
      <c r="P71">
        <v>125.1</v>
      </c>
      <c r="Q71">
        <v>122.1</v>
      </c>
      <c r="R71">
        <v>122.1</v>
      </c>
      <c r="S71">
        <v>118.4</v>
      </c>
      <c r="T71">
        <v>121.6</v>
      </c>
      <c r="U71">
        <v>117.1</v>
      </c>
      <c r="V71">
        <v>115.5</v>
      </c>
      <c r="W71">
        <v>117.3</v>
      </c>
      <c r="X71">
        <v>114.8</v>
      </c>
      <c r="Y71">
        <v>110.8</v>
      </c>
      <c r="Z71">
        <v>113.7</v>
      </c>
      <c r="AA71">
        <v>119</v>
      </c>
      <c r="AB71">
        <v>109.1</v>
      </c>
      <c r="AC71">
        <v>113.8</v>
      </c>
      <c r="AD71">
        <v>120.1</v>
      </c>
      <c r="AE71">
        <f t="shared" si="5"/>
        <v>1583.2</v>
      </c>
      <c r="AF71">
        <f t="shared" si="6"/>
        <v>115.5</v>
      </c>
      <c r="AG71">
        <f t="shared" si="7"/>
        <v>110.8</v>
      </c>
      <c r="AH71">
        <f t="shared" si="8"/>
        <v>119</v>
      </c>
      <c r="AI71">
        <f t="shared" si="9"/>
        <v>1170</v>
      </c>
    </row>
    <row r="72" spans="1:35" x14ac:dyDescent="0.3">
      <c r="A72" t="s">
        <v>30</v>
      </c>
      <c r="B72">
        <v>2014</v>
      </c>
      <c r="C72" t="s">
        <v>45</v>
      </c>
      <c r="D72">
        <v>122.4</v>
      </c>
      <c r="E72">
        <v>122.4</v>
      </c>
      <c r="F72">
        <v>121.8</v>
      </c>
      <c r="G72">
        <v>124.2</v>
      </c>
      <c r="H72">
        <v>110.2</v>
      </c>
      <c r="I72">
        <v>128.6</v>
      </c>
      <c r="J72">
        <v>140.30000000000001</v>
      </c>
      <c r="K72">
        <v>116.3</v>
      </c>
      <c r="L72">
        <v>102</v>
      </c>
      <c r="M72">
        <v>116</v>
      </c>
      <c r="N72">
        <v>117.3</v>
      </c>
      <c r="O72">
        <v>124.8</v>
      </c>
      <c r="P72">
        <v>123.3</v>
      </c>
      <c r="Q72">
        <v>121.7</v>
      </c>
      <c r="R72">
        <v>123.8</v>
      </c>
      <c r="S72">
        <v>120.6</v>
      </c>
      <c r="T72">
        <v>123.3</v>
      </c>
      <c r="U72">
        <v>116.5</v>
      </c>
      <c r="V72">
        <v>117.4</v>
      </c>
      <c r="W72">
        <v>118.2</v>
      </c>
      <c r="X72">
        <v>116.2</v>
      </c>
      <c r="Y72">
        <v>111.5</v>
      </c>
      <c r="Z72">
        <v>113.3</v>
      </c>
      <c r="AA72">
        <v>117.7</v>
      </c>
      <c r="AB72">
        <v>109.4</v>
      </c>
      <c r="AC72">
        <v>114.2</v>
      </c>
      <c r="AD72">
        <v>120.3</v>
      </c>
      <c r="AE72">
        <f t="shared" si="5"/>
        <v>1569.6</v>
      </c>
      <c r="AF72">
        <f t="shared" si="6"/>
        <v>117.4</v>
      </c>
      <c r="AG72">
        <f t="shared" si="7"/>
        <v>111.5</v>
      </c>
      <c r="AH72">
        <f t="shared" si="8"/>
        <v>117.7</v>
      </c>
      <c r="AI72">
        <f t="shared" si="9"/>
        <v>1177.2000000000003</v>
      </c>
    </row>
    <row r="73" spans="1:35" x14ac:dyDescent="0.3">
      <c r="A73" t="s">
        <v>32</v>
      </c>
      <c r="B73">
        <v>2014</v>
      </c>
      <c r="C73" t="s">
        <v>45</v>
      </c>
      <c r="D73">
        <v>124</v>
      </c>
      <c r="E73">
        <v>124.7</v>
      </c>
      <c r="F73">
        <v>126.3</v>
      </c>
      <c r="G73">
        <v>124.9</v>
      </c>
      <c r="H73">
        <v>103</v>
      </c>
      <c r="I73">
        <v>122.3</v>
      </c>
      <c r="J73">
        <v>141</v>
      </c>
      <c r="K73">
        <v>120.1</v>
      </c>
      <c r="L73">
        <v>97.8</v>
      </c>
      <c r="M73">
        <v>125.4</v>
      </c>
      <c r="N73">
        <v>116.1</v>
      </c>
      <c r="O73">
        <v>127.6</v>
      </c>
      <c r="P73">
        <v>124</v>
      </c>
      <c r="Q73">
        <v>126.4</v>
      </c>
      <c r="R73">
        <v>120.7</v>
      </c>
      <c r="S73">
        <v>115.8</v>
      </c>
      <c r="T73">
        <v>120</v>
      </c>
      <c r="U73">
        <v>116.5</v>
      </c>
      <c r="V73">
        <v>113</v>
      </c>
      <c r="W73">
        <v>116.8</v>
      </c>
      <c r="X73">
        <v>113.2</v>
      </c>
      <c r="Y73">
        <v>108.8</v>
      </c>
      <c r="Z73">
        <v>114.3</v>
      </c>
      <c r="AA73">
        <v>120.7</v>
      </c>
      <c r="AB73">
        <v>110.4</v>
      </c>
      <c r="AC73">
        <v>113.4</v>
      </c>
      <c r="AD73">
        <v>118.4</v>
      </c>
      <c r="AE73">
        <f t="shared" si="5"/>
        <v>1577.1999999999998</v>
      </c>
      <c r="AF73">
        <f t="shared" si="6"/>
        <v>113</v>
      </c>
      <c r="AG73">
        <f t="shared" si="7"/>
        <v>108.8</v>
      </c>
      <c r="AH73">
        <f t="shared" si="8"/>
        <v>120.7</v>
      </c>
      <c r="AI73">
        <f t="shared" si="9"/>
        <v>1167.5000000000002</v>
      </c>
    </row>
    <row r="74" spans="1:35" x14ac:dyDescent="0.3">
      <c r="A74" t="s">
        <v>33</v>
      </c>
      <c r="B74">
        <v>2014</v>
      </c>
      <c r="C74" t="s">
        <v>45</v>
      </c>
      <c r="D74">
        <v>122.9</v>
      </c>
      <c r="E74">
        <v>123.2</v>
      </c>
      <c r="F74">
        <v>123.5</v>
      </c>
      <c r="G74">
        <v>124.5</v>
      </c>
      <c r="H74">
        <v>107.6</v>
      </c>
      <c r="I74">
        <v>125.7</v>
      </c>
      <c r="J74">
        <v>140.5</v>
      </c>
      <c r="K74">
        <v>117.6</v>
      </c>
      <c r="L74">
        <v>100.6</v>
      </c>
      <c r="M74">
        <v>119.1</v>
      </c>
      <c r="N74">
        <v>116.8</v>
      </c>
      <c r="O74">
        <v>126.1</v>
      </c>
      <c r="P74">
        <v>123.6</v>
      </c>
      <c r="Q74">
        <v>123</v>
      </c>
      <c r="R74">
        <v>122.6</v>
      </c>
      <c r="S74">
        <v>118.6</v>
      </c>
      <c r="T74">
        <v>122</v>
      </c>
      <c r="U74">
        <v>116.5</v>
      </c>
      <c r="V74">
        <v>115.7</v>
      </c>
      <c r="W74">
        <v>117.5</v>
      </c>
      <c r="X74">
        <v>115.1</v>
      </c>
      <c r="Y74">
        <v>110.1</v>
      </c>
      <c r="Z74">
        <v>113.9</v>
      </c>
      <c r="AA74">
        <v>119.5</v>
      </c>
      <c r="AB74">
        <v>109.8</v>
      </c>
      <c r="AC74">
        <v>113.8</v>
      </c>
      <c r="AD74">
        <v>119.4</v>
      </c>
      <c r="AE74">
        <f t="shared" si="5"/>
        <v>1571.6999999999998</v>
      </c>
      <c r="AF74">
        <f t="shared" si="6"/>
        <v>115.7</v>
      </c>
      <c r="AG74">
        <f t="shared" si="7"/>
        <v>110.1</v>
      </c>
      <c r="AH74">
        <f t="shared" si="8"/>
        <v>119.5</v>
      </c>
      <c r="AI74">
        <f t="shared" si="9"/>
        <v>1172.8</v>
      </c>
    </row>
    <row r="75" spans="1:35" x14ac:dyDescent="0.3">
      <c r="A75" t="s">
        <v>30</v>
      </c>
      <c r="B75">
        <v>2015</v>
      </c>
      <c r="C75" t="s">
        <v>31</v>
      </c>
      <c r="D75">
        <v>123.1</v>
      </c>
      <c r="E75">
        <v>123.1</v>
      </c>
      <c r="F75">
        <v>122.1</v>
      </c>
      <c r="G75">
        <v>124.9</v>
      </c>
      <c r="H75">
        <v>111</v>
      </c>
      <c r="I75">
        <v>130.4</v>
      </c>
      <c r="J75">
        <v>132.30000000000001</v>
      </c>
      <c r="K75">
        <v>117.2</v>
      </c>
      <c r="L75">
        <v>100.5</v>
      </c>
      <c r="M75">
        <v>117.2</v>
      </c>
      <c r="N75">
        <v>117.9</v>
      </c>
      <c r="O75">
        <v>125.6</v>
      </c>
      <c r="P75">
        <v>122.8</v>
      </c>
      <c r="Q75">
        <v>122.7</v>
      </c>
      <c r="R75">
        <v>124.4</v>
      </c>
      <c r="S75">
        <v>121.6</v>
      </c>
      <c r="T75">
        <v>124</v>
      </c>
      <c r="U75">
        <v>117.3</v>
      </c>
      <c r="V75">
        <v>118.4</v>
      </c>
      <c r="W75">
        <v>118.9</v>
      </c>
      <c r="X75">
        <v>116.6</v>
      </c>
      <c r="Y75">
        <v>111</v>
      </c>
      <c r="Z75">
        <v>114</v>
      </c>
      <c r="AA75">
        <v>118.2</v>
      </c>
      <c r="AB75">
        <v>110.2</v>
      </c>
      <c r="AC75">
        <v>114.5</v>
      </c>
      <c r="AD75">
        <v>120.3</v>
      </c>
      <c r="AE75">
        <f t="shared" si="5"/>
        <v>1568.1</v>
      </c>
      <c r="AF75">
        <f t="shared" si="6"/>
        <v>118.4</v>
      </c>
      <c r="AG75">
        <f t="shared" si="7"/>
        <v>111</v>
      </c>
      <c r="AH75">
        <f t="shared" si="8"/>
        <v>118.2</v>
      </c>
      <c r="AI75">
        <f t="shared" si="9"/>
        <v>1184.2</v>
      </c>
    </row>
    <row r="76" spans="1:35" x14ac:dyDescent="0.3">
      <c r="A76" t="s">
        <v>32</v>
      </c>
      <c r="B76">
        <v>2015</v>
      </c>
      <c r="C76" t="s">
        <v>31</v>
      </c>
      <c r="D76">
        <v>124</v>
      </c>
      <c r="E76">
        <v>125.5</v>
      </c>
      <c r="F76">
        <v>126.6</v>
      </c>
      <c r="G76">
        <v>125.2</v>
      </c>
      <c r="H76">
        <v>104.3</v>
      </c>
      <c r="I76">
        <v>121.3</v>
      </c>
      <c r="J76">
        <v>134.4</v>
      </c>
      <c r="K76">
        <v>122.9</v>
      </c>
      <c r="L76">
        <v>96.1</v>
      </c>
      <c r="M76">
        <v>126.6</v>
      </c>
      <c r="N76">
        <v>116.5</v>
      </c>
      <c r="O76">
        <v>128</v>
      </c>
      <c r="P76">
        <v>123.5</v>
      </c>
      <c r="Q76">
        <v>127.4</v>
      </c>
      <c r="R76">
        <v>121</v>
      </c>
      <c r="S76">
        <v>116.1</v>
      </c>
      <c r="T76">
        <v>120.2</v>
      </c>
      <c r="U76">
        <v>117.3</v>
      </c>
      <c r="V76">
        <v>113.4</v>
      </c>
      <c r="W76">
        <v>117.2</v>
      </c>
      <c r="X76">
        <v>113.7</v>
      </c>
      <c r="Y76">
        <v>107.9</v>
      </c>
      <c r="Z76">
        <v>114.6</v>
      </c>
      <c r="AA76">
        <v>120.8</v>
      </c>
      <c r="AB76">
        <v>111.4</v>
      </c>
      <c r="AC76">
        <v>113.4</v>
      </c>
      <c r="AD76">
        <v>118.5</v>
      </c>
      <c r="AE76">
        <f t="shared" si="5"/>
        <v>1574.8999999999999</v>
      </c>
      <c r="AF76">
        <f t="shared" si="6"/>
        <v>113.4</v>
      </c>
      <c r="AG76">
        <f t="shared" si="7"/>
        <v>107.9</v>
      </c>
      <c r="AH76">
        <f t="shared" si="8"/>
        <v>120.8</v>
      </c>
      <c r="AI76">
        <f t="shared" si="9"/>
        <v>1172.3000000000002</v>
      </c>
    </row>
    <row r="77" spans="1:35" x14ac:dyDescent="0.3">
      <c r="A77" t="s">
        <v>33</v>
      </c>
      <c r="B77">
        <v>2015</v>
      </c>
      <c r="C77" t="s">
        <v>31</v>
      </c>
      <c r="D77">
        <v>123.4</v>
      </c>
      <c r="E77">
        <v>123.9</v>
      </c>
      <c r="F77">
        <v>123.8</v>
      </c>
      <c r="G77">
        <v>125</v>
      </c>
      <c r="H77">
        <v>108.5</v>
      </c>
      <c r="I77">
        <v>126.2</v>
      </c>
      <c r="J77">
        <v>133</v>
      </c>
      <c r="K77">
        <v>119.1</v>
      </c>
      <c r="L77">
        <v>99</v>
      </c>
      <c r="M77">
        <v>120.3</v>
      </c>
      <c r="N77">
        <v>117.3</v>
      </c>
      <c r="O77">
        <v>126.7</v>
      </c>
      <c r="P77">
        <v>123.1</v>
      </c>
      <c r="Q77">
        <v>124</v>
      </c>
      <c r="R77">
        <v>123.1</v>
      </c>
      <c r="S77">
        <v>119.3</v>
      </c>
      <c r="T77">
        <v>122.5</v>
      </c>
      <c r="U77">
        <v>117.3</v>
      </c>
      <c r="V77">
        <v>116.5</v>
      </c>
      <c r="W77">
        <v>118.1</v>
      </c>
      <c r="X77">
        <v>115.5</v>
      </c>
      <c r="Y77">
        <v>109.4</v>
      </c>
      <c r="Z77">
        <v>114.3</v>
      </c>
      <c r="AA77">
        <v>119.7</v>
      </c>
      <c r="AB77">
        <v>110.7</v>
      </c>
      <c r="AC77">
        <v>114</v>
      </c>
      <c r="AD77">
        <v>119.5</v>
      </c>
      <c r="AE77">
        <f t="shared" si="5"/>
        <v>1569.3</v>
      </c>
      <c r="AF77">
        <f t="shared" si="6"/>
        <v>116.5</v>
      </c>
      <c r="AG77">
        <f t="shared" si="7"/>
        <v>109.4</v>
      </c>
      <c r="AH77">
        <f t="shared" si="8"/>
        <v>119.7</v>
      </c>
      <c r="AI77">
        <f t="shared" si="9"/>
        <v>1178.8</v>
      </c>
    </row>
    <row r="78" spans="1:35" x14ac:dyDescent="0.3">
      <c r="A78" t="s">
        <v>30</v>
      </c>
      <c r="B78">
        <v>2015</v>
      </c>
      <c r="C78" t="s">
        <v>34</v>
      </c>
      <c r="D78">
        <v>123.4</v>
      </c>
      <c r="E78">
        <v>124.4</v>
      </c>
      <c r="F78">
        <v>122.1</v>
      </c>
      <c r="G78">
        <v>125.8</v>
      </c>
      <c r="H78">
        <v>111.5</v>
      </c>
      <c r="I78">
        <v>129.4</v>
      </c>
      <c r="J78">
        <v>128.19999999999999</v>
      </c>
      <c r="K78">
        <v>118.8</v>
      </c>
      <c r="L78">
        <v>100</v>
      </c>
      <c r="M78">
        <v>118.6</v>
      </c>
      <c r="N78">
        <v>118.8</v>
      </c>
      <c r="O78">
        <v>126.8</v>
      </c>
      <c r="P78">
        <v>122.8</v>
      </c>
      <c r="Q78">
        <v>124.2</v>
      </c>
      <c r="R78">
        <v>125.4</v>
      </c>
      <c r="S78">
        <v>122.7</v>
      </c>
      <c r="T78">
        <v>125</v>
      </c>
      <c r="U78">
        <v>118.1</v>
      </c>
      <c r="V78">
        <v>120</v>
      </c>
      <c r="W78">
        <v>119.6</v>
      </c>
      <c r="X78">
        <v>117.7</v>
      </c>
      <c r="Y78">
        <v>110.9</v>
      </c>
      <c r="Z78">
        <v>114.8</v>
      </c>
      <c r="AA78">
        <v>118.7</v>
      </c>
      <c r="AB78">
        <v>110.8</v>
      </c>
      <c r="AC78">
        <v>115</v>
      </c>
      <c r="AD78">
        <v>120.6</v>
      </c>
      <c r="AE78">
        <f t="shared" si="5"/>
        <v>1570.5999999999997</v>
      </c>
      <c r="AF78">
        <f t="shared" si="6"/>
        <v>120</v>
      </c>
      <c r="AG78">
        <f t="shared" si="7"/>
        <v>110.9</v>
      </c>
      <c r="AH78">
        <f t="shared" si="8"/>
        <v>118.7</v>
      </c>
      <c r="AI78">
        <f t="shared" si="9"/>
        <v>1193.3</v>
      </c>
    </row>
    <row r="79" spans="1:35" x14ac:dyDescent="0.3">
      <c r="A79" t="s">
        <v>32</v>
      </c>
      <c r="B79">
        <v>2015</v>
      </c>
      <c r="C79" t="s">
        <v>34</v>
      </c>
      <c r="D79">
        <v>124.3</v>
      </c>
      <c r="E79">
        <v>126.5</v>
      </c>
      <c r="F79">
        <v>119.5</v>
      </c>
      <c r="G79">
        <v>125.6</v>
      </c>
      <c r="H79">
        <v>104.9</v>
      </c>
      <c r="I79">
        <v>121.6</v>
      </c>
      <c r="J79">
        <v>131.80000000000001</v>
      </c>
      <c r="K79">
        <v>125.1</v>
      </c>
      <c r="L79">
        <v>95</v>
      </c>
      <c r="M79">
        <v>127.7</v>
      </c>
      <c r="N79">
        <v>116.8</v>
      </c>
      <c r="O79">
        <v>128.6</v>
      </c>
      <c r="P79">
        <v>123.7</v>
      </c>
      <c r="Q79">
        <v>128.1</v>
      </c>
      <c r="R79">
        <v>121.3</v>
      </c>
      <c r="S79">
        <v>116.5</v>
      </c>
      <c r="T79">
        <v>120.6</v>
      </c>
      <c r="U79">
        <v>118.1</v>
      </c>
      <c r="V79">
        <v>114</v>
      </c>
      <c r="W79">
        <v>117.7</v>
      </c>
      <c r="X79">
        <v>114.1</v>
      </c>
      <c r="Y79">
        <v>106.8</v>
      </c>
      <c r="Z79">
        <v>114.9</v>
      </c>
      <c r="AA79">
        <v>120.4</v>
      </c>
      <c r="AB79">
        <v>111.7</v>
      </c>
      <c r="AC79">
        <v>113.2</v>
      </c>
      <c r="AD79">
        <v>118.7</v>
      </c>
      <c r="AE79">
        <f t="shared" si="5"/>
        <v>1571.1000000000001</v>
      </c>
      <c r="AF79">
        <f t="shared" si="6"/>
        <v>114</v>
      </c>
      <c r="AG79">
        <f t="shared" si="7"/>
        <v>106.8</v>
      </c>
      <c r="AH79">
        <f t="shared" si="8"/>
        <v>120.4</v>
      </c>
      <c r="AI79">
        <f t="shared" si="9"/>
        <v>1176.2</v>
      </c>
    </row>
    <row r="80" spans="1:35" x14ac:dyDescent="0.3">
      <c r="A80" t="s">
        <v>33</v>
      </c>
      <c r="B80">
        <v>2015</v>
      </c>
      <c r="C80" t="s">
        <v>34</v>
      </c>
      <c r="D80">
        <v>123.7</v>
      </c>
      <c r="E80">
        <v>125.1</v>
      </c>
      <c r="F80">
        <v>121.1</v>
      </c>
      <c r="G80">
        <v>125.7</v>
      </c>
      <c r="H80">
        <v>109.1</v>
      </c>
      <c r="I80">
        <v>125.8</v>
      </c>
      <c r="J80">
        <v>129.4</v>
      </c>
      <c r="K80">
        <v>120.9</v>
      </c>
      <c r="L80">
        <v>98.3</v>
      </c>
      <c r="M80">
        <v>121.6</v>
      </c>
      <c r="N80">
        <v>118</v>
      </c>
      <c r="O80">
        <v>127.6</v>
      </c>
      <c r="P80">
        <v>123.1</v>
      </c>
      <c r="Q80">
        <v>125.2</v>
      </c>
      <c r="R80">
        <v>123.8</v>
      </c>
      <c r="S80">
        <v>120.1</v>
      </c>
      <c r="T80">
        <v>123.3</v>
      </c>
      <c r="U80">
        <v>118.1</v>
      </c>
      <c r="V80">
        <v>117.7</v>
      </c>
      <c r="W80">
        <v>118.7</v>
      </c>
      <c r="X80">
        <v>116.3</v>
      </c>
      <c r="Y80">
        <v>108.7</v>
      </c>
      <c r="Z80">
        <v>114.9</v>
      </c>
      <c r="AA80">
        <v>119.7</v>
      </c>
      <c r="AB80">
        <v>111.2</v>
      </c>
      <c r="AC80">
        <v>114.1</v>
      </c>
      <c r="AD80">
        <v>119.7</v>
      </c>
      <c r="AE80">
        <f t="shared" si="5"/>
        <v>1569.3999999999996</v>
      </c>
      <c r="AF80">
        <f t="shared" si="6"/>
        <v>117.7</v>
      </c>
      <c r="AG80">
        <f t="shared" si="7"/>
        <v>108.7</v>
      </c>
      <c r="AH80">
        <f t="shared" si="8"/>
        <v>119.7</v>
      </c>
      <c r="AI80">
        <f t="shared" si="9"/>
        <v>1185.6999999999998</v>
      </c>
    </row>
    <row r="81" spans="1:35" x14ac:dyDescent="0.3">
      <c r="A81" t="s">
        <v>30</v>
      </c>
      <c r="B81">
        <v>2015</v>
      </c>
      <c r="C81" t="s">
        <v>35</v>
      </c>
      <c r="D81">
        <v>123.3</v>
      </c>
      <c r="E81">
        <v>124.7</v>
      </c>
      <c r="F81">
        <v>118.9</v>
      </c>
      <c r="G81">
        <v>126</v>
      </c>
      <c r="H81">
        <v>111.8</v>
      </c>
      <c r="I81">
        <v>130.9</v>
      </c>
      <c r="J81">
        <v>128</v>
      </c>
      <c r="K81">
        <v>119.9</v>
      </c>
      <c r="L81">
        <v>98.9</v>
      </c>
      <c r="M81">
        <v>119.4</v>
      </c>
      <c r="N81">
        <v>118.9</v>
      </c>
      <c r="O81">
        <v>127.7</v>
      </c>
      <c r="P81">
        <v>123.1</v>
      </c>
      <c r="Q81">
        <v>124.7</v>
      </c>
      <c r="R81">
        <v>126</v>
      </c>
      <c r="S81">
        <v>122.9</v>
      </c>
      <c r="T81">
        <v>125.5</v>
      </c>
      <c r="U81">
        <v>118.6</v>
      </c>
      <c r="V81">
        <v>120.6</v>
      </c>
      <c r="W81">
        <v>120.2</v>
      </c>
      <c r="X81">
        <v>118.2</v>
      </c>
      <c r="Y81">
        <v>111.6</v>
      </c>
      <c r="Z81">
        <v>115.5</v>
      </c>
      <c r="AA81">
        <v>119.4</v>
      </c>
      <c r="AB81">
        <v>110.8</v>
      </c>
      <c r="AC81">
        <v>115.5</v>
      </c>
      <c r="AD81">
        <v>121.1</v>
      </c>
      <c r="AE81">
        <f t="shared" si="5"/>
        <v>1571.5</v>
      </c>
      <c r="AF81">
        <f t="shared" si="6"/>
        <v>120.6</v>
      </c>
      <c r="AG81">
        <f t="shared" si="7"/>
        <v>111.6</v>
      </c>
      <c r="AH81">
        <f t="shared" si="8"/>
        <v>119.4</v>
      </c>
      <c r="AI81">
        <f t="shared" si="9"/>
        <v>1197.9000000000001</v>
      </c>
    </row>
    <row r="82" spans="1:35" x14ac:dyDescent="0.3">
      <c r="A82" t="s">
        <v>32</v>
      </c>
      <c r="B82">
        <v>2015</v>
      </c>
      <c r="C82" t="s">
        <v>35</v>
      </c>
      <c r="D82">
        <v>124</v>
      </c>
      <c r="E82">
        <v>126.7</v>
      </c>
      <c r="F82">
        <v>113.5</v>
      </c>
      <c r="G82">
        <v>125.9</v>
      </c>
      <c r="H82">
        <v>104.8</v>
      </c>
      <c r="I82">
        <v>123.8</v>
      </c>
      <c r="J82">
        <v>131.4</v>
      </c>
      <c r="K82">
        <v>127.2</v>
      </c>
      <c r="L82">
        <v>93.2</v>
      </c>
      <c r="M82">
        <v>127.4</v>
      </c>
      <c r="N82">
        <v>117</v>
      </c>
      <c r="O82">
        <v>129.19999999999999</v>
      </c>
      <c r="P82">
        <v>123.9</v>
      </c>
      <c r="Q82">
        <v>128.80000000000001</v>
      </c>
      <c r="R82">
        <v>121.7</v>
      </c>
      <c r="S82">
        <v>116.9</v>
      </c>
      <c r="T82">
        <v>120.9</v>
      </c>
      <c r="U82">
        <v>118.6</v>
      </c>
      <c r="V82">
        <v>114.4</v>
      </c>
      <c r="W82">
        <v>118</v>
      </c>
      <c r="X82">
        <v>114.3</v>
      </c>
      <c r="Y82">
        <v>108.4</v>
      </c>
      <c r="Z82">
        <v>115.4</v>
      </c>
      <c r="AA82">
        <v>120.6</v>
      </c>
      <c r="AB82">
        <v>111.3</v>
      </c>
      <c r="AC82">
        <v>113.8</v>
      </c>
      <c r="AD82">
        <v>119.1</v>
      </c>
      <c r="AE82">
        <f t="shared" si="5"/>
        <v>1568.0000000000002</v>
      </c>
      <c r="AF82">
        <f t="shared" si="6"/>
        <v>114.4</v>
      </c>
      <c r="AG82">
        <f t="shared" si="7"/>
        <v>108.4</v>
      </c>
      <c r="AH82">
        <f t="shared" si="8"/>
        <v>120.6</v>
      </c>
      <c r="AI82">
        <f t="shared" si="9"/>
        <v>1179.6999999999998</v>
      </c>
    </row>
    <row r="83" spans="1:35" x14ac:dyDescent="0.3">
      <c r="A83" t="s">
        <v>33</v>
      </c>
      <c r="B83">
        <v>2015</v>
      </c>
      <c r="C83" t="s">
        <v>35</v>
      </c>
      <c r="D83">
        <v>123.5</v>
      </c>
      <c r="E83">
        <v>125.4</v>
      </c>
      <c r="F83">
        <v>116.8</v>
      </c>
      <c r="G83">
        <v>126</v>
      </c>
      <c r="H83">
        <v>109.2</v>
      </c>
      <c r="I83">
        <v>127.6</v>
      </c>
      <c r="J83">
        <v>129.19999999999999</v>
      </c>
      <c r="K83">
        <v>122.4</v>
      </c>
      <c r="L83">
        <v>97</v>
      </c>
      <c r="M83">
        <v>122.1</v>
      </c>
      <c r="N83">
        <v>118.1</v>
      </c>
      <c r="O83">
        <v>128.4</v>
      </c>
      <c r="P83">
        <v>123.4</v>
      </c>
      <c r="Q83">
        <v>125.8</v>
      </c>
      <c r="R83">
        <v>124.3</v>
      </c>
      <c r="S83">
        <v>120.4</v>
      </c>
      <c r="T83">
        <v>123.7</v>
      </c>
      <c r="U83">
        <v>118.6</v>
      </c>
      <c r="V83">
        <v>118.3</v>
      </c>
      <c r="W83">
        <v>119.2</v>
      </c>
      <c r="X83">
        <v>116.7</v>
      </c>
      <c r="Y83">
        <v>109.9</v>
      </c>
      <c r="Z83">
        <v>115.4</v>
      </c>
      <c r="AA83">
        <v>120.1</v>
      </c>
      <c r="AB83">
        <v>111</v>
      </c>
      <c r="AC83">
        <v>114.7</v>
      </c>
      <c r="AD83">
        <v>120.2</v>
      </c>
      <c r="AE83">
        <f t="shared" si="5"/>
        <v>1569.1</v>
      </c>
      <c r="AF83">
        <f t="shared" si="6"/>
        <v>118.3</v>
      </c>
      <c r="AG83">
        <f t="shared" si="7"/>
        <v>109.9</v>
      </c>
      <c r="AH83">
        <f t="shared" si="8"/>
        <v>120.1</v>
      </c>
      <c r="AI83">
        <f t="shared" si="9"/>
        <v>1189.8</v>
      </c>
    </row>
    <row r="84" spans="1:35" x14ac:dyDescent="0.3">
      <c r="A84" t="s">
        <v>30</v>
      </c>
      <c r="B84">
        <v>2015</v>
      </c>
      <c r="C84" t="s">
        <v>36</v>
      </c>
      <c r="D84">
        <v>123.3</v>
      </c>
      <c r="E84">
        <v>125.5</v>
      </c>
      <c r="F84">
        <v>117.2</v>
      </c>
      <c r="G84">
        <v>126.8</v>
      </c>
      <c r="H84">
        <v>111.9</v>
      </c>
      <c r="I84">
        <v>134.19999999999999</v>
      </c>
      <c r="J84">
        <v>127.5</v>
      </c>
      <c r="K84">
        <v>121.5</v>
      </c>
      <c r="L84">
        <v>97.8</v>
      </c>
      <c r="M84">
        <v>119.8</v>
      </c>
      <c r="N84">
        <v>119.4</v>
      </c>
      <c r="O84">
        <v>128.69999999999999</v>
      </c>
      <c r="P84">
        <v>123.6</v>
      </c>
      <c r="Q84">
        <v>125.7</v>
      </c>
      <c r="R84">
        <v>126.4</v>
      </c>
      <c r="S84">
        <v>123.3</v>
      </c>
      <c r="T84">
        <v>126</v>
      </c>
      <c r="U84">
        <v>119.2</v>
      </c>
      <c r="V84">
        <v>121.2</v>
      </c>
      <c r="W84">
        <v>120.9</v>
      </c>
      <c r="X84">
        <v>118.6</v>
      </c>
      <c r="Y84">
        <v>111.9</v>
      </c>
      <c r="Z84">
        <v>116.2</v>
      </c>
      <c r="AA84">
        <v>119.9</v>
      </c>
      <c r="AB84">
        <v>111.6</v>
      </c>
      <c r="AC84">
        <v>116</v>
      </c>
      <c r="AD84">
        <v>121.5</v>
      </c>
      <c r="AE84">
        <f t="shared" si="5"/>
        <v>1577.2</v>
      </c>
      <c r="AF84">
        <f t="shared" si="6"/>
        <v>121.2</v>
      </c>
      <c r="AG84">
        <f t="shared" si="7"/>
        <v>111.9</v>
      </c>
      <c r="AH84">
        <f t="shared" si="8"/>
        <v>119.9</v>
      </c>
      <c r="AI84">
        <f t="shared" si="9"/>
        <v>1203.9000000000001</v>
      </c>
    </row>
    <row r="85" spans="1:35" x14ac:dyDescent="0.3">
      <c r="A85" t="s">
        <v>32</v>
      </c>
      <c r="B85">
        <v>2015</v>
      </c>
      <c r="C85" t="s">
        <v>36</v>
      </c>
      <c r="D85">
        <v>123.8</v>
      </c>
      <c r="E85">
        <v>128.19999999999999</v>
      </c>
      <c r="F85">
        <v>110</v>
      </c>
      <c r="G85">
        <v>126.3</v>
      </c>
      <c r="H85">
        <v>104.5</v>
      </c>
      <c r="I85">
        <v>130.6</v>
      </c>
      <c r="J85">
        <v>130.80000000000001</v>
      </c>
      <c r="K85">
        <v>131.30000000000001</v>
      </c>
      <c r="L85">
        <v>91.6</v>
      </c>
      <c r="M85">
        <v>127.7</v>
      </c>
      <c r="N85">
        <v>117.2</v>
      </c>
      <c r="O85">
        <v>129.5</v>
      </c>
      <c r="P85">
        <v>124.6</v>
      </c>
      <c r="Q85">
        <v>130.1</v>
      </c>
      <c r="R85">
        <v>122.1</v>
      </c>
      <c r="S85">
        <v>117.2</v>
      </c>
      <c r="T85">
        <v>121.3</v>
      </c>
      <c r="U85">
        <v>119.2</v>
      </c>
      <c r="V85">
        <v>114.7</v>
      </c>
      <c r="W85">
        <v>118.4</v>
      </c>
      <c r="X85">
        <v>114.6</v>
      </c>
      <c r="Y85">
        <v>108.4</v>
      </c>
      <c r="Z85">
        <v>115.6</v>
      </c>
      <c r="AA85">
        <v>121.7</v>
      </c>
      <c r="AB85">
        <v>111.8</v>
      </c>
      <c r="AC85">
        <v>114.2</v>
      </c>
      <c r="AD85">
        <v>119.7</v>
      </c>
      <c r="AE85">
        <f t="shared" si="5"/>
        <v>1576.1</v>
      </c>
      <c r="AF85">
        <f t="shared" si="6"/>
        <v>114.7</v>
      </c>
      <c r="AG85">
        <f t="shared" si="7"/>
        <v>108.4</v>
      </c>
      <c r="AH85">
        <f t="shared" si="8"/>
        <v>121.7</v>
      </c>
      <c r="AI85">
        <f t="shared" si="9"/>
        <v>1184.5</v>
      </c>
    </row>
    <row r="86" spans="1:35" x14ac:dyDescent="0.3">
      <c r="A86" t="s">
        <v>33</v>
      </c>
      <c r="B86">
        <v>2015</v>
      </c>
      <c r="C86" t="s">
        <v>36</v>
      </c>
      <c r="D86">
        <v>123.5</v>
      </c>
      <c r="E86">
        <v>126.4</v>
      </c>
      <c r="F86">
        <v>114.4</v>
      </c>
      <c r="G86">
        <v>126.6</v>
      </c>
      <c r="H86">
        <v>109.2</v>
      </c>
      <c r="I86">
        <v>132.5</v>
      </c>
      <c r="J86">
        <v>128.6</v>
      </c>
      <c r="K86">
        <v>124.8</v>
      </c>
      <c r="L86">
        <v>95.7</v>
      </c>
      <c r="M86">
        <v>122.4</v>
      </c>
      <c r="N86">
        <v>118.5</v>
      </c>
      <c r="O86">
        <v>129.1</v>
      </c>
      <c r="P86">
        <v>124</v>
      </c>
      <c r="Q86">
        <v>126.9</v>
      </c>
      <c r="R86">
        <v>124.7</v>
      </c>
      <c r="S86">
        <v>120.8</v>
      </c>
      <c r="T86">
        <v>124.1</v>
      </c>
      <c r="U86">
        <v>119.2</v>
      </c>
      <c r="V86">
        <v>118.7</v>
      </c>
      <c r="W86">
        <v>119.7</v>
      </c>
      <c r="X86">
        <v>117.1</v>
      </c>
      <c r="Y86">
        <v>110.1</v>
      </c>
      <c r="Z86">
        <v>115.9</v>
      </c>
      <c r="AA86">
        <v>121</v>
      </c>
      <c r="AB86">
        <v>111.7</v>
      </c>
      <c r="AC86">
        <v>115.1</v>
      </c>
      <c r="AD86">
        <v>120.7</v>
      </c>
      <c r="AE86">
        <f t="shared" si="5"/>
        <v>1575.7</v>
      </c>
      <c r="AF86">
        <f t="shared" si="6"/>
        <v>118.7</v>
      </c>
      <c r="AG86">
        <f t="shared" si="7"/>
        <v>110.1</v>
      </c>
      <c r="AH86">
        <f t="shared" si="8"/>
        <v>121</v>
      </c>
      <c r="AI86">
        <f t="shared" si="9"/>
        <v>1195.2</v>
      </c>
    </row>
    <row r="87" spans="1:35" x14ac:dyDescent="0.3">
      <c r="A87" t="s">
        <v>30</v>
      </c>
      <c r="B87">
        <v>2015</v>
      </c>
      <c r="C87" t="s">
        <v>37</v>
      </c>
      <c r="D87">
        <v>123.5</v>
      </c>
      <c r="E87">
        <v>127.1</v>
      </c>
      <c r="F87">
        <v>117.3</v>
      </c>
      <c r="G87">
        <v>127.7</v>
      </c>
      <c r="H87">
        <v>112.5</v>
      </c>
      <c r="I87">
        <v>134.1</v>
      </c>
      <c r="J87">
        <v>128.5</v>
      </c>
      <c r="K87">
        <v>124.3</v>
      </c>
      <c r="L87">
        <v>97.6</v>
      </c>
      <c r="M87">
        <v>120.7</v>
      </c>
      <c r="N87">
        <v>120.2</v>
      </c>
      <c r="O87">
        <v>129.80000000000001</v>
      </c>
      <c r="P87">
        <v>124.4</v>
      </c>
      <c r="Q87">
        <v>126.7</v>
      </c>
      <c r="R87">
        <v>127.3</v>
      </c>
      <c r="S87">
        <v>124.1</v>
      </c>
      <c r="T87">
        <v>126.8</v>
      </c>
      <c r="U87">
        <v>119.6</v>
      </c>
      <c r="V87">
        <v>121.9</v>
      </c>
      <c r="W87">
        <v>121.5</v>
      </c>
      <c r="X87">
        <v>119.4</v>
      </c>
      <c r="Y87">
        <v>113.3</v>
      </c>
      <c r="Z87">
        <v>116.7</v>
      </c>
      <c r="AA87">
        <v>120.5</v>
      </c>
      <c r="AB87">
        <v>112.3</v>
      </c>
      <c r="AC87">
        <v>116.9</v>
      </c>
      <c r="AD87">
        <v>122.4</v>
      </c>
      <c r="AE87">
        <f t="shared" si="5"/>
        <v>1587.7</v>
      </c>
      <c r="AF87">
        <f t="shared" si="6"/>
        <v>121.9</v>
      </c>
      <c r="AG87">
        <f t="shared" si="7"/>
        <v>113.3</v>
      </c>
      <c r="AH87">
        <f t="shared" si="8"/>
        <v>120.5</v>
      </c>
      <c r="AI87">
        <f t="shared" si="9"/>
        <v>1211.3000000000002</v>
      </c>
    </row>
    <row r="88" spans="1:35" x14ac:dyDescent="0.3">
      <c r="A88" t="s">
        <v>32</v>
      </c>
      <c r="B88">
        <v>2015</v>
      </c>
      <c r="C88" t="s">
        <v>37</v>
      </c>
      <c r="D88">
        <v>123.8</v>
      </c>
      <c r="E88">
        <v>129.69999999999999</v>
      </c>
      <c r="F88">
        <v>111.3</v>
      </c>
      <c r="G88">
        <v>126.6</v>
      </c>
      <c r="H88">
        <v>105.2</v>
      </c>
      <c r="I88">
        <v>130.80000000000001</v>
      </c>
      <c r="J88">
        <v>135.6</v>
      </c>
      <c r="K88">
        <v>142.6</v>
      </c>
      <c r="L88">
        <v>90.8</v>
      </c>
      <c r="M88">
        <v>128.80000000000001</v>
      </c>
      <c r="N88">
        <v>117.7</v>
      </c>
      <c r="O88">
        <v>129.9</v>
      </c>
      <c r="P88">
        <v>126.1</v>
      </c>
      <c r="Q88">
        <v>131.30000000000001</v>
      </c>
      <c r="R88">
        <v>122.4</v>
      </c>
      <c r="S88">
        <v>117.4</v>
      </c>
      <c r="T88">
        <v>121.6</v>
      </c>
      <c r="U88">
        <v>119.6</v>
      </c>
      <c r="V88">
        <v>114.9</v>
      </c>
      <c r="W88">
        <v>118.7</v>
      </c>
      <c r="X88">
        <v>114.9</v>
      </c>
      <c r="Y88">
        <v>110.8</v>
      </c>
      <c r="Z88">
        <v>116</v>
      </c>
      <c r="AA88">
        <v>122</v>
      </c>
      <c r="AB88">
        <v>112.4</v>
      </c>
      <c r="AC88">
        <v>115.2</v>
      </c>
      <c r="AD88">
        <v>120.7</v>
      </c>
      <c r="AE88">
        <f t="shared" si="5"/>
        <v>1598.9</v>
      </c>
      <c r="AF88">
        <f t="shared" si="6"/>
        <v>114.9</v>
      </c>
      <c r="AG88">
        <f t="shared" si="7"/>
        <v>110.8</v>
      </c>
      <c r="AH88">
        <f t="shared" si="8"/>
        <v>122</v>
      </c>
      <c r="AI88">
        <f t="shared" si="9"/>
        <v>1189.5000000000002</v>
      </c>
    </row>
    <row r="89" spans="1:35" x14ac:dyDescent="0.3">
      <c r="A89" t="s">
        <v>33</v>
      </c>
      <c r="B89">
        <v>2015</v>
      </c>
      <c r="C89" t="s">
        <v>37</v>
      </c>
      <c r="D89">
        <v>123.6</v>
      </c>
      <c r="E89">
        <v>128</v>
      </c>
      <c r="F89">
        <v>115</v>
      </c>
      <c r="G89">
        <v>127.3</v>
      </c>
      <c r="H89">
        <v>109.8</v>
      </c>
      <c r="I89">
        <v>132.6</v>
      </c>
      <c r="J89">
        <v>130.9</v>
      </c>
      <c r="K89">
        <v>130.5</v>
      </c>
      <c r="L89">
        <v>95.3</v>
      </c>
      <c r="M89">
        <v>123.4</v>
      </c>
      <c r="N89">
        <v>119.2</v>
      </c>
      <c r="O89">
        <v>129.80000000000001</v>
      </c>
      <c r="P89">
        <v>125</v>
      </c>
      <c r="Q89">
        <v>127.9</v>
      </c>
      <c r="R89">
        <v>125.4</v>
      </c>
      <c r="S89">
        <v>121.3</v>
      </c>
      <c r="T89">
        <v>124.7</v>
      </c>
      <c r="U89">
        <v>119.6</v>
      </c>
      <c r="V89">
        <v>119.2</v>
      </c>
      <c r="W89">
        <v>120.2</v>
      </c>
      <c r="X89">
        <v>117.7</v>
      </c>
      <c r="Y89">
        <v>112</v>
      </c>
      <c r="Z89">
        <v>116.3</v>
      </c>
      <c r="AA89">
        <v>121.4</v>
      </c>
      <c r="AB89">
        <v>112.3</v>
      </c>
      <c r="AC89">
        <v>116.1</v>
      </c>
      <c r="AD89">
        <v>121.6</v>
      </c>
      <c r="AE89">
        <f t="shared" si="5"/>
        <v>1590.4</v>
      </c>
      <c r="AF89">
        <f t="shared" si="6"/>
        <v>119.2</v>
      </c>
      <c r="AG89">
        <f t="shared" si="7"/>
        <v>112</v>
      </c>
      <c r="AH89">
        <f t="shared" si="8"/>
        <v>121.4</v>
      </c>
      <c r="AI89">
        <f t="shared" si="9"/>
        <v>1201.5</v>
      </c>
    </row>
    <row r="90" spans="1:35" x14ac:dyDescent="0.3">
      <c r="A90" t="s">
        <v>30</v>
      </c>
      <c r="B90">
        <v>2015</v>
      </c>
      <c r="C90" t="s">
        <v>38</v>
      </c>
      <c r="D90">
        <v>124.1</v>
      </c>
      <c r="E90">
        <v>130.4</v>
      </c>
      <c r="F90">
        <v>122.1</v>
      </c>
      <c r="G90">
        <v>128.69999999999999</v>
      </c>
      <c r="H90">
        <v>114.1</v>
      </c>
      <c r="I90">
        <v>133.19999999999999</v>
      </c>
      <c r="J90">
        <v>135.19999999999999</v>
      </c>
      <c r="K90">
        <v>131.9</v>
      </c>
      <c r="L90">
        <v>96.3</v>
      </c>
      <c r="M90">
        <v>123</v>
      </c>
      <c r="N90">
        <v>121.1</v>
      </c>
      <c r="O90">
        <v>131.19999999999999</v>
      </c>
      <c r="P90">
        <v>126.6</v>
      </c>
      <c r="Q90">
        <v>128.19999999999999</v>
      </c>
      <c r="R90">
        <v>128.4</v>
      </c>
      <c r="S90">
        <v>125.1</v>
      </c>
      <c r="T90">
        <v>128</v>
      </c>
      <c r="U90">
        <v>119</v>
      </c>
      <c r="V90">
        <v>122.6</v>
      </c>
      <c r="W90">
        <v>122.8</v>
      </c>
      <c r="X90">
        <v>120.4</v>
      </c>
      <c r="Y90">
        <v>114.2</v>
      </c>
      <c r="Z90">
        <v>117.9</v>
      </c>
      <c r="AA90">
        <v>122</v>
      </c>
      <c r="AB90">
        <v>113</v>
      </c>
      <c r="AC90">
        <v>117.9</v>
      </c>
      <c r="AD90">
        <v>124.1</v>
      </c>
      <c r="AE90">
        <f t="shared" si="5"/>
        <v>1617.8999999999999</v>
      </c>
      <c r="AF90">
        <f t="shared" si="6"/>
        <v>122.6</v>
      </c>
      <c r="AG90">
        <f t="shared" si="7"/>
        <v>114.2</v>
      </c>
      <c r="AH90">
        <f t="shared" si="8"/>
        <v>122</v>
      </c>
      <c r="AI90">
        <f t="shared" si="9"/>
        <v>1220.7</v>
      </c>
    </row>
    <row r="91" spans="1:35" x14ac:dyDescent="0.3">
      <c r="A91" t="s">
        <v>32</v>
      </c>
      <c r="B91">
        <v>2015</v>
      </c>
      <c r="C91" t="s">
        <v>38</v>
      </c>
      <c r="D91">
        <v>123.6</v>
      </c>
      <c r="E91">
        <v>134.4</v>
      </c>
      <c r="F91">
        <v>120.9</v>
      </c>
      <c r="G91">
        <v>127.3</v>
      </c>
      <c r="H91">
        <v>106</v>
      </c>
      <c r="I91">
        <v>132.30000000000001</v>
      </c>
      <c r="J91">
        <v>146.69999999999999</v>
      </c>
      <c r="K91">
        <v>148.1</v>
      </c>
      <c r="L91">
        <v>89.8</v>
      </c>
      <c r="M91">
        <v>130.5</v>
      </c>
      <c r="N91">
        <v>118</v>
      </c>
      <c r="O91">
        <v>130.5</v>
      </c>
      <c r="P91">
        <v>128.5</v>
      </c>
      <c r="Q91">
        <v>132.1</v>
      </c>
      <c r="R91">
        <v>123.2</v>
      </c>
      <c r="S91">
        <v>117.6</v>
      </c>
      <c r="T91">
        <v>122.3</v>
      </c>
      <c r="U91">
        <v>119</v>
      </c>
      <c r="V91">
        <v>115.1</v>
      </c>
      <c r="W91">
        <v>119.2</v>
      </c>
      <c r="X91">
        <v>115.4</v>
      </c>
      <c r="Y91">
        <v>111.7</v>
      </c>
      <c r="Z91">
        <v>116.2</v>
      </c>
      <c r="AA91">
        <v>123.8</v>
      </c>
      <c r="AB91">
        <v>112.5</v>
      </c>
      <c r="AC91">
        <v>116</v>
      </c>
      <c r="AD91">
        <v>121.7</v>
      </c>
      <c r="AE91">
        <f t="shared" si="5"/>
        <v>1636.6</v>
      </c>
      <c r="AF91">
        <f t="shared" si="6"/>
        <v>115.1</v>
      </c>
      <c r="AG91">
        <f t="shared" si="7"/>
        <v>111.7</v>
      </c>
      <c r="AH91">
        <f t="shared" si="8"/>
        <v>123.8</v>
      </c>
      <c r="AI91">
        <f t="shared" si="9"/>
        <v>1193.5</v>
      </c>
    </row>
    <row r="92" spans="1:35" x14ac:dyDescent="0.3">
      <c r="A92" t="s">
        <v>33</v>
      </c>
      <c r="B92">
        <v>2015</v>
      </c>
      <c r="C92" t="s">
        <v>38</v>
      </c>
      <c r="D92">
        <v>123.9</v>
      </c>
      <c r="E92">
        <v>131.80000000000001</v>
      </c>
      <c r="F92">
        <v>121.6</v>
      </c>
      <c r="G92">
        <v>128.19999999999999</v>
      </c>
      <c r="H92">
        <v>111.1</v>
      </c>
      <c r="I92">
        <v>132.80000000000001</v>
      </c>
      <c r="J92">
        <v>139.1</v>
      </c>
      <c r="K92">
        <v>137.4</v>
      </c>
      <c r="L92">
        <v>94.1</v>
      </c>
      <c r="M92">
        <v>125.5</v>
      </c>
      <c r="N92">
        <v>119.8</v>
      </c>
      <c r="O92">
        <v>130.9</v>
      </c>
      <c r="P92">
        <v>127.3</v>
      </c>
      <c r="Q92">
        <v>129.19999999999999</v>
      </c>
      <c r="R92">
        <v>126.4</v>
      </c>
      <c r="S92">
        <v>122</v>
      </c>
      <c r="T92">
        <v>125.7</v>
      </c>
      <c r="U92">
        <v>119</v>
      </c>
      <c r="V92">
        <v>119.8</v>
      </c>
      <c r="W92">
        <v>121.1</v>
      </c>
      <c r="X92">
        <v>118.5</v>
      </c>
      <c r="Y92">
        <v>112.9</v>
      </c>
      <c r="Z92">
        <v>116.9</v>
      </c>
      <c r="AA92">
        <v>123.1</v>
      </c>
      <c r="AB92">
        <v>112.8</v>
      </c>
      <c r="AC92">
        <v>117</v>
      </c>
      <c r="AD92">
        <v>123</v>
      </c>
      <c r="AE92">
        <f t="shared" si="5"/>
        <v>1623.5</v>
      </c>
      <c r="AF92">
        <f t="shared" si="6"/>
        <v>119.8</v>
      </c>
      <c r="AG92">
        <f t="shared" si="7"/>
        <v>112.9</v>
      </c>
      <c r="AH92">
        <f t="shared" si="8"/>
        <v>123.1</v>
      </c>
      <c r="AI92">
        <f t="shared" si="9"/>
        <v>1208.5999999999999</v>
      </c>
    </row>
    <row r="93" spans="1:35" x14ac:dyDescent="0.3">
      <c r="A93" t="s">
        <v>30</v>
      </c>
      <c r="B93">
        <v>2015</v>
      </c>
      <c r="C93" t="s">
        <v>39</v>
      </c>
      <c r="D93">
        <v>124</v>
      </c>
      <c r="E93">
        <v>131.5</v>
      </c>
      <c r="F93">
        <v>122</v>
      </c>
      <c r="G93">
        <v>128.69999999999999</v>
      </c>
      <c r="H93">
        <v>113.5</v>
      </c>
      <c r="I93">
        <v>133.30000000000001</v>
      </c>
      <c r="J93">
        <v>140.80000000000001</v>
      </c>
      <c r="K93">
        <v>133.80000000000001</v>
      </c>
      <c r="L93">
        <v>94.1</v>
      </c>
      <c r="M93">
        <v>123.4</v>
      </c>
      <c r="N93">
        <v>121</v>
      </c>
      <c r="O93">
        <v>131.69999999999999</v>
      </c>
      <c r="P93">
        <v>127.5</v>
      </c>
      <c r="Q93">
        <v>129.4</v>
      </c>
      <c r="R93">
        <v>128.80000000000001</v>
      </c>
      <c r="S93">
        <v>125.5</v>
      </c>
      <c r="T93">
        <v>128.30000000000001</v>
      </c>
      <c r="U93">
        <v>119.9</v>
      </c>
      <c r="V93">
        <v>123</v>
      </c>
      <c r="W93">
        <v>123</v>
      </c>
      <c r="X93">
        <v>120.8</v>
      </c>
      <c r="Y93">
        <v>114.1</v>
      </c>
      <c r="Z93">
        <v>118</v>
      </c>
      <c r="AA93">
        <v>122.9</v>
      </c>
      <c r="AB93">
        <v>112.7</v>
      </c>
      <c r="AC93">
        <v>118.1</v>
      </c>
      <c r="AD93">
        <v>124.7</v>
      </c>
      <c r="AE93">
        <f t="shared" si="5"/>
        <v>1625.3</v>
      </c>
      <c r="AF93">
        <f t="shared" si="6"/>
        <v>123</v>
      </c>
      <c r="AG93">
        <f t="shared" si="7"/>
        <v>114.1</v>
      </c>
      <c r="AH93">
        <f t="shared" si="8"/>
        <v>122.9</v>
      </c>
      <c r="AI93">
        <f t="shared" si="9"/>
        <v>1224.4999999999998</v>
      </c>
    </row>
    <row r="94" spans="1:35" x14ac:dyDescent="0.3">
      <c r="A94" t="s">
        <v>32</v>
      </c>
      <c r="B94">
        <v>2015</v>
      </c>
      <c r="C94" t="s">
        <v>39</v>
      </c>
      <c r="D94">
        <v>123.2</v>
      </c>
      <c r="E94">
        <v>134.30000000000001</v>
      </c>
      <c r="F94">
        <v>119.5</v>
      </c>
      <c r="G94">
        <v>127.7</v>
      </c>
      <c r="H94">
        <v>106.3</v>
      </c>
      <c r="I94">
        <v>132.80000000000001</v>
      </c>
      <c r="J94">
        <v>153.5</v>
      </c>
      <c r="K94">
        <v>149.5</v>
      </c>
      <c r="L94">
        <v>85.7</v>
      </c>
      <c r="M94">
        <v>131.5</v>
      </c>
      <c r="N94">
        <v>118.3</v>
      </c>
      <c r="O94">
        <v>131.1</v>
      </c>
      <c r="P94">
        <v>129.5</v>
      </c>
      <c r="Q94">
        <v>133.1</v>
      </c>
      <c r="R94">
        <v>123.5</v>
      </c>
      <c r="S94">
        <v>117.9</v>
      </c>
      <c r="T94">
        <v>122.7</v>
      </c>
      <c r="U94">
        <v>119.9</v>
      </c>
      <c r="V94">
        <v>115.3</v>
      </c>
      <c r="W94">
        <v>119.5</v>
      </c>
      <c r="X94">
        <v>116</v>
      </c>
      <c r="Y94">
        <v>111.5</v>
      </c>
      <c r="Z94">
        <v>116.6</v>
      </c>
      <c r="AA94">
        <v>125.4</v>
      </c>
      <c r="AB94">
        <v>111.7</v>
      </c>
      <c r="AC94">
        <v>116.3</v>
      </c>
      <c r="AD94">
        <v>122.4</v>
      </c>
      <c r="AE94">
        <f t="shared" si="5"/>
        <v>1642.8999999999999</v>
      </c>
      <c r="AF94">
        <f t="shared" si="6"/>
        <v>115.3</v>
      </c>
      <c r="AG94">
        <f t="shared" si="7"/>
        <v>111.5</v>
      </c>
      <c r="AH94">
        <f t="shared" si="8"/>
        <v>125.4</v>
      </c>
      <c r="AI94">
        <f t="shared" si="9"/>
        <v>1197.2</v>
      </c>
    </row>
    <row r="95" spans="1:35" x14ac:dyDescent="0.3">
      <c r="A95" t="s">
        <v>33</v>
      </c>
      <c r="B95">
        <v>2015</v>
      </c>
      <c r="C95" t="s">
        <v>39</v>
      </c>
      <c r="D95">
        <v>123.7</v>
      </c>
      <c r="E95">
        <v>132.5</v>
      </c>
      <c r="F95">
        <v>121</v>
      </c>
      <c r="G95">
        <v>128.30000000000001</v>
      </c>
      <c r="H95">
        <v>110.9</v>
      </c>
      <c r="I95">
        <v>133.1</v>
      </c>
      <c r="J95">
        <v>145.1</v>
      </c>
      <c r="K95">
        <v>139.1</v>
      </c>
      <c r="L95">
        <v>91.3</v>
      </c>
      <c r="M95">
        <v>126.1</v>
      </c>
      <c r="N95">
        <v>119.9</v>
      </c>
      <c r="O95">
        <v>131.4</v>
      </c>
      <c r="P95">
        <v>128.19999999999999</v>
      </c>
      <c r="Q95">
        <v>130.4</v>
      </c>
      <c r="R95">
        <v>126.7</v>
      </c>
      <c r="S95">
        <v>122.3</v>
      </c>
      <c r="T95">
        <v>126.1</v>
      </c>
      <c r="U95">
        <v>119.9</v>
      </c>
      <c r="V95">
        <v>120.1</v>
      </c>
      <c r="W95">
        <v>121.3</v>
      </c>
      <c r="X95">
        <v>119</v>
      </c>
      <c r="Y95">
        <v>112.7</v>
      </c>
      <c r="Z95">
        <v>117.2</v>
      </c>
      <c r="AA95">
        <v>124.4</v>
      </c>
      <c r="AB95">
        <v>112.3</v>
      </c>
      <c r="AC95">
        <v>117.2</v>
      </c>
      <c r="AD95">
        <v>123.6</v>
      </c>
      <c r="AE95">
        <f t="shared" si="5"/>
        <v>1630.6000000000001</v>
      </c>
      <c r="AF95">
        <f t="shared" si="6"/>
        <v>120.1</v>
      </c>
      <c r="AG95">
        <f t="shared" si="7"/>
        <v>112.7</v>
      </c>
      <c r="AH95">
        <f t="shared" si="8"/>
        <v>124.4</v>
      </c>
      <c r="AI95">
        <f t="shared" si="9"/>
        <v>1212.4000000000001</v>
      </c>
    </row>
    <row r="96" spans="1:35" x14ac:dyDescent="0.3">
      <c r="A96" t="s">
        <v>30</v>
      </c>
      <c r="B96">
        <v>2015</v>
      </c>
      <c r="C96" t="s">
        <v>40</v>
      </c>
      <c r="D96">
        <v>124.7</v>
      </c>
      <c r="E96">
        <v>131.30000000000001</v>
      </c>
      <c r="F96">
        <v>121.3</v>
      </c>
      <c r="G96">
        <v>128.80000000000001</v>
      </c>
      <c r="H96">
        <v>114</v>
      </c>
      <c r="I96">
        <v>134.19999999999999</v>
      </c>
      <c r="J96">
        <v>153.6</v>
      </c>
      <c r="K96">
        <v>137.9</v>
      </c>
      <c r="L96">
        <v>93.1</v>
      </c>
      <c r="M96">
        <v>123.9</v>
      </c>
      <c r="N96">
        <v>121.5</v>
      </c>
      <c r="O96">
        <v>132.5</v>
      </c>
      <c r="P96">
        <v>129.80000000000001</v>
      </c>
      <c r="Q96">
        <v>130.1</v>
      </c>
      <c r="R96">
        <v>129.5</v>
      </c>
      <c r="S96">
        <v>126.3</v>
      </c>
      <c r="T96">
        <v>129</v>
      </c>
      <c r="U96">
        <v>120.9</v>
      </c>
      <c r="V96">
        <v>123.8</v>
      </c>
      <c r="W96">
        <v>123.7</v>
      </c>
      <c r="X96">
        <v>121.1</v>
      </c>
      <c r="Y96">
        <v>113.6</v>
      </c>
      <c r="Z96">
        <v>118.5</v>
      </c>
      <c r="AA96">
        <v>123.6</v>
      </c>
      <c r="AB96">
        <v>112.5</v>
      </c>
      <c r="AC96">
        <v>118.2</v>
      </c>
      <c r="AD96">
        <v>126.1</v>
      </c>
      <c r="AE96">
        <f t="shared" si="5"/>
        <v>1646.6</v>
      </c>
      <c r="AF96">
        <f t="shared" si="6"/>
        <v>123.8</v>
      </c>
      <c r="AG96">
        <f t="shared" si="7"/>
        <v>113.6</v>
      </c>
      <c r="AH96">
        <f t="shared" si="8"/>
        <v>123.6</v>
      </c>
      <c r="AI96">
        <f t="shared" si="9"/>
        <v>1229.8000000000002</v>
      </c>
    </row>
    <row r="97" spans="1:35" x14ac:dyDescent="0.3">
      <c r="A97" t="s">
        <v>32</v>
      </c>
      <c r="B97">
        <v>2015</v>
      </c>
      <c r="C97" t="s">
        <v>40</v>
      </c>
      <c r="D97">
        <v>123.1</v>
      </c>
      <c r="E97">
        <v>131.69999999999999</v>
      </c>
      <c r="F97">
        <v>118.1</v>
      </c>
      <c r="G97">
        <v>128</v>
      </c>
      <c r="H97">
        <v>106.8</v>
      </c>
      <c r="I97">
        <v>130.1</v>
      </c>
      <c r="J97">
        <v>165.5</v>
      </c>
      <c r="K97">
        <v>156</v>
      </c>
      <c r="L97">
        <v>85.3</v>
      </c>
      <c r="M97">
        <v>132.69999999999999</v>
      </c>
      <c r="N97">
        <v>118.8</v>
      </c>
      <c r="O97">
        <v>131.69999999999999</v>
      </c>
      <c r="P97">
        <v>131.1</v>
      </c>
      <c r="Q97">
        <v>134.19999999999999</v>
      </c>
      <c r="R97">
        <v>123.7</v>
      </c>
      <c r="S97">
        <v>118.2</v>
      </c>
      <c r="T97">
        <v>122.9</v>
      </c>
      <c r="U97">
        <v>120.9</v>
      </c>
      <c r="V97">
        <v>115.3</v>
      </c>
      <c r="W97">
        <v>120</v>
      </c>
      <c r="X97">
        <v>116.6</v>
      </c>
      <c r="Y97">
        <v>109.9</v>
      </c>
      <c r="Z97">
        <v>117.2</v>
      </c>
      <c r="AA97">
        <v>126.2</v>
      </c>
      <c r="AB97">
        <v>112</v>
      </c>
      <c r="AC97">
        <v>116.2</v>
      </c>
      <c r="AD97">
        <v>123.2</v>
      </c>
      <c r="AE97">
        <f t="shared" si="5"/>
        <v>1658.8999999999999</v>
      </c>
      <c r="AF97">
        <f t="shared" si="6"/>
        <v>115.3</v>
      </c>
      <c r="AG97">
        <f t="shared" si="7"/>
        <v>109.9</v>
      </c>
      <c r="AH97">
        <f t="shared" si="8"/>
        <v>126.2</v>
      </c>
      <c r="AI97">
        <f t="shared" si="9"/>
        <v>1201.9000000000001</v>
      </c>
    </row>
    <row r="98" spans="1:35" x14ac:dyDescent="0.3">
      <c r="A98" t="s">
        <v>33</v>
      </c>
      <c r="B98">
        <v>2015</v>
      </c>
      <c r="C98" t="s">
        <v>40</v>
      </c>
      <c r="D98">
        <v>124.2</v>
      </c>
      <c r="E98">
        <v>131.4</v>
      </c>
      <c r="F98">
        <v>120.1</v>
      </c>
      <c r="G98">
        <v>128.5</v>
      </c>
      <c r="H98">
        <v>111.4</v>
      </c>
      <c r="I98">
        <v>132.30000000000001</v>
      </c>
      <c r="J98">
        <v>157.6</v>
      </c>
      <c r="K98">
        <v>144</v>
      </c>
      <c r="L98">
        <v>90.5</v>
      </c>
      <c r="M98">
        <v>126.8</v>
      </c>
      <c r="N98">
        <v>120.4</v>
      </c>
      <c r="O98">
        <v>132.1</v>
      </c>
      <c r="P98">
        <v>130.30000000000001</v>
      </c>
      <c r="Q98">
        <v>131.19999999999999</v>
      </c>
      <c r="R98">
        <v>127.2</v>
      </c>
      <c r="S98">
        <v>122.9</v>
      </c>
      <c r="T98">
        <v>126.6</v>
      </c>
      <c r="U98">
        <v>120.9</v>
      </c>
      <c r="V98">
        <v>120.6</v>
      </c>
      <c r="W98">
        <v>122</v>
      </c>
      <c r="X98">
        <v>119.4</v>
      </c>
      <c r="Y98">
        <v>111.7</v>
      </c>
      <c r="Z98">
        <v>117.8</v>
      </c>
      <c r="AA98">
        <v>125.1</v>
      </c>
      <c r="AB98">
        <v>112.3</v>
      </c>
      <c r="AC98">
        <v>117.2</v>
      </c>
      <c r="AD98">
        <v>124.8</v>
      </c>
      <c r="AE98">
        <f t="shared" si="5"/>
        <v>1649.6</v>
      </c>
      <c r="AF98">
        <f t="shared" si="6"/>
        <v>120.6</v>
      </c>
      <c r="AG98">
        <f t="shared" si="7"/>
        <v>111.7</v>
      </c>
      <c r="AH98">
        <f t="shared" si="8"/>
        <v>125.1</v>
      </c>
      <c r="AI98">
        <f t="shared" si="9"/>
        <v>1217.5</v>
      </c>
    </row>
    <row r="99" spans="1:35" x14ac:dyDescent="0.3">
      <c r="A99" t="s">
        <v>30</v>
      </c>
      <c r="B99">
        <v>2015</v>
      </c>
      <c r="C99" t="s">
        <v>41</v>
      </c>
      <c r="D99">
        <v>125.1</v>
      </c>
      <c r="E99">
        <v>131.1</v>
      </c>
      <c r="F99">
        <v>120.7</v>
      </c>
      <c r="G99">
        <v>129.19999999999999</v>
      </c>
      <c r="H99">
        <v>114.7</v>
      </c>
      <c r="I99">
        <v>132.30000000000001</v>
      </c>
      <c r="J99">
        <v>158.9</v>
      </c>
      <c r="K99">
        <v>142.1</v>
      </c>
      <c r="L99">
        <v>92.5</v>
      </c>
      <c r="M99">
        <v>125.4</v>
      </c>
      <c r="N99">
        <v>121.9</v>
      </c>
      <c r="O99">
        <v>132.69999999999999</v>
      </c>
      <c r="P99">
        <v>131</v>
      </c>
      <c r="Q99">
        <v>131</v>
      </c>
      <c r="R99">
        <v>130.4</v>
      </c>
      <c r="S99">
        <v>126.8</v>
      </c>
      <c r="T99">
        <v>129.9</v>
      </c>
      <c r="U99">
        <v>121.6</v>
      </c>
      <c r="V99">
        <v>123.7</v>
      </c>
      <c r="W99">
        <v>124.5</v>
      </c>
      <c r="X99">
        <v>121.4</v>
      </c>
      <c r="Y99">
        <v>113.8</v>
      </c>
      <c r="Z99">
        <v>119.6</v>
      </c>
      <c r="AA99">
        <v>124.5</v>
      </c>
      <c r="AB99">
        <v>113.7</v>
      </c>
      <c r="AC99">
        <v>118.8</v>
      </c>
      <c r="AD99">
        <v>127</v>
      </c>
      <c r="AE99">
        <f t="shared" si="5"/>
        <v>1657.6000000000001</v>
      </c>
      <c r="AF99">
        <f t="shared" si="6"/>
        <v>123.7</v>
      </c>
      <c r="AG99">
        <f t="shared" si="7"/>
        <v>113.8</v>
      </c>
      <c r="AH99">
        <f t="shared" si="8"/>
        <v>124.5</v>
      </c>
      <c r="AI99">
        <f t="shared" si="9"/>
        <v>1237.7</v>
      </c>
    </row>
    <row r="100" spans="1:35" x14ac:dyDescent="0.3">
      <c r="A100" t="s">
        <v>32</v>
      </c>
      <c r="B100">
        <v>2015</v>
      </c>
      <c r="C100" t="s">
        <v>41</v>
      </c>
      <c r="D100">
        <v>123.4</v>
      </c>
      <c r="E100">
        <v>129</v>
      </c>
      <c r="F100">
        <v>115.6</v>
      </c>
      <c r="G100">
        <v>128.30000000000001</v>
      </c>
      <c r="H100">
        <v>107</v>
      </c>
      <c r="I100">
        <v>124</v>
      </c>
      <c r="J100">
        <v>168.5</v>
      </c>
      <c r="K100">
        <v>165.4</v>
      </c>
      <c r="L100">
        <v>86.3</v>
      </c>
      <c r="M100">
        <v>134.4</v>
      </c>
      <c r="N100">
        <v>119.1</v>
      </c>
      <c r="O100">
        <v>132.30000000000001</v>
      </c>
      <c r="P100">
        <v>131.5</v>
      </c>
      <c r="Q100">
        <v>134.69999999999999</v>
      </c>
      <c r="R100">
        <v>124</v>
      </c>
      <c r="S100">
        <v>118.6</v>
      </c>
      <c r="T100">
        <v>123.2</v>
      </c>
      <c r="U100">
        <v>121.6</v>
      </c>
      <c r="V100">
        <v>115.1</v>
      </c>
      <c r="W100">
        <v>120.4</v>
      </c>
      <c r="X100">
        <v>117.1</v>
      </c>
      <c r="Y100">
        <v>109.1</v>
      </c>
      <c r="Z100">
        <v>117.3</v>
      </c>
      <c r="AA100">
        <v>126.5</v>
      </c>
      <c r="AB100">
        <v>112.9</v>
      </c>
      <c r="AC100">
        <v>116.2</v>
      </c>
      <c r="AD100">
        <v>123.5</v>
      </c>
      <c r="AE100">
        <f t="shared" si="5"/>
        <v>1664.8</v>
      </c>
      <c r="AF100">
        <f t="shared" si="6"/>
        <v>115.1</v>
      </c>
      <c r="AG100">
        <f t="shared" si="7"/>
        <v>109.1</v>
      </c>
      <c r="AH100">
        <f t="shared" si="8"/>
        <v>126.5</v>
      </c>
      <c r="AI100">
        <f t="shared" si="9"/>
        <v>1206</v>
      </c>
    </row>
    <row r="101" spans="1:35" x14ac:dyDescent="0.3">
      <c r="A101" t="s">
        <v>33</v>
      </c>
      <c r="B101">
        <v>2015</v>
      </c>
      <c r="C101" t="s">
        <v>41</v>
      </c>
      <c r="D101">
        <v>124.6</v>
      </c>
      <c r="E101">
        <v>130.4</v>
      </c>
      <c r="F101">
        <v>118.7</v>
      </c>
      <c r="G101">
        <v>128.9</v>
      </c>
      <c r="H101">
        <v>111.9</v>
      </c>
      <c r="I101">
        <v>128.4</v>
      </c>
      <c r="J101">
        <v>162.19999999999999</v>
      </c>
      <c r="K101">
        <v>150</v>
      </c>
      <c r="L101">
        <v>90.4</v>
      </c>
      <c r="M101">
        <v>128.4</v>
      </c>
      <c r="N101">
        <v>120.7</v>
      </c>
      <c r="O101">
        <v>132.5</v>
      </c>
      <c r="P101">
        <v>131.19999999999999</v>
      </c>
      <c r="Q101">
        <v>132</v>
      </c>
      <c r="R101">
        <v>127.9</v>
      </c>
      <c r="S101">
        <v>123.4</v>
      </c>
      <c r="T101">
        <v>127.2</v>
      </c>
      <c r="U101">
        <v>121.6</v>
      </c>
      <c r="V101">
        <v>120.4</v>
      </c>
      <c r="W101">
        <v>122.6</v>
      </c>
      <c r="X101">
        <v>119.8</v>
      </c>
      <c r="Y101">
        <v>111.3</v>
      </c>
      <c r="Z101">
        <v>118.3</v>
      </c>
      <c r="AA101">
        <v>125.7</v>
      </c>
      <c r="AB101">
        <v>113.4</v>
      </c>
      <c r="AC101">
        <v>117.5</v>
      </c>
      <c r="AD101">
        <v>125.4</v>
      </c>
      <c r="AE101">
        <f t="shared" si="5"/>
        <v>1658.3000000000002</v>
      </c>
      <c r="AF101">
        <f t="shared" si="6"/>
        <v>120.4</v>
      </c>
      <c r="AG101">
        <f t="shared" si="7"/>
        <v>111.3</v>
      </c>
      <c r="AH101">
        <f t="shared" si="8"/>
        <v>125.7</v>
      </c>
      <c r="AI101">
        <f t="shared" si="9"/>
        <v>1223.6999999999998</v>
      </c>
    </row>
    <row r="102" spans="1:35" x14ac:dyDescent="0.3">
      <c r="A102" t="s">
        <v>30</v>
      </c>
      <c r="B102">
        <v>2015</v>
      </c>
      <c r="C102" t="s">
        <v>42</v>
      </c>
      <c r="D102">
        <v>125.6</v>
      </c>
      <c r="E102">
        <v>130.4</v>
      </c>
      <c r="F102">
        <v>120.8</v>
      </c>
      <c r="G102">
        <v>129.4</v>
      </c>
      <c r="H102">
        <v>115.8</v>
      </c>
      <c r="I102">
        <v>133.19999999999999</v>
      </c>
      <c r="J102">
        <v>157.69999999999999</v>
      </c>
      <c r="K102">
        <v>154.19999999999999</v>
      </c>
      <c r="L102">
        <v>93.7</v>
      </c>
      <c r="M102">
        <v>126.6</v>
      </c>
      <c r="N102">
        <v>122.3</v>
      </c>
      <c r="O102">
        <v>133.1</v>
      </c>
      <c r="P102">
        <v>131.80000000000001</v>
      </c>
      <c r="Q102">
        <v>131.5</v>
      </c>
      <c r="R102">
        <v>131.1</v>
      </c>
      <c r="S102">
        <v>127.3</v>
      </c>
      <c r="T102">
        <v>130.6</v>
      </c>
      <c r="U102">
        <v>122.4</v>
      </c>
      <c r="V102">
        <v>124.4</v>
      </c>
      <c r="W102">
        <v>125.1</v>
      </c>
      <c r="X102">
        <v>122</v>
      </c>
      <c r="Y102">
        <v>113.8</v>
      </c>
      <c r="Z102">
        <v>120.1</v>
      </c>
      <c r="AA102">
        <v>125.1</v>
      </c>
      <c r="AB102">
        <v>114.2</v>
      </c>
      <c r="AC102">
        <v>119.2</v>
      </c>
      <c r="AD102">
        <v>127.7</v>
      </c>
      <c r="AE102">
        <f t="shared" si="5"/>
        <v>1674.6</v>
      </c>
      <c r="AF102">
        <f t="shared" si="6"/>
        <v>124.4</v>
      </c>
      <c r="AG102">
        <f t="shared" si="7"/>
        <v>113.8</v>
      </c>
      <c r="AH102">
        <f t="shared" si="8"/>
        <v>125.1</v>
      </c>
      <c r="AI102">
        <f t="shared" si="9"/>
        <v>1243.5</v>
      </c>
    </row>
    <row r="103" spans="1:35" x14ac:dyDescent="0.3">
      <c r="A103" t="s">
        <v>32</v>
      </c>
      <c r="B103">
        <v>2015</v>
      </c>
      <c r="C103" t="s">
        <v>42</v>
      </c>
      <c r="D103">
        <v>123.6</v>
      </c>
      <c r="E103">
        <v>128.6</v>
      </c>
      <c r="F103">
        <v>115.9</v>
      </c>
      <c r="G103">
        <v>128.5</v>
      </c>
      <c r="H103">
        <v>109</v>
      </c>
      <c r="I103">
        <v>124.1</v>
      </c>
      <c r="J103">
        <v>165.8</v>
      </c>
      <c r="K103">
        <v>187.2</v>
      </c>
      <c r="L103">
        <v>89.4</v>
      </c>
      <c r="M103">
        <v>135.80000000000001</v>
      </c>
      <c r="N103">
        <v>119.4</v>
      </c>
      <c r="O103">
        <v>132.9</v>
      </c>
      <c r="P103">
        <v>132.6</v>
      </c>
      <c r="Q103">
        <v>135.30000000000001</v>
      </c>
      <c r="R103">
        <v>124.4</v>
      </c>
      <c r="S103">
        <v>118.8</v>
      </c>
      <c r="T103">
        <v>123.6</v>
      </c>
      <c r="U103">
        <v>122.4</v>
      </c>
      <c r="V103">
        <v>114.9</v>
      </c>
      <c r="W103">
        <v>120.7</v>
      </c>
      <c r="X103">
        <v>117.7</v>
      </c>
      <c r="Y103">
        <v>109.3</v>
      </c>
      <c r="Z103">
        <v>117.7</v>
      </c>
      <c r="AA103">
        <v>126.5</v>
      </c>
      <c r="AB103">
        <v>113.5</v>
      </c>
      <c r="AC103">
        <v>116.5</v>
      </c>
      <c r="AD103">
        <v>124.2</v>
      </c>
      <c r="AE103">
        <f t="shared" si="5"/>
        <v>1692.8000000000002</v>
      </c>
      <c r="AF103">
        <f t="shared" si="6"/>
        <v>114.9</v>
      </c>
      <c r="AG103">
        <f t="shared" si="7"/>
        <v>109.3</v>
      </c>
      <c r="AH103">
        <f t="shared" si="8"/>
        <v>126.5</v>
      </c>
      <c r="AI103">
        <f t="shared" si="9"/>
        <v>1210.6000000000001</v>
      </c>
    </row>
    <row r="104" spans="1:35" x14ac:dyDescent="0.3">
      <c r="A104" t="s">
        <v>33</v>
      </c>
      <c r="B104">
        <v>2015</v>
      </c>
      <c r="C104" t="s">
        <v>42</v>
      </c>
      <c r="D104">
        <v>125</v>
      </c>
      <c r="E104">
        <v>129.80000000000001</v>
      </c>
      <c r="F104">
        <v>118.9</v>
      </c>
      <c r="G104">
        <v>129.1</v>
      </c>
      <c r="H104">
        <v>113.3</v>
      </c>
      <c r="I104">
        <v>129</v>
      </c>
      <c r="J104">
        <v>160.4</v>
      </c>
      <c r="K104">
        <v>165.3</v>
      </c>
      <c r="L104">
        <v>92.3</v>
      </c>
      <c r="M104">
        <v>129.69999999999999</v>
      </c>
      <c r="N104">
        <v>121.1</v>
      </c>
      <c r="O104">
        <v>133</v>
      </c>
      <c r="P104">
        <v>132.1</v>
      </c>
      <c r="Q104">
        <v>132.5</v>
      </c>
      <c r="R104">
        <v>128.5</v>
      </c>
      <c r="S104">
        <v>123.8</v>
      </c>
      <c r="T104">
        <v>127.8</v>
      </c>
      <c r="U104">
        <v>122.4</v>
      </c>
      <c r="V104">
        <v>120.8</v>
      </c>
      <c r="W104">
        <v>123</v>
      </c>
      <c r="X104">
        <v>120.4</v>
      </c>
      <c r="Y104">
        <v>111.4</v>
      </c>
      <c r="Z104">
        <v>118.7</v>
      </c>
      <c r="AA104">
        <v>125.9</v>
      </c>
      <c r="AB104">
        <v>113.9</v>
      </c>
      <c r="AC104">
        <v>117.9</v>
      </c>
      <c r="AD104">
        <v>126.1</v>
      </c>
      <c r="AE104">
        <f t="shared" si="5"/>
        <v>1678.9999999999998</v>
      </c>
      <c r="AF104">
        <f t="shared" si="6"/>
        <v>120.8</v>
      </c>
      <c r="AG104">
        <f t="shared" si="7"/>
        <v>111.4</v>
      </c>
      <c r="AH104">
        <f t="shared" si="8"/>
        <v>125.9</v>
      </c>
      <c r="AI104">
        <f t="shared" si="9"/>
        <v>1228.9000000000001</v>
      </c>
    </row>
    <row r="105" spans="1:35" x14ac:dyDescent="0.3">
      <c r="A105" t="s">
        <v>30</v>
      </c>
      <c r="B105">
        <v>2015</v>
      </c>
      <c r="C105" t="s">
        <v>44</v>
      </c>
      <c r="D105">
        <v>126.1</v>
      </c>
      <c r="E105">
        <v>130.6</v>
      </c>
      <c r="F105">
        <v>121.7</v>
      </c>
      <c r="G105">
        <v>129.5</v>
      </c>
      <c r="H105">
        <v>117.8</v>
      </c>
      <c r="I105">
        <v>132.1</v>
      </c>
      <c r="J105">
        <v>155.19999999999999</v>
      </c>
      <c r="K105">
        <v>160.80000000000001</v>
      </c>
      <c r="L105">
        <v>94.5</v>
      </c>
      <c r="M105">
        <v>128.30000000000001</v>
      </c>
      <c r="N105">
        <v>123.1</v>
      </c>
      <c r="O105">
        <v>134.19999999999999</v>
      </c>
      <c r="P105">
        <v>132.4</v>
      </c>
      <c r="Q105">
        <v>132.19999999999999</v>
      </c>
      <c r="R105">
        <v>132.1</v>
      </c>
      <c r="S105">
        <v>128.19999999999999</v>
      </c>
      <c r="T105">
        <v>131.5</v>
      </c>
      <c r="U105">
        <v>122.9</v>
      </c>
      <c r="V105">
        <v>125.6</v>
      </c>
      <c r="W105">
        <v>125.6</v>
      </c>
      <c r="X105">
        <v>122.6</v>
      </c>
      <c r="Y105">
        <v>114</v>
      </c>
      <c r="Z105">
        <v>120.9</v>
      </c>
      <c r="AA105">
        <v>125.8</v>
      </c>
      <c r="AB105">
        <v>114.2</v>
      </c>
      <c r="AC105">
        <v>119.6</v>
      </c>
      <c r="AD105">
        <v>128.30000000000001</v>
      </c>
      <c r="AE105">
        <f t="shared" si="5"/>
        <v>1686.3</v>
      </c>
      <c r="AF105">
        <f t="shared" si="6"/>
        <v>125.6</v>
      </c>
      <c r="AG105">
        <f t="shared" si="7"/>
        <v>114</v>
      </c>
      <c r="AH105">
        <f t="shared" si="8"/>
        <v>125.8</v>
      </c>
      <c r="AI105">
        <f t="shared" si="9"/>
        <v>1249.8</v>
      </c>
    </row>
    <row r="106" spans="1:35" x14ac:dyDescent="0.3">
      <c r="A106" t="s">
        <v>32</v>
      </c>
      <c r="B106">
        <v>2015</v>
      </c>
      <c r="C106" t="s">
        <v>44</v>
      </c>
      <c r="D106">
        <v>124</v>
      </c>
      <c r="E106">
        <v>129.80000000000001</v>
      </c>
      <c r="F106">
        <v>121.5</v>
      </c>
      <c r="G106">
        <v>128.6</v>
      </c>
      <c r="H106">
        <v>110</v>
      </c>
      <c r="I106">
        <v>123.7</v>
      </c>
      <c r="J106">
        <v>164.6</v>
      </c>
      <c r="K106">
        <v>191.6</v>
      </c>
      <c r="L106">
        <v>90.8</v>
      </c>
      <c r="M106">
        <v>137.1</v>
      </c>
      <c r="N106">
        <v>119.8</v>
      </c>
      <c r="O106">
        <v>133.69999999999999</v>
      </c>
      <c r="P106">
        <v>133.30000000000001</v>
      </c>
      <c r="Q106">
        <v>137.6</v>
      </c>
      <c r="R106">
        <v>125</v>
      </c>
      <c r="S106">
        <v>119.3</v>
      </c>
      <c r="T106">
        <v>124.2</v>
      </c>
      <c r="U106">
        <v>122.9</v>
      </c>
      <c r="V106">
        <v>115.1</v>
      </c>
      <c r="W106">
        <v>121</v>
      </c>
      <c r="X106">
        <v>118.1</v>
      </c>
      <c r="Y106">
        <v>109.3</v>
      </c>
      <c r="Z106">
        <v>117.9</v>
      </c>
      <c r="AA106">
        <v>126.6</v>
      </c>
      <c r="AB106">
        <v>113.3</v>
      </c>
      <c r="AC106">
        <v>116.6</v>
      </c>
      <c r="AD106">
        <v>124.6</v>
      </c>
      <c r="AE106">
        <f t="shared" si="5"/>
        <v>1708.4999999999998</v>
      </c>
      <c r="AF106">
        <f t="shared" si="6"/>
        <v>115.1</v>
      </c>
      <c r="AG106">
        <f t="shared" si="7"/>
        <v>109.3</v>
      </c>
      <c r="AH106">
        <f t="shared" si="8"/>
        <v>126.6</v>
      </c>
      <c r="AI106">
        <f t="shared" si="9"/>
        <v>1215.8999999999999</v>
      </c>
    </row>
    <row r="107" spans="1:35" x14ac:dyDescent="0.3">
      <c r="A107" t="s">
        <v>33</v>
      </c>
      <c r="B107">
        <v>2015</v>
      </c>
      <c r="C107" t="s">
        <v>44</v>
      </c>
      <c r="D107">
        <v>125.4</v>
      </c>
      <c r="E107">
        <v>130.30000000000001</v>
      </c>
      <c r="F107">
        <v>121.6</v>
      </c>
      <c r="G107">
        <v>129.19999999999999</v>
      </c>
      <c r="H107">
        <v>114.9</v>
      </c>
      <c r="I107">
        <v>128.19999999999999</v>
      </c>
      <c r="J107">
        <v>158.4</v>
      </c>
      <c r="K107">
        <v>171.2</v>
      </c>
      <c r="L107">
        <v>93.3</v>
      </c>
      <c r="M107">
        <v>131.19999999999999</v>
      </c>
      <c r="N107">
        <v>121.7</v>
      </c>
      <c r="O107">
        <v>134</v>
      </c>
      <c r="P107">
        <v>132.69999999999999</v>
      </c>
      <c r="Q107">
        <v>133.6</v>
      </c>
      <c r="R107">
        <v>129.30000000000001</v>
      </c>
      <c r="S107">
        <v>124.5</v>
      </c>
      <c r="T107">
        <v>128.6</v>
      </c>
      <c r="U107">
        <v>122.9</v>
      </c>
      <c r="V107">
        <v>121.6</v>
      </c>
      <c r="W107">
        <v>123.4</v>
      </c>
      <c r="X107">
        <v>120.9</v>
      </c>
      <c r="Y107">
        <v>111.5</v>
      </c>
      <c r="Z107">
        <v>119.2</v>
      </c>
      <c r="AA107">
        <v>126.3</v>
      </c>
      <c r="AB107">
        <v>113.8</v>
      </c>
      <c r="AC107">
        <v>118.1</v>
      </c>
      <c r="AD107">
        <v>126.6</v>
      </c>
      <c r="AE107">
        <f t="shared" si="5"/>
        <v>1692.1</v>
      </c>
      <c r="AF107">
        <f t="shared" si="6"/>
        <v>121.6</v>
      </c>
      <c r="AG107">
        <f t="shared" si="7"/>
        <v>111.5</v>
      </c>
      <c r="AH107">
        <f t="shared" si="8"/>
        <v>126.3</v>
      </c>
      <c r="AI107">
        <f t="shared" si="9"/>
        <v>1234.3</v>
      </c>
    </row>
    <row r="108" spans="1:35" x14ac:dyDescent="0.3">
      <c r="A108" t="s">
        <v>30</v>
      </c>
      <c r="B108">
        <v>2015</v>
      </c>
      <c r="C108" t="s">
        <v>45</v>
      </c>
      <c r="D108">
        <v>126.3</v>
      </c>
      <c r="E108">
        <v>131.30000000000001</v>
      </c>
      <c r="F108">
        <v>123.3</v>
      </c>
      <c r="G108">
        <v>129.80000000000001</v>
      </c>
      <c r="H108">
        <v>118.3</v>
      </c>
      <c r="I108">
        <v>131.6</v>
      </c>
      <c r="J108">
        <v>145.5</v>
      </c>
      <c r="K108">
        <v>162.1</v>
      </c>
      <c r="L108">
        <v>95.4</v>
      </c>
      <c r="M108">
        <v>128.9</v>
      </c>
      <c r="N108">
        <v>123.3</v>
      </c>
      <c r="O108">
        <v>135.1</v>
      </c>
      <c r="P108">
        <v>131.4</v>
      </c>
      <c r="Q108">
        <v>133.1</v>
      </c>
      <c r="R108">
        <v>132.5</v>
      </c>
      <c r="S108">
        <v>128.5</v>
      </c>
      <c r="T108">
        <v>131.9</v>
      </c>
      <c r="U108">
        <v>122.4</v>
      </c>
      <c r="V108">
        <v>125.7</v>
      </c>
      <c r="W108">
        <v>126</v>
      </c>
      <c r="X108">
        <v>123.1</v>
      </c>
      <c r="Y108">
        <v>114</v>
      </c>
      <c r="Z108">
        <v>121.6</v>
      </c>
      <c r="AA108">
        <v>125.6</v>
      </c>
      <c r="AB108">
        <v>114.1</v>
      </c>
      <c r="AC108">
        <v>119.8</v>
      </c>
      <c r="AD108">
        <v>127.9</v>
      </c>
      <c r="AE108">
        <f t="shared" si="5"/>
        <v>1682.3000000000002</v>
      </c>
      <c r="AF108">
        <f t="shared" si="6"/>
        <v>125.7</v>
      </c>
      <c r="AG108">
        <f t="shared" si="7"/>
        <v>114</v>
      </c>
      <c r="AH108">
        <f t="shared" si="8"/>
        <v>125.6</v>
      </c>
      <c r="AI108">
        <f t="shared" si="9"/>
        <v>1253</v>
      </c>
    </row>
    <row r="109" spans="1:35" x14ac:dyDescent="0.3">
      <c r="A109" t="s">
        <v>32</v>
      </c>
      <c r="B109">
        <v>2015</v>
      </c>
      <c r="C109" t="s">
        <v>45</v>
      </c>
      <c r="D109">
        <v>124.3</v>
      </c>
      <c r="E109">
        <v>131.69999999999999</v>
      </c>
      <c r="F109">
        <v>127.1</v>
      </c>
      <c r="G109">
        <v>128.6</v>
      </c>
      <c r="H109">
        <v>110</v>
      </c>
      <c r="I109">
        <v>120.8</v>
      </c>
      <c r="J109">
        <v>149</v>
      </c>
      <c r="K109">
        <v>190.1</v>
      </c>
      <c r="L109">
        <v>92.7</v>
      </c>
      <c r="M109">
        <v>138.6</v>
      </c>
      <c r="N109">
        <v>120.2</v>
      </c>
      <c r="O109">
        <v>134.19999999999999</v>
      </c>
      <c r="P109">
        <v>131.5</v>
      </c>
      <c r="Q109">
        <v>138.19999999999999</v>
      </c>
      <c r="R109">
        <v>125.4</v>
      </c>
      <c r="S109">
        <v>119.5</v>
      </c>
      <c r="T109">
        <v>124.5</v>
      </c>
      <c r="U109">
        <v>122.4</v>
      </c>
      <c r="V109">
        <v>116</v>
      </c>
      <c r="W109">
        <v>121</v>
      </c>
      <c r="X109">
        <v>118.6</v>
      </c>
      <c r="Y109">
        <v>109.3</v>
      </c>
      <c r="Z109">
        <v>118.1</v>
      </c>
      <c r="AA109">
        <v>126.6</v>
      </c>
      <c r="AB109">
        <v>113.2</v>
      </c>
      <c r="AC109">
        <v>116.7</v>
      </c>
      <c r="AD109">
        <v>124</v>
      </c>
      <c r="AE109">
        <f t="shared" si="5"/>
        <v>1698.8</v>
      </c>
      <c r="AF109">
        <f t="shared" si="6"/>
        <v>116</v>
      </c>
      <c r="AG109">
        <f t="shared" si="7"/>
        <v>109.3</v>
      </c>
      <c r="AH109">
        <f t="shared" si="8"/>
        <v>126.6</v>
      </c>
      <c r="AI109">
        <f t="shared" si="9"/>
        <v>1217.6000000000001</v>
      </c>
    </row>
    <row r="110" spans="1:35" x14ac:dyDescent="0.3">
      <c r="A110" t="s">
        <v>33</v>
      </c>
      <c r="B110">
        <v>2015</v>
      </c>
      <c r="C110" t="s">
        <v>45</v>
      </c>
      <c r="D110">
        <v>125.7</v>
      </c>
      <c r="E110">
        <v>131.4</v>
      </c>
      <c r="F110">
        <v>124.8</v>
      </c>
      <c r="G110">
        <v>129.4</v>
      </c>
      <c r="H110">
        <v>115.3</v>
      </c>
      <c r="I110">
        <v>126.6</v>
      </c>
      <c r="J110">
        <v>146.69999999999999</v>
      </c>
      <c r="K110">
        <v>171.5</v>
      </c>
      <c r="L110">
        <v>94.5</v>
      </c>
      <c r="M110">
        <v>132.1</v>
      </c>
      <c r="N110">
        <v>122</v>
      </c>
      <c r="O110">
        <v>134.69999999999999</v>
      </c>
      <c r="P110">
        <v>131.4</v>
      </c>
      <c r="Q110">
        <v>134.5</v>
      </c>
      <c r="R110">
        <v>129.69999999999999</v>
      </c>
      <c r="S110">
        <v>124.8</v>
      </c>
      <c r="T110">
        <v>129</v>
      </c>
      <c r="U110">
        <v>122.4</v>
      </c>
      <c r="V110">
        <v>122</v>
      </c>
      <c r="W110">
        <v>123.6</v>
      </c>
      <c r="X110">
        <v>121.4</v>
      </c>
      <c r="Y110">
        <v>111.5</v>
      </c>
      <c r="Z110">
        <v>119.6</v>
      </c>
      <c r="AA110">
        <v>126.2</v>
      </c>
      <c r="AB110">
        <v>113.7</v>
      </c>
      <c r="AC110">
        <v>118.3</v>
      </c>
      <c r="AD110">
        <v>126.1</v>
      </c>
      <c r="AE110">
        <f t="shared" si="5"/>
        <v>1686.1000000000001</v>
      </c>
      <c r="AF110">
        <f t="shared" si="6"/>
        <v>122</v>
      </c>
      <c r="AG110">
        <f t="shared" si="7"/>
        <v>111.5</v>
      </c>
      <c r="AH110">
        <f t="shared" si="8"/>
        <v>126.2</v>
      </c>
      <c r="AI110">
        <f t="shared" si="9"/>
        <v>1237</v>
      </c>
    </row>
    <row r="111" spans="1:35" x14ac:dyDescent="0.3">
      <c r="A111" t="s">
        <v>30</v>
      </c>
      <c r="B111">
        <v>2016</v>
      </c>
      <c r="C111" t="s">
        <v>31</v>
      </c>
      <c r="D111">
        <v>126.8</v>
      </c>
      <c r="E111">
        <v>133.19999999999999</v>
      </c>
      <c r="F111">
        <v>126.5</v>
      </c>
      <c r="G111">
        <v>130.30000000000001</v>
      </c>
      <c r="H111">
        <v>118.9</v>
      </c>
      <c r="I111">
        <v>131.6</v>
      </c>
      <c r="J111">
        <v>140.1</v>
      </c>
      <c r="K111">
        <v>163.80000000000001</v>
      </c>
      <c r="L111">
        <v>97.7</v>
      </c>
      <c r="M111">
        <v>129.6</v>
      </c>
      <c r="N111">
        <v>124.3</v>
      </c>
      <c r="O111">
        <v>135.9</v>
      </c>
      <c r="P111">
        <v>131.4</v>
      </c>
      <c r="Q111">
        <v>133.6</v>
      </c>
      <c r="R111">
        <v>133.19999999999999</v>
      </c>
      <c r="S111">
        <v>128.9</v>
      </c>
      <c r="T111">
        <v>132.6</v>
      </c>
      <c r="U111">
        <v>123.4</v>
      </c>
      <c r="V111">
        <v>126.2</v>
      </c>
      <c r="W111">
        <v>126.6</v>
      </c>
      <c r="X111">
        <v>123.7</v>
      </c>
      <c r="Y111">
        <v>113.6</v>
      </c>
      <c r="Z111">
        <v>121.4</v>
      </c>
      <c r="AA111">
        <v>126.2</v>
      </c>
      <c r="AB111">
        <v>114.9</v>
      </c>
      <c r="AC111">
        <v>120.1</v>
      </c>
      <c r="AD111">
        <v>128.1</v>
      </c>
      <c r="AE111">
        <f t="shared" si="5"/>
        <v>1690.1000000000001</v>
      </c>
      <c r="AF111">
        <f t="shared" si="6"/>
        <v>126.2</v>
      </c>
      <c r="AG111">
        <f t="shared" si="7"/>
        <v>113.6</v>
      </c>
      <c r="AH111">
        <f t="shared" si="8"/>
        <v>126.2</v>
      </c>
      <c r="AI111">
        <f t="shared" si="9"/>
        <v>1258.3999999999999</v>
      </c>
    </row>
    <row r="112" spans="1:35" x14ac:dyDescent="0.3">
      <c r="A112" t="s">
        <v>32</v>
      </c>
      <c r="B112">
        <v>2016</v>
      </c>
      <c r="C112" t="s">
        <v>31</v>
      </c>
      <c r="D112">
        <v>124.7</v>
      </c>
      <c r="E112">
        <v>135.9</v>
      </c>
      <c r="F112">
        <v>132</v>
      </c>
      <c r="G112">
        <v>129.19999999999999</v>
      </c>
      <c r="H112">
        <v>109.7</v>
      </c>
      <c r="I112">
        <v>119</v>
      </c>
      <c r="J112">
        <v>144.1</v>
      </c>
      <c r="K112">
        <v>184.2</v>
      </c>
      <c r="L112">
        <v>96.7</v>
      </c>
      <c r="M112">
        <v>139.5</v>
      </c>
      <c r="N112">
        <v>120.5</v>
      </c>
      <c r="O112">
        <v>134.69999999999999</v>
      </c>
      <c r="P112">
        <v>131.19999999999999</v>
      </c>
      <c r="Q112">
        <v>139.5</v>
      </c>
      <c r="R112">
        <v>125.8</v>
      </c>
      <c r="S112">
        <v>119.8</v>
      </c>
      <c r="T112">
        <v>124.9</v>
      </c>
      <c r="U112">
        <v>123.4</v>
      </c>
      <c r="V112">
        <v>116.9</v>
      </c>
      <c r="W112">
        <v>121.6</v>
      </c>
      <c r="X112">
        <v>119.1</v>
      </c>
      <c r="Y112">
        <v>108.9</v>
      </c>
      <c r="Z112">
        <v>118.5</v>
      </c>
      <c r="AA112">
        <v>126.4</v>
      </c>
      <c r="AB112">
        <v>114</v>
      </c>
      <c r="AC112">
        <v>116.8</v>
      </c>
      <c r="AD112">
        <v>124.2</v>
      </c>
      <c r="AE112">
        <f t="shared" si="5"/>
        <v>1701.4</v>
      </c>
      <c r="AF112">
        <f t="shared" si="6"/>
        <v>116.9</v>
      </c>
      <c r="AG112">
        <f t="shared" si="7"/>
        <v>108.9</v>
      </c>
      <c r="AH112">
        <f t="shared" si="8"/>
        <v>126.4</v>
      </c>
      <c r="AI112">
        <f t="shared" si="9"/>
        <v>1223.3999999999999</v>
      </c>
    </row>
    <row r="113" spans="1:35" x14ac:dyDescent="0.3">
      <c r="A113" t="s">
        <v>33</v>
      </c>
      <c r="B113">
        <v>2016</v>
      </c>
      <c r="C113" t="s">
        <v>31</v>
      </c>
      <c r="D113">
        <v>126.1</v>
      </c>
      <c r="E113">
        <v>134.1</v>
      </c>
      <c r="F113">
        <v>128.6</v>
      </c>
      <c r="G113">
        <v>129.9</v>
      </c>
      <c r="H113">
        <v>115.5</v>
      </c>
      <c r="I113">
        <v>125.7</v>
      </c>
      <c r="J113">
        <v>141.5</v>
      </c>
      <c r="K113">
        <v>170.7</v>
      </c>
      <c r="L113">
        <v>97.4</v>
      </c>
      <c r="M113">
        <v>132.9</v>
      </c>
      <c r="N113">
        <v>122.7</v>
      </c>
      <c r="O113">
        <v>135.30000000000001</v>
      </c>
      <c r="P113">
        <v>131.30000000000001</v>
      </c>
      <c r="Q113">
        <v>135.19999999999999</v>
      </c>
      <c r="R113">
        <v>130.30000000000001</v>
      </c>
      <c r="S113">
        <v>125.1</v>
      </c>
      <c r="T113">
        <v>129.5</v>
      </c>
      <c r="U113">
        <v>123.4</v>
      </c>
      <c r="V113">
        <v>122.7</v>
      </c>
      <c r="W113">
        <v>124.2</v>
      </c>
      <c r="X113">
        <v>122</v>
      </c>
      <c r="Y113">
        <v>111.1</v>
      </c>
      <c r="Z113">
        <v>119.8</v>
      </c>
      <c r="AA113">
        <v>126.3</v>
      </c>
      <c r="AB113">
        <v>114.5</v>
      </c>
      <c r="AC113">
        <v>118.5</v>
      </c>
      <c r="AD113">
        <v>126.3</v>
      </c>
      <c r="AE113">
        <f t="shared" si="5"/>
        <v>1691.7</v>
      </c>
      <c r="AF113">
        <f t="shared" si="6"/>
        <v>122.7</v>
      </c>
      <c r="AG113">
        <f t="shared" si="7"/>
        <v>111.1</v>
      </c>
      <c r="AH113">
        <f t="shared" si="8"/>
        <v>126.3</v>
      </c>
      <c r="AI113">
        <f t="shared" si="9"/>
        <v>1242.5</v>
      </c>
    </row>
    <row r="114" spans="1:35" x14ac:dyDescent="0.3">
      <c r="A114" t="s">
        <v>30</v>
      </c>
      <c r="B114">
        <v>2016</v>
      </c>
      <c r="C114" t="s">
        <v>34</v>
      </c>
      <c r="D114">
        <v>127.1</v>
      </c>
      <c r="E114">
        <v>133.69999999999999</v>
      </c>
      <c r="F114">
        <v>127.7</v>
      </c>
      <c r="G114">
        <v>130.69999999999999</v>
      </c>
      <c r="H114">
        <v>118.5</v>
      </c>
      <c r="I114">
        <v>130.4</v>
      </c>
      <c r="J114">
        <v>130.9</v>
      </c>
      <c r="K114">
        <v>162.80000000000001</v>
      </c>
      <c r="L114">
        <v>98.7</v>
      </c>
      <c r="M114">
        <v>130.6</v>
      </c>
      <c r="N114">
        <v>124.8</v>
      </c>
      <c r="O114">
        <v>136.4</v>
      </c>
      <c r="P114">
        <v>130.30000000000001</v>
      </c>
      <c r="Q114">
        <v>134.4</v>
      </c>
      <c r="R114">
        <v>133.9</v>
      </c>
      <c r="S114">
        <v>129.80000000000001</v>
      </c>
      <c r="T114">
        <v>133.4</v>
      </c>
      <c r="U114">
        <v>124.4</v>
      </c>
      <c r="V114">
        <v>127.5</v>
      </c>
      <c r="W114">
        <v>127.1</v>
      </c>
      <c r="X114">
        <v>124.3</v>
      </c>
      <c r="Y114">
        <v>113.9</v>
      </c>
      <c r="Z114">
        <v>122.3</v>
      </c>
      <c r="AA114">
        <v>127.1</v>
      </c>
      <c r="AB114">
        <v>116.8</v>
      </c>
      <c r="AC114">
        <v>120.9</v>
      </c>
      <c r="AD114">
        <v>127.9</v>
      </c>
      <c r="AE114">
        <f t="shared" si="5"/>
        <v>1682.6</v>
      </c>
      <c r="AF114">
        <f t="shared" si="6"/>
        <v>127.5</v>
      </c>
      <c r="AG114">
        <f t="shared" si="7"/>
        <v>113.9</v>
      </c>
      <c r="AH114">
        <f t="shared" si="8"/>
        <v>127.1</v>
      </c>
      <c r="AI114">
        <f t="shared" si="9"/>
        <v>1267.3</v>
      </c>
    </row>
    <row r="115" spans="1:35" x14ac:dyDescent="0.3">
      <c r="A115" t="s">
        <v>32</v>
      </c>
      <c r="B115">
        <v>2016</v>
      </c>
      <c r="C115" t="s">
        <v>34</v>
      </c>
      <c r="D115">
        <v>124.8</v>
      </c>
      <c r="E115">
        <v>135.1</v>
      </c>
      <c r="F115">
        <v>130.30000000000001</v>
      </c>
      <c r="G115">
        <v>129.6</v>
      </c>
      <c r="H115">
        <v>108.4</v>
      </c>
      <c r="I115">
        <v>118.6</v>
      </c>
      <c r="J115">
        <v>129.19999999999999</v>
      </c>
      <c r="K115">
        <v>176.4</v>
      </c>
      <c r="L115">
        <v>99.1</v>
      </c>
      <c r="M115">
        <v>139.69999999999999</v>
      </c>
      <c r="N115">
        <v>120.6</v>
      </c>
      <c r="O115">
        <v>135.19999999999999</v>
      </c>
      <c r="P115">
        <v>129.1</v>
      </c>
      <c r="Q115">
        <v>140</v>
      </c>
      <c r="R115">
        <v>126.2</v>
      </c>
      <c r="S115">
        <v>120.1</v>
      </c>
      <c r="T115">
        <v>125.3</v>
      </c>
      <c r="U115">
        <v>124.4</v>
      </c>
      <c r="V115">
        <v>116</v>
      </c>
      <c r="W115">
        <v>121.8</v>
      </c>
      <c r="X115">
        <v>119.5</v>
      </c>
      <c r="Y115">
        <v>109.1</v>
      </c>
      <c r="Z115">
        <v>118.8</v>
      </c>
      <c r="AA115">
        <v>126.3</v>
      </c>
      <c r="AB115">
        <v>116.2</v>
      </c>
      <c r="AC115">
        <v>117.2</v>
      </c>
      <c r="AD115">
        <v>123.8</v>
      </c>
      <c r="AE115">
        <f t="shared" si="5"/>
        <v>1676.1</v>
      </c>
      <c r="AF115">
        <f t="shared" si="6"/>
        <v>116</v>
      </c>
      <c r="AG115">
        <f t="shared" si="7"/>
        <v>109.1</v>
      </c>
      <c r="AH115">
        <f t="shared" si="8"/>
        <v>126.3</v>
      </c>
      <c r="AI115">
        <f t="shared" si="9"/>
        <v>1229.5</v>
      </c>
    </row>
    <row r="116" spans="1:35" x14ac:dyDescent="0.3">
      <c r="A116" t="s">
        <v>33</v>
      </c>
      <c r="B116">
        <v>2016</v>
      </c>
      <c r="C116" t="s">
        <v>34</v>
      </c>
      <c r="D116">
        <v>126.4</v>
      </c>
      <c r="E116">
        <v>134.19999999999999</v>
      </c>
      <c r="F116">
        <v>128.69999999999999</v>
      </c>
      <c r="G116">
        <v>130.30000000000001</v>
      </c>
      <c r="H116">
        <v>114.8</v>
      </c>
      <c r="I116">
        <v>124.9</v>
      </c>
      <c r="J116">
        <v>130.30000000000001</v>
      </c>
      <c r="K116">
        <v>167.4</v>
      </c>
      <c r="L116">
        <v>98.8</v>
      </c>
      <c r="M116">
        <v>133.6</v>
      </c>
      <c r="N116">
        <v>123</v>
      </c>
      <c r="O116">
        <v>135.80000000000001</v>
      </c>
      <c r="P116">
        <v>129.9</v>
      </c>
      <c r="Q116">
        <v>135.9</v>
      </c>
      <c r="R116">
        <v>130.9</v>
      </c>
      <c r="S116">
        <v>125.8</v>
      </c>
      <c r="T116">
        <v>130.19999999999999</v>
      </c>
      <c r="U116">
        <v>124.4</v>
      </c>
      <c r="V116">
        <v>123.1</v>
      </c>
      <c r="W116">
        <v>124.6</v>
      </c>
      <c r="X116">
        <v>122.5</v>
      </c>
      <c r="Y116">
        <v>111.4</v>
      </c>
      <c r="Z116">
        <v>120.3</v>
      </c>
      <c r="AA116">
        <v>126.6</v>
      </c>
      <c r="AB116">
        <v>116.6</v>
      </c>
      <c r="AC116">
        <v>119.1</v>
      </c>
      <c r="AD116">
        <v>126</v>
      </c>
      <c r="AE116">
        <f t="shared" si="5"/>
        <v>1678.1</v>
      </c>
      <c r="AF116">
        <f t="shared" si="6"/>
        <v>123.1</v>
      </c>
      <c r="AG116">
        <f t="shared" si="7"/>
        <v>111.4</v>
      </c>
      <c r="AH116">
        <f t="shared" si="8"/>
        <v>126.6</v>
      </c>
      <c r="AI116">
        <f t="shared" si="9"/>
        <v>1250.2999999999997</v>
      </c>
    </row>
    <row r="117" spans="1:35" x14ac:dyDescent="0.3">
      <c r="A117" t="s">
        <v>30</v>
      </c>
      <c r="B117">
        <v>2016</v>
      </c>
      <c r="C117" t="s">
        <v>35</v>
      </c>
      <c r="D117">
        <v>127.3</v>
      </c>
      <c r="E117">
        <v>134.4</v>
      </c>
      <c r="F117">
        <v>125.1</v>
      </c>
      <c r="G117">
        <v>130.5</v>
      </c>
      <c r="H117">
        <v>118.3</v>
      </c>
      <c r="I117">
        <v>131.69999999999999</v>
      </c>
      <c r="J117">
        <v>130.69999999999999</v>
      </c>
      <c r="K117">
        <v>161.19999999999999</v>
      </c>
      <c r="L117">
        <v>100.4</v>
      </c>
      <c r="M117">
        <v>130.80000000000001</v>
      </c>
      <c r="N117">
        <v>124.9</v>
      </c>
      <c r="O117">
        <v>137</v>
      </c>
      <c r="P117">
        <v>130.4</v>
      </c>
      <c r="Q117">
        <v>135</v>
      </c>
      <c r="R117">
        <v>134.4</v>
      </c>
      <c r="S117">
        <v>130.19999999999999</v>
      </c>
      <c r="T117">
        <v>133.80000000000001</v>
      </c>
      <c r="U117">
        <v>124.9</v>
      </c>
      <c r="V117">
        <v>127</v>
      </c>
      <c r="W117">
        <v>127.7</v>
      </c>
      <c r="X117">
        <v>124.8</v>
      </c>
      <c r="Y117">
        <v>113.6</v>
      </c>
      <c r="Z117">
        <v>122.5</v>
      </c>
      <c r="AA117">
        <v>127.5</v>
      </c>
      <c r="AB117">
        <v>117.4</v>
      </c>
      <c r="AC117">
        <v>121.1</v>
      </c>
      <c r="AD117">
        <v>128</v>
      </c>
      <c r="AE117">
        <f t="shared" si="5"/>
        <v>1682.7000000000003</v>
      </c>
      <c r="AF117">
        <f t="shared" si="6"/>
        <v>127</v>
      </c>
      <c r="AG117">
        <f t="shared" si="7"/>
        <v>113.6</v>
      </c>
      <c r="AH117">
        <f t="shared" si="8"/>
        <v>127.5</v>
      </c>
      <c r="AI117">
        <f t="shared" si="9"/>
        <v>1271.8</v>
      </c>
    </row>
    <row r="118" spans="1:35" x14ac:dyDescent="0.3">
      <c r="A118" t="s">
        <v>32</v>
      </c>
      <c r="B118">
        <v>2016</v>
      </c>
      <c r="C118" t="s">
        <v>35</v>
      </c>
      <c r="D118">
        <v>124.8</v>
      </c>
      <c r="E118">
        <v>136.30000000000001</v>
      </c>
      <c r="F118">
        <v>123.7</v>
      </c>
      <c r="G118">
        <v>129.69999999999999</v>
      </c>
      <c r="H118">
        <v>107.9</v>
      </c>
      <c r="I118">
        <v>119.9</v>
      </c>
      <c r="J118">
        <v>128.1</v>
      </c>
      <c r="K118">
        <v>170.3</v>
      </c>
      <c r="L118">
        <v>101.8</v>
      </c>
      <c r="M118">
        <v>140.1</v>
      </c>
      <c r="N118">
        <v>120.7</v>
      </c>
      <c r="O118">
        <v>135.4</v>
      </c>
      <c r="P118">
        <v>128.9</v>
      </c>
      <c r="Q118">
        <v>140.6</v>
      </c>
      <c r="R118">
        <v>126.4</v>
      </c>
      <c r="S118">
        <v>120.3</v>
      </c>
      <c r="T118">
        <v>125.5</v>
      </c>
      <c r="U118">
        <v>124.9</v>
      </c>
      <c r="V118">
        <v>114.8</v>
      </c>
      <c r="W118">
        <v>122.3</v>
      </c>
      <c r="X118">
        <v>119.7</v>
      </c>
      <c r="Y118">
        <v>108.5</v>
      </c>
      <c r="Z118">
        <v>119.1</v>
      </c>
      <c r="AA118">
        <v>126.4</v>
      </c>
      <c r="AB118">
        <v>117.1</v>
      </c>
      <c r="AC118">
        <v>117.3</v>
      </c>
      <c r="AD118">
        <v>123.8</v>
      </c>
      <c r="AE118">
        <f t="shared" si="5"/>
        <v>1667.6000000000001</v>
      </c>
      <c r="AF118">
        <f t="shared" si="6"/>
        <v>114.8</v>
      </c>
      <c r="AG118">
        <f t="shared" si="7"/>
        <v>108.5</v>
      </c>
      <c r="AH118">
        <f t="shared" si="8"/>
        <v>126.4</v>
      </c>
      <c r="AI118">
        <f t="shared" si="9"/>
        <v>1233.1999999999998</v>
      </c>
    </row>
    <row r="119" spans="1:35" x14ac:dyDescent="0.3">
      <c r="A119" t="s">
        <v>33</v>
      </c>
      <c r="B119">
        <v>2016</v>
      </c>
      <c r="C119" t="s">
        <v>35</v>
      </c>
      <c r="D119">
        <v>126.5</v>
      </c>
      <c r="E119">
        <v>135.1</v>
      </c>
      <c r="F119">
        <v>124.6</v>
      </c>
      <c r="G119">
        <v>130.19999999999999</v>
      </c>
      <c r="H119">
        <v>114.5</v>
      </c>
      <c r="I119">
        <v>126.2</v>
      </c>
      <c r="J119">
        <v>129.80000000000001</v>
      </c>
      <c r="K119">
        <v>164.3</v>
      </c>
      <c r="L119">
        <v>100.9</v>
      </c>
      <c r="M119">
        <v>133.9</v>
      </c>
      <c r="N119">
        <v>123.1</v>
      </c>
      <c r="O119">
        <v>136.30000000000001</v>
      </c>
      <c r="P119">
        <v>129.80000000000001</v>
      </c>
      <c r="Q119">
        <v>136.5</v>
      </c>
      <c r="R119">
        <v>131.30000000000001</v>
      </c>
      <c r="S119">
        <v>126.1</v>
      </c>
      <c r="T119">
        <v>130.5</v>
      </c>
      <c r="U119">
        <v>124.9</v>
      </c>
      <c r="V119">
        <v>122.4</v>
      </c>
      <c r="W119">
        <v>125.1</v>
      </c>
      <c r="X119">
        <v>122.9</v>
      </c>
      <c r="Y119">
        <v>110.9</v>
      </c>
      <c r="Z119">
        <v>120.6</v>
      </c>
      <c r="AA119">
        <v>126.9</v>
      </c>
      <c r="AB119">
        <v>117.3</v>
      </c>
      <c r="AC119">
        <v>119.3</v>
      </c>
      <c r="AD119">
        <v>126</v>
      </c>
      <c r="AE119">
        <f t="shared" si="5"/>
        <v>1675.2</v>
      </c>
      <c r="AF119">
        <f t="shared" si="6"/>
        <v>122.4</v>
      </c>
      <c r="AG119">
        <f t="shared" si="7"/>
        <v>110.9</v>
      </c>
      <c r="AH119">
        <f t="shared" si="8"/>
        <v>126.9</v>
      </c>
      <c r="AI119">
        <f t="shared" si="9"/>
        <v>1254.5</v>
      </c>
    </row>
    <row r="120" spans="1:35" x14ac:dyDescent="0.3">
      <c r="A120" t="s">
        <v>30</v>
      </c>
      <c r="B120">
        <v>2016</v>
      </c>
      <c r="C120" t="s">
        <v>36</v>
      </c>
      <c r="D120">
        <v>127.4</v>
      </c>
      <c r="E120">
        <v>135.4</v>
      </c>
      <c r="F120">
        <v>123.4</v>
      </c>
      <c r="G120">
        <v>131.30000000000001</v>
      </c>
      <c r="H120">
        <v>118.2</v>
      </c>
      <c r="I120">
        <v>138.1</v>
      </c>
      <c r="J120">
        <v>134.1</v>
      </c>
      <c r="K120">
        <v>162.69999999999999</v>
      </c>
      <c r="L120">
        <v>105</v>
      </c>
      <c r="M120">
        <v>131.4</v>
      </c>
      <c r="N120">
        <v>125.4</v>
      </c>
      <c r="O120">
        <v>137.4</v>
      </c>
      <c r="P120">
        <v>131.80000000000001</v>
      </c>
      <c r="Q120">
        <v>135.5</v>
      </c>
      <c r="R120">
        <v>135</v>
      </c>
      <c r="S120">
        <v>130.6</v>
      </c>
      <c r="T120">
        <v>134.4</v>
      </c>
      <c r="U120">
        <v>125.6</v>
      </c>
      <c r="V120">
        <v>127</v>
      </c>
      <c r="W120">
        <v>128</v>
      </c>
      <c r="X120">
        <v>125.2</v>
      </c>
      <c r="Y120">
        <v>114.4</v>
      </c>
      <c r="Z120">
        <v>123.2</v>
      </c>
      <c r="AA120">
        <v>127.9</v>
      </c>
      <c r="AB120">
        <v>118.4</v>
      </c>
      <c r="AC120">
        <v>121.7</v>
      </c>
      <c r="AD120">
        <v>129</v>
      </c>
      <c r="AE120">
        <f t="shared" si="5"/>
        <v>1701.6000000000004</v>
      </c>
      <c r="AF120">
        <f t="shared" si="6"/>
        <v>127</v>
      </c>
      <c r="AG120">
        <f t="shared" si="7"/>
        <v>114.4</v>
      </c>
      <c r="AH120">
        <f t="shared" si="8"/>
        <v>127.9</v>
      </c>
      <c r="AI120">
        <f t="shared" si="9"/>
        <v>1277.6000000000001</v>
      </c>
    </row>
    <row r="121" spans="1:35" x14ac:dyDescent="0.3">
      <c r="A121" t="s">
        <v>32</v>
      </c>
      <c r="B121">
        <v>2016</v>
      </c>
      <c r="C121" t="s">
        <v>36</v>
      </c>
      <c r="D121">
        <v>124.9</v>
      </c>
      <c r="E121">
        <v>139.30000000000001</v>
      </c>
      <c r="F121">
        <v>119.9</v>
      </c>
      <c r="G121">
        <v>130.19999999999999</v>
      </c>
      <c r="H121">
        <v>108.9</v>
      </c>
      <c r="I121">
        <v>131.1</v>
      </c>
      <c r="J121">
        <v>136.80000000000001</v>
      </c>
      <c r="K121">
        <v>176.9</v>
      </c>
      <c r="L121">
        <v>109.1</v>
      </c>
      <c r="M121">
        <v>140.4</v>
      </c>
      <c r="N121">
        <v>121.1</v>
      </c>
      <c r="O121">
        <v>135.9</v>
      </c>
      <c r="P121">
        <v>131.80000000000001</v>
      </c>
      <c r="Q121">
        <v>141.5</v>
      </c>
      <c r="R121">
        <v>126.8</v>
      </c>
      <c r="S121">
        <v>120.5</v>
      </c>
      <c r="T121">
        <v>125.8</v>
      </c>
      <c r="U121">
        <v>125.6</v>
      </c>
      <c r="V121">
        <v>114.6</v>
      </c>
      <c r="W121">
        <v>122.8</v>
      </c>
      <c r="X121">
        <v>120</v>
      </c>
      <c r="Y121">
        <v>110</v>
      </c>
      <c r="Z121">
        <v>119.5</v>
      </c>
      <c r="AA121">
        <v>127.6</v>
      </c>
      <c r="AB121">
        <v>117.6</v>
      </c>
      <c r="AC121">
        <v>118.2</v>
      </c>
      <c r="AD121">
        <v>125.3</v>
      </c>
      <c r="AE121">
        <f t="shared" si="5"/>
        <v>1706.3</v>
      </c>
      <c r="AF121">
        <f t="shared" si="6"/>
        <v>114.6</v>
      </c>
      <c r="AG121">
        <f t="shared" si="7"/>
        <v>110</v>
      </c>
      <c r="AH121">
        <f t="shared" si="8"/>
        <v>127.6</v>
      </c>
      <c r="AI121">
        <f t="shared" si="9"/>
        <v>1238.3</v>
      </c>
    </row>
    <row r="122" spans="1:35" x14ac:dyDescent="0.3">
      <c r="A122" t="s">
        <v>33</v>
      </c>
      <c r="B122">
        <v>2016</v>
      </c>
      <c r="C122" t="s">
        <v>36</v>
      </c>
      <c r="D122">
        <v>126.6</v>
      </c>
      <c r="E122">
        <v>136.80000000000001</v>
      </c>
      <c r="F122">
        <v>122</v>
      </c>
      <c r="G122">
        <v>130.9</v>
      </c>
      <c r="H122">
        <v>114.8</v>
      </c>
      <c r="I122">
        <v>134.80000000000001</v>
      </c>
      <c r="J122">
        <v>135</v>
      </c>
      <c r="K122">
        <v>167.5</v>
      </c>
      <c r="L122">
        <v>106.4</v>
      </c>
      <c r="M122">
        <v>134.4</v>
      </c>
      <c r="N122">
        <v>123.6</v>
      </c>
      <c r="O122">
        <v>136.69999999999999</v>
      </c>
      <c r="P122">
        <v>131.80000000000001</v>
      </c>
      <c r="Q122">
        <v>137.1</v>
      </c>
      <c r="R122">
        <v>131.80000000000001</v>
      </c>
      <c r="S122">
        <v>126.4</v>
      </c>
      <c r="T122">
        <v>131</v>
      </c>
      <c r="U122">
        <v>125.6</v>
      </c>
      <c r="V122">
        <v>122.3</v>
      </c>
      <c r="W122">
        <v>125.5</v>
      </c>
      <c r="X122">
        <v>123.2</v>
      </c>
      <c r="Y122">
        <v>112.1</v>
      </c>
      <c r="Z122">
        <v>121.1</v>
      </c>
      <c r="AA122">
        <v>127.7</v>
      </c>
      <c r="AB122">
        <v>118.1</v>
      </c>
      <c r="AC122">
        <v>120</v>
      </c>
      <c r="AD122">
        <v>127.3</v>
      </c>
      <c r="AE122">
        <f t="shared" si="5"/>
        <v>1701.3</v>
      </c>
      <c r="AF122">
        <f t="shared" si="6"/>
        <v>122.3</v>
      </c>
      <c r="AG122">
        <f t="shared" si="7"/>
        <v>112.1</v>
      </c>
      <c r="AH122">
        <f t="shared" si="8"/>
        <v>127.7</v>
      </c>
      <c r="AI122">
        <f t="shared" si="9"/>
        <v>1259.8</v>
      </c>
    </row>
    <row r="123" spans="1:35" x14ac:dyDescent="0.3">
      <c r="A123" t="s">
        <v>30</v>
      </c>
      <c r="B123">
        <v>2016</v>
      </c>
      <c r="C123" t="s">
        <v>37</v>
      </c>
      <c r="D123">
        <v>127.6</v>
      </c>
      <c r="E123">
        <v>137.5</v>
      </c>
      <c r="F123">
        <v>124.4</v>
      </c>
      <c r="G123">
        <v>132.4</v>
      </c>
      <c r="H123">
        <v>118.2</v>
      </c>
      <c r="I123">
        <v>138.1</v>
      </c>
      <c r="J123">
        <v>141.80000000000001</v>
      </c>
      <c r="K123">
        <v>166</v>
      </c>
      <c r="L123">
        <v>107.5</v>
      </c>
      <c r="M123">
        <v>132.19999999999999</v>
      </c>
      <c r="N123">
        <v>126.1</v>
      </c>
      <c r="O123">
        <v>138.30000000000001</v>
      </c>
      <c r="P123">
        <v>133.6</v>
      </c>
      <c r="Q123">
        <v>136</v>
      </c>
      <c r="R123">
        <v>135.4</v>
      </c>
      <c r="S123">
        <v>131.1</v>
      </c>
      <c r="T123">
        <v>134.80000000000001</v>
      </c>
      <c r="U123">
        <v>126</v>
      </c>
      <c r="V123">
        <v>127.4</v>
      </c>
      <c r="W123">
        <v>128.5</v>
      </c>
      <c r="X123">
        <v>125.8</v>
      </c>
      <c r="Y123">
        <v>115.1</v>
      </c>
      <c r="Z123">
        <v>123.6</v>
      </c>
      <c r="AA123">
        <v>129.1</v>
      </c>
      <c r="AB123">
        <v>119.7</v>
      </c>
      <c r="AC123">
        <v>122.5</v>
      </c>
      <c r="AD123">
        <v>130.30000000000001</v>
      </c>
      <c r="AE123">
        <f t="shared" si="5"/>
        <v>1723.6999999999998</v>
      </c>
      <c r="AF123">
        <f t="shared" si="6"/>
        <v>127.4</v>
      </c>
      <c r="AG123">
        <f t="shared" si="7"/>
        <v>115.1</v>
      </c>
      <c r="AH123">
        <f t="shared" si="8"/>
        <v>129.1</v>
      </c>
      <c r="AI123">
        <f t="shared" si="9"/>
        <v>1283.3999999999999</v>
      </c>
    </row>
    <row r="124" spans="1:35" x14ac:dyDescent="0.3">
      <c r="A124" t="s">
        <v>32</v>
      </c>
      <c r="B124">
        <v>2016</v>
      </c>
      <c r="C124" t="s">
        <v>37</v>
      </c>
      <c r="D124">
        <v>125</v>
      </c>
      <c r="E124">
        <v>142.1</v>
      </c>
      <c r="F124">
        <v>127</v>
      </c>
      <c r="G124">
        <v>130.4</v>
      </c>
      <c r="H124">
        <v>109.6</v>
      </c>
      <c r="I124">
        <v>133.5</v>
      </c>
      <c r="J124">
        <v>151.4</v>
      </c>
      <c r="K124">
        <v>182.8</v>
      </c>
      <c r="L124">
        <v>111.1</v>
      </c>
      <c r="M124">
        <v>141.5</v>
      </c>
      <c r="N124">
        <v>121.5</v>
      </c>
      <c r="O124">
        <v>136.30000000000001</v>
      </c>
      <c r="P124">
        <v>134.6</v>
      </c>
      <c r="Q124">
        <v>142.19999999999999</v>
      </c>
      <c r="R124">
        <v>127.2</v>
      </c>
      <c r="S124">
        <v>120.7</v>
      </c>
      <c r="T124">
        <v>126.2</v>
      </c>
      <c r="U124">
        <v>126</v>
      </c>
      <c r="V124">
        <v>115</v>
      </c>
      <c r="W124">
        <v>123.2</v>
      </c>
      <c r="X124">
        <v>120.3</v>
      </c>
      <c r="Y124">
        <v>110.7</v>
      </c>
      <c r="Z124">
        <v>119.8</v>
      </c>
      <c r="AA124">
        <v>128</v>
      </c>
      <c r="AB124">
        <v>118.5</v>
      </c>
      <c r="AC124">
        <v>118.7</v>
      </c>
      <c r="AD124">
        <v>126.6</v>
      </c>
      <c r="AE124">
        <f t="shared" si="5"/>
        <v>1746.7999999999997</v>
      </c>
      <c r="AF124">
        <f t="shared" si="6"/>
        <v>115</v>
      </c>
      <c r="AG124">
        <f t="shared" si="7"/>
        <v>110.7</v>
      </c>
      <c r="AH124">
        <f t="shared" si="8"/>
        <v>128</v>
      </c>
      <c r="AI124">
        <f t="shared" si="9"/>
        <v>1242.8</v>
      </c>
    </row>
    <row r="125" spans="1:35" x14ac:dyDescent="0.3">
      <c r="A125" t="s">
        <v>33</v>
      </c>
      <c r="B125">
        <v>2016</v>
      </c>
      <c r="C125" t="s">
        <v>37</v>
      </c>
      <c r="D125">
        <v>126.8</v>
      </c>
      <c r="E125">
        <v>139.1</v>
      </c>
      <c r="F125">
        <v>125.4</v>
      </c>
      <c r="G125">
        <v>131.69999999999999</v>
      </c>
      <c r="H125">
        <v>115</v>
      </c>
      <c r="I125">
        <v>136</v>
      </c>
      <c r="J125">
        <v>145.1</v>
      </c>
      <c r="K125">
        <v>171.7</v>
      </c>
      <c r="L125">
        <v>108.7</v>
      </c>
      <c r="M125">
        <v>135.30000000000001</v>
      </c>
      <c r="N125">
        <v>124.2</v>
      </c>
      <c r="O125">
        <v>137.4</v>
      </c>
      <c r="P125">
        <v>134</v>
      </c>
      <c r="Q125">
        <v>137.69999999999999</v>
      </c>
      <c r="R125">
        <v>132.19999999999999</v>
      </c>
      <c r="S125">
        <v>126.8</v>
      </c>
      <c r="T125">
        <v>131.4</v>
      </c>
      <c r="U125">
        <v>126</v>
      </c>
      <c r="V125">
        <v>122.7</v>
      </c>
      <c r="W125">
        <v>126</v>
      </c>
      <c r="X125">
        <v>123.7</v>
      </c>
      <c r="Y125">
        <v>112.8</v>
      </c>
      <c r="Z125">
        <v>121.5</v>
      </c>
      <c r="AA125">
        <v>128.5</v>
      </c>
      <c r="AB125">
        <v>119.2</v>
      </c>
      <c r="AC125">
        <v>120.7</v>
      </c>
      <c r="AD125">
        <v>128.6</v>
      </c>
      <c r="AE125">
        <f t="shared" si="5"/>
        <v>1730.4</v>
      </c>
      <c r="AF125">
        <f t="shared" si="6"/>
        <v>122.7</v>
      </c>
      <c r="AG125">
        <f t="shared" si="7"/>
        <v>112.8</v>
      </c>
      <c r="AH125">
        <f t="shared" si="8"/>
        <v>128.5</v>
      </c>
      <c r="AI125">
        <f t="shared" si="9"/>
        <v>1265.2000000000003</v>
      </c>
    </row>
    <row r="126" spans="1:35" x14ac:dyDescent="0.3">
      <c r="A126" t="s">
        <v>30</v>
      </c>
      <c r="B126">
        <v>2016</v>
      </c>
      <c r="C126" t="s">
        <v>38</v>
      </c>
      <c r="D126">
        <v>128.6</v>
      </c>
      <c r="E126">
        <v>138.6</v>
      </c>
      <c r="F126">
        <v>126.6</v>
      </c>
      <c r="G126">
        <v>133.6</v>
      </c>
      <c r="H126">
        <v>118.6</v>
      </c>
      <c r="I126">
        <v>137.4</v>
      </c>
      <c r="J126">
        <v>152.5</v>
      </c>
      <c r="K126">
        <v>169.2</v>
      </c>
      <c r="L126">
        <v>108.8</v>
      </c>
      <c r="M126">
        <v>133.1</v>
      </c>
      <c r="N126">
        <v>126.4</v>
      </c>
      <c r="O126">
        <v>139.19999999999999</v>
      </c>
      <c r="P126">
        <v>136</v>
      </c>
      <c r="Q126">
        <v>137.19999999999999</v>
      </c>
      <c r="R126">
        <v>136.30000000000001</v>
      </c>
      <c r="S126">
        <v>131.6</v>
      </c>
      <c r="T126">
        <v>135.6</v>
      </c>
      <c r="U126">
        <v>125.5</v>
      </c>
      <c r="V126">
        <v>128</v>
      </c>
      <c r="W126">
        <v>129.30000000000001</v>
      </c>
      <c r="X126">
        <v>126.2</v>
      </c>
      <c r="Y126">
        <v>116.3</v>
      </c>
      <c r="Z126">
        <v>124.1</v>
      </c>
      <c r="AA126">
        <v>130.19999999999999</v>
      </c>
      <c r="AB126">
        <v>119.9</v>
      </c>
      <c r="AC126">
        <v>123.3</v>
      </c>
      <c r="AD126">
        <v>131.9</v>
      </c>
      <c r="AE126">
        <f t="shared" si="5"/>
        <v>1748.6</v>
      </c>
      <c r="AF126">
        <f t="shared" si="6"/>
        <v>128</v>
      </c>
      <c r="AG126">
        <f t="shared" si="7"/>
        <v>116.3</v>
      </c>
      <c r="AH126">
        <f t="shared" si="8"/>
        <v>130.19999999999999</v>
      </c>
      <c r="AI126">
        <f t="shared" si="9"/>
        <v>1289</v>
      </c>
    </row>
    <row r="127" spans="1:35" x14ac:dyDescent="0.3">
      <c r="A127" t="s">
        <v>32</v>
      </c>
      <c r="B127">
        <v>2016</v>
      </c>
      <c r="C127" t="s">
        <v>38</v>
      </c>
      <c r="D127">
        <v>125.9</v>
      </c>
      <c r="E127">
        <v>143.9</v>
      </c>
      <c r="F127">
        <v>130.9</v>
      </c>
      <c r="G127">
        <v>131</v>
      </c>
      <c r="H127">
        <v>110.2</v>
      </c>
      <c r="I127">
        <v>135.5</v>
      </c>
      <c r="J127">
        <v>173.7</v>
      </c>
      <c r="K127">
        <v>184.4</v>
      </c>
      <c r="L127">
        <v>112</v>
      </c>
      <c r="M127">
        <v>142.80000000000001</v>
      </c>
      <c r="N127">
        <v>121.6</v>
      </c>
      <c r="O127">
        <v>136.9</v>
      </c>
      <c r="P127">
        <v>138.19999999999999</v>
      </c>
      <c r="Q127">
        <v>142.69999999999999</v>
      </c>
      <c r="R127">
        <v>127.6</v>
      </c>
      <c r="S127">
        <v>121.1</v>
      </c>
      <c r="T127">
        <v>126.6</v>
      </c>
      <c r="U127">
        <v>125.5</v>
      </c>
      <c r="V127">
        <v>115.5</v>
      </c>
      <c r="W127">
        <v>123.2</v>
      </c>
      <c r="X127">
        <v>120.6</v>
      </c>
      <c r="Y127">
        <v>112.3</v>
      </c>
      <c r="Z127">
        <v>119.9</v>
      </c>
      <c r="AA127">
        <v>129.30000000000001</v>
      </c>
      <c r="AB127">
        <v>118.8</v>
      </c>
      <c r="AC127">
        <v>119.6</v>
      </c>
      <c r="AD127">
        <v>128.1</v>
      </c>
      <c r="AE127">
        <f t="shared" si="5"/>
        <v>1787.0000000000002</v>
      </c>
      <c r="AF127">
        <f t="shared" si="6"/>
        <v>115.5</v>
      </c>
      <c r="AG127">
        <f t="shared" si="7"/>
        <v>112.3</v>
      </c>
      <c r="AH127">
        <f t="shared" si="8"/>
        <v>129.30000000000001</v>
      </c>
      <c r="AI127">
        <f t="shared" si="9"/>
        <v>1245.5999999999999</v>
      </c>
    </row>
    <row r="128" spans="1:35" x14ac:dyDescent="0.3">
      <c r="A128" t="s">
        <v>33</v>
      </c>
      <c r="B128">
        <v>2016</v>
      </c>
      <c r="C128" t="s">
        <v>38</v>
      </c>
      <c r="D128">
        <v>127.7</v>
      </c>
      <c r="E128">
        <v>140.5</v>
      </c>
      <c r="F128">
        <v>128.30000000000001</v>
      </c>
      <c r="G128">
        <v>132.6</v>
      </c>
      <c r="H128">
        <v>115.5</v>
      </c>
      <c r="I128">
        <v>136.5</v>
      </c>
      <c r="J128">
        <v>159.69999999999999</v>
      </c>
      <c r="K128">
        <v>174.3</v>
      </c>
      <c r="L128">
        <v>109.9</v>
      </c>
      <c r="M128">
        <v>136.30000000000001</v>
      </c>
      <c r="N128">
        <v>124.4</v>
      </c>
      <c r="O128">
        <v>138.1</v>
      </c>
      <c r="P128">
        <v>136.80000000000001</v>
      </c>
      <c r="Q128">
        <v>138.69999999999999</v>
      </c>
      <c r="R128">
        <v>132.9</v>
      </c>
      <c r="S128">
        <v>127.2</v>
      </c>
      <c r="T128">
        <v>132</v>
      </c>
      <c r="U128">
        <v>125.5</v>
      </c>
      <c r="V128">
        <v>123.3</v>
      </c>
      <c r="W128">
        <v>126.4</v>
      </c>
      <c r="X128">
        <v>124.1</v>
      </c>
      <c r="Y128">
        <v>114.2</v>
      </c>
      <c r="Z128">
        <v>121.7</v>
      </c>
      <c r="AA128">
        <v>129.69999999999999</v>
      </c>
      <c r="AB128">
        <v>119.4</v>
      </c>
      <c r="AC128">
        <v>121.5</v>
      </c>
      <c r="AD128">
        <v>130.1</v>
      </c>
      <c r="AE128">
        <f t="shared" si="5"/>
        <v>1760.6</v>
      </c>
      <c r="AF128">
        <f t="shared" si="6"/>
        <v>123.3</v>
      </c>
      <c r="AG128">
        <f t="shared" si="7"/>
        <v>114.2</v>
      </c>
      <c r="AH128">
        <f t="shared" si="8"/>
        <v>129.69999999999999</v>
      </c>
      <c r="AI128">
        <f t="shared" si="9"/>
        <v>1269.4000000000001</v>
      </c>
    </row>
    <row r="129" spans="1:35" x14ac:dyDescent="0.3">
      <c r="A129" t="s">
        <v>30</v>
      </c>
      <c r="B129">
        <v>2016</v>
      </c>
      <c r="C129" t="s">
        <v>39</v>
      </c>
      <c r="D129">
        <v>129.30000000000001</v>
      </c>
      <c r="E129">
        <v>139.5</v>
      </c>
      <c r="F129">
        <v>129.6</v>
      </c>
      <c r="G129">
        <v>134.5</v>
      </c>
      <c r="H129">
        <v>119.5</v>
      </c>
      <c r="I129">
        <v>138.5</v>
      </c>
      <c r="J129">
        <v>158.19999999999999</v>
      </c>
      <c r="K129">
        <v>171.8</v>
      </c>
      <c r="L129">
        <v>110.3</v>
      </c>
      <c r="M129">
        <v>134.30000000000001</v>
      </c>
      <c r="N129">
        <v>127.3</v>
      </c>
      <c r="O129">
        <v>139.9</v>
      </c>
      <c r="P129">
        <v>137.6</v>
      </c>
      <c r="Q129">
        <v>138</v>
      </c>
      <c r="R129">
        <v>137.19999999999999</v>
      </c>
      <c r="S129">
        <v>132.19999999999999</v>
      </c>
      <c r="T129">
        <v>136.5</v>
      </c>
      <c r="U129">
        <v>126.4</v>
      </c>
      <c r="V129">
        <v>128.19999999999999</v>
      </c>
      <c r="W129">
        <v>130</v>
      </c>
      <c r="X129">
        <v>126.7</v>
      </c>
      <c r="Y129">
        <v>116.4</v>
      </c>
      <c r="Z129">
        <v>125.2</v>
      </c>
      <c r="AA129">
        <v>130.80000000000001</v>
      </c>
      <c r="AB129">
        <v>120.9</v>
      </c>
      <c r="AC129">
        <v>123.8</v>
      </c>
      <c r="AD129">
        <v>133</v>
      </c>
      <c r="AE129">
        <f t="shared" si="5"/>
        <v>1770.2999999999997</v>
      </c>
      <c r="AF129">
        <f t="shared" si="6"/>
        <v>128.19999999999999</v>
      </c>
      <c r="AG129">
        <f t="shared" si="7"/>
        <v>116.4</v>
      </c>
      <c r="AH129">
        <f t="shared" si="8"/>
        <v>130.80000000000001</v>
      </c>
      <c r="AI129">
        <f t="shared" si="9"/>
        <v>1296.9000000000001</v>
      </c>
    </row>
    <row r="130" spans="1:35" x14ac:dyDescent="0.3">
      <c r="A130" t="s">
        <v>32</v>
      </c>
      <c r="B130">
        <v>2016</v>
      </c>
      <c r="C130" t="s">
        <v>39</v>
      </c>
      <c r="D130">
        <v>126.8</v>
      </c>
      <c r="E130">
        <v>144.19999999999999</v>
      </c>
      <c r="F130">
        <v>136.6</v>
      </c>
      <c r="G130">
        <v>131.80000000000001</v>
      </c>
      <c r="H130">
        <v>111</v>
      </c>
      <c r="I130">
        <v>137</v>
      </c>
      <c r="J130">
        <v>179.5</v>
      </c>
      <c r="K130">
        <v>188.4</v>
      </c>
      <c r="L130">
        <v>113.3</v>
      </c>
      <c r="M130">
        <v>143.9</v>
      </c>
      <c r="N130">
        <v>121.7</v>
      </c>
      <c r="O130">
        <v>137.5</v>
      </c>
      <c r="P130">
        <v>139.80000000000001</v>
      </c>
      <c r="Q130">
        <v>142.9</v>
      </c>
      <c r="R130">
        <v>127.9</v>
      </c>
      <c r="S130">
        <v>121.1</v>
      </c>
      <c r="T130">
        <v>126.9</v>
      </c>
      <c r="U130">
        <v>126.4</v>
      </c>
      <c r="V130">
        <v>115.5</v>
      </c>
      <c r="W130">
        <v>123.5</v>
      </c>
      <c r="X130">
        <v>120.9</v>
      </c>
      <c r="Y130">
        <v>111.7</v>
      </c>
      <c r="Z130">
        <v>120.3</v>
      </c>
      <c r="AA130">
        <v>130.80000000000001</v>
      </c>
      <c r="AB130">
        <v>120</v>
      </c>
      <c r="AC130">
        <v>119.9</v>
      </c>
      <c r="AD130">
        <v>129</v>
      </c>
      <c r="AE130">
        <f t="shared" si="5"/>
        <v>1811.5000000000002</v>
      </c>
      <c r="AF130">
        <f t="shared" si="6"/>
        <v>115.5</v>
      </c>
      <c r="AG130">
        <f t="shared" si="7"/>
        <v>111.7</v>
      </c>
      <c r="AH130">
        <f t="shared" si="8"/>
        <v>130.80000000000001</v>
      </c>
      <c r="AI130">
        <f t="shared" si="9"/>
        <v>1249.8</v>
      </c>
    </row>
    <row r="131" spans="1:35" x14ac:dyDescent="0.3">
      <c r="A131" t="s">
        <v>33</v>
      </c>
      <c r="B131">
        <v>2016</v>
      </c>
      <c r="C131" t="s">
        <v>39</v>
      </c>
      <c r="D131">
        <v>128.5</v>
      </c>
      <c r="E131">
        <v>141.19999999999999</v>
      </c>
      <c r="F131">
        <v>132.30000000000001</v>
      </c>
      <c r="G131">
        <v>133.5</v>
      </c>
      <c r="H131">
        <v>116.4</v>
      </c>
      <c r="I131">
        <v>137.80000000000001</v>
      </c>
      <c r="J131">
        <v>165.4</v>
      </c>
      <c r="K131">
        <v>177.4</v>
      </c>
      <c r="L131">
        <v>111.3</v>
      </c>
      <c r="M131">
        <v>137.5</v>
      </c>
      <c r="N131">
        <v>125</v>
      </c>
      <c r="O131">
        <v>138.80000000000001</v>
      </c>
      <c r="P131">
        <v>138.4</v>
      </c>
      <c r="Q131">
        <v>139.30000000000001</v>
      </c>
      <c r="R131">
        <v>133.5</v>
      </c>
      <c r="S131">
        <v>127.6</v>
      </c>
      <c r="T131">
        <v>132.69999999999999</v>
      </c>
      <c r="U131">
        <v>126.4</v>
      </c>
      <c r="V131">
        <v>123.4</v>
      </c>
      <c r="W131">
        <v>126.9</v>
      </c>
      <c r="X131">
        <v>124.5</v>
      </c>
      <c r="Y131">
        <v>113.9</v>
      </c>
      <c r="Z131">
        <v>122.4</v>
      </c>
      <c r="AA131">
        <v>130.80000000000001</v>
      </c>
      <c r="AB131">
        <v>120.5</v>
      </c>
      <c r="AC131">
        <v>121.9</v>
      </c>
      <c r="AD131">
        <v>131.1</v>
      </c>
      <c r="AE131">
        <f t="shared" si="5"/>
        <v>1783.5</v>
      </c>
      <c r="AF131">
        <f t="shared" si="6"/>
        <v>123.4</v>
      </c>
      <c r="AG131">
        <f t="shared" si="7"/>
        <v>113.9</v>
      </c>
      <c r="AH131">
        <f t="shared" si="8"/>
        <v>130.80000000000001</v>
      </c>
      <c r="AI131">
        <f t="shared" si="9"/>
        <v>1275.7</v>
      </c>
    </row>
    <row r="132" spans="1:35" x14ac:dyDescent="0.3">
      <c r="A132" t="s">
        <v>30</v>
      </c>
      <c r="B132">
        <v>2016</v>
      </c>
      <c r="C132" t="s">
        <v>40</v>
      </c>
      <c r="D132">
        <v>130.1</v>
      </c>
      <c r="E132">
        <v>138.80000000000001</v>
      </c>
      <c r="F132">
        <v>130.30000000000001</v>
      </c>
      <c r="G132">
        <v>135.30000000000001</v>
      </c>
      <c r="H132">
        <v>119.9</v>
      </c>
      <c r="I132">
        <v>140.19999999999999</v>
      </c>
      <c r="J132">
        <v>156.9</v>
      </c>
      <c r="K132">
        <v>172.2</v>
      </c>
      <c r="L132">
        <v>112.1</v>
      </c>
      <c r="M132">
        <v>134.9</v>
      </c>
      <c r="N132">
        <v>128.1</v>
      </c>
      <c r="O132">
        <v>140.69999999999999</v>
      </c>
      <c r="P132">
        <v>138</v>
      </c>
      <c r="Q132">
        <v>138.9</v>
      </c>
      <c r="R132">
        <v>137.80000000000001</v>
      </c>
      <c r="S132">
        <v>133</v>
      </c>
      <c r="T132">
        <v>137.1</v>
      </c>
      <c r="U132">
        <v>127.3</v>
      </c>
      <c r="V132">
        <v>129.1</v>
      </c>
      <c r="W132">
        <v>130.6</v>
      </c>
      <c r="X132">
        <v>127</v>
      </c>
      <c r="Y132">
        <v>116</v>
      </c>
      <c r="Z132">
        <v>125.5</v>
      </c>
      <c r="AA132">
        <v>131.9</v>
      </c>
      <c r="AB132">
        <v>122</v>
      </c>
      <c r="AC132">
        <v>124.2</v>
      </c>
      <c r="AD132">
        <v>133.5</v>
      </c>
      <c r="AE132">
        <f t="shared" ref="AE132:AE195" si="10">SUM(D132:P132)</f>
        <v>1777.4999999999998</v>
      </c>
      <c r="AF132">
        <f t="shared" ref="AF132:AF195" si="11">SUM(V132)</f>
        <v>129.1</v>
      </c>
      <c r="AG132">
        <f t="shared" ref="AG132:AG195" si="12">SUM(Y132)</f>
        <v>116</v>
      </c>
      <c r="AH132">
        <f t="shared" ref="AH132:AH195" si="13">SUM(AA132)</f>
        <v>131.9</v>
      </c>
      <c r="AI132">
        <f t="shared" ref="AI132:AI195" si="14">SUM(Q132:U132,W132:X132,Z132,AB132:AC132)</f>
        <v>1303.4000000000001</v>
      </c>
    </row>
    <row r="133" spans="1:35" x14ac:dyDescent="0.3">
      <c r="A133" t="s">
        <v>32</v>
      </c>
      <c r="B133">
        <v>2016</v>
      </c>
      <c r="C133" t="s">
        <v>40</v>
      </c>
      <c r="D133">
        <v>127.6</v>
      </c>
      <c r="E133">
        <v>140.30000000000001</v>
      </c>
      <c r="F133">
        <v>133.69999999999999</v>
      </c>
      <c r="G133">
        <v>132.19999999999999</v>
      </c>
      <c r="H133">
        <v>111.8</v>
      </c>
      <c r="I133">
        <v>135.80000000000001</v>
      </c>
      <c r="J133">
        <v>163.5</v>
      </c>
      <c r="K133">
        <v>182.3</v>
      </c>
      <c r="L133">
        <v>114.6</v>
      </c>
      <c r="M133">
        <v>144.6</v>
      </c>
      <c r="N133">
        <v>121.9</v>
      </c>
      <c r="O133">
        <v>138.1</v>
      </c>
      <c r="P133">
        <v>137.6</v>
      </c>
      <c r="Q133">
        <v>143.6</v>
      </c>
      <c r="R133">
        <v>128.30000000000001</v>
      </c>
      <c r="S133">
        <v>121.4</v>
      </c>
      <c r="T133">
        <v>127.3</v>
      </c>
      <c r="U133">
        <v>127.3</v>
      </c>
      <c r="V133">
        <v>114.7</v>
      </c>
      <c r="W133">
        <v>123.9</v>
      </c>
      <c r="X133">
        <v>121.2</v>
      </c>
      <c r="Y133">
        <v>110.4</v>
      </c>
      <c r="Z133">
        <v>120.6</v>
      </c>
      <c r="AA133">
        <v>131.5</v>
      </c>
      <c r="AB133">
        <v>120.9</v>
      </c>
      <c r="AC133">
        <v>119.9</v>
      </c>
      <c r="AD133">
        <v>128.4</v>
      </c>
      <c r="AE133">
        <f t="shared" si="10"/>
        <v>1783.9999999999995</v>
      </c>
      <c r="AF133">
        <f t="shared" si="11"/>
        <v>114.7</v>
      </c>
      <c r="AG133">
        <f t="shared" si="12"/>
        <v>110.4</v>
      </c>
      <c r="AH133">
        <f t="shared" si="13"/>
        <v>131.5</v>
      </c>
      <c r="AI133">
        <f t="shared" si="14"/>
        <v>1254.4000000000001</v>
      </c>
    </row>
    <row r="134" spans="1:35" x14ac:dyDescent="0.3">
      <c r="A134" t="s">
        <v>33</v>
      </c>
      <c r="B134">
        <v>2016</v>
      </c>
      <c r="C134" t="s">
        <v>40</v>
      </c>
      <c r="D134">
        <v>129.30000000000001</v>
      </c>
      <c r="E134">
        <v>139.30000000000001</v>
      </c>
      <c r="F134">
        <v>131.6</v>
      </c>
      <c r="G134">
        <v>134.1</v>
      </c>
      <c r="H134">
        <v>116.9</v>
      </c>
      <c r="I134">
        <v>138.1</v>
      </c>
      <c r="J134">
        <v>159.1</v>
      </c>
      <c r="K134">
        <v>175.6</v>
      </c>
      <c r="L134">
        <v>112.9</v>
      </c>
      <c r="M134">
        <v>138.1</v>
      </c>
      <c r="N134">
        <v>125.5</v>
      </c>
      <c r="O134">
        <v>139.5</v>
      </c>
      <c r="P134">
        <v>137.9</v>
      </c>
      <c r="Q134">
        <v>140.19999999999999</v>
      </c>
      <c r="R134">
        <v>134.1</v>
      </c>
      <c r="S134">
        <v>128.19999999999999</v>
      </c>
      <c r="T134">
        <v>133.19999999999999</v>
      </c>
      <c r="U134">
        <v>127.3</v>
      </c>
      <c r="V134">
        <v>123.6</v>
      </c>
      <c r="W134">
        <v>127.4</v>
      </c>
      <c r="X134">
        <v>124.8</v>
      </c>
      <c r="Y134">
        <v>113.1</v>
      </c>
      <c r="Z134">
        <v>122.7</v>
      </c>
      <c r="AA134">
        <v>131.69999999999999</v>
      </c>
      <c r="AB134">
        <v>121.5</v>
      </c>
      <c r="AC134">
        <v>122.1</v>
      </c>
      <c r="AD134">
        <v>131.1</v>
      </c>
      <c r="AE134">
        <f t="shared" si="10"/>
        <v>1777.9</v>
      </c>
      <c r="AF134">
        <f t="shared" si="11"/>
        <v>123.6</v>
      </c>
      <c r="AG134">
        <f t="shared" si="12"/>
        <v>113.1</v>
      </c>
      <c r="AH134">
        <f t="shared" si="13"/>
        <v>131.69999999999999</v>
      </c>
      <c r="AI134">
        <f t="shared" si="14"/>
        <v>1281.4999999999998</v>
      </c>
    </row>
    <row r="135" spans="1:35" x14ac:dyDescent="0.3">
      <c r="A135" t="s">
        <v>30</v>
      </c>
      <c r="B135">
        <v>2016</v>
      </c>
      <c r="C135" t="s">
        <v>41</v>
      </c>
      <c r="D135">
        <v>130.80000000000001</v>
      </c>
      <c r="E135">
        <v>138.19999999999999</v>
      </c>
      <c r="F135">
        <v>130.5</v>
      </c>
      <c r="G135">
        <v>135.5</v>
      </c>
      <c r="H135">
        <v>120.2</v>
      </c>
      <c r="I135">
        <v>139.19999999999999</v>
      </c>
      <c r="J135">
        <v>149.5</v>
      </c>
      <c r="K135">
        <v>170.4</v>
      </c>
      <c r="L135">
        <v>113.1</v>
      </c>
      <c r="M135">
        <v>135.80000000000001</v>
      </c>
      <c r="N135">
        <v>128.80000000000001</v>
      </c>
      <c r="O135">
        <v>141.5</v>
      </c>
      <c r="P135">
        <v>137.19999999999999</v>
      </c>
      <c r="Q135">
        <v>139.9</v>
      </c>
      <c r="R135">
        <v>138.5</v>
      </c>
      <c r="S135">
        <v>133.5</v>
      </c>
      <c r="T135">
        <v>137.80000000000001</v>
      </c>
      <c r="U135">
        <v>127.9</v>
      </c>
      <c r="V135">
        <v>129.69999999999999</v>
      </c>
      <c r="W135">
        <v>131.1</v>
      </c>
      <c r="X135">
        <v>127.8</v>
      </c>
      <c r="Y135">
        <v>117</v>
      </c>
      <c r="Z135">
        <v>125.7</v>
      </c>
      <c r="AA135">
        <v>132.19999999999999</v>
      </c>
      <c r="AB135">
        <v>122.8</v>
      </c>
      <c r="AC135">
        <v>124.9</v>
      </c>
      <c r="AD135">
        <v>133.4</v>
      </c>
      <c r="AE135">
        <f t="shared" si="10"/>
        <v>1770.7</v>
      </c>
      <c r="AF135">
        <f t="shared" si="11"/>
        <v>129.69999999999999</v>
      </c>
      <c r="AG135">
        <f t="shared" si="12"/>
        <v>117</v>
      </c>
      <c r="AH135">
        <f t="shared" si="13"/>
        <v>132.19999999999999</v>
      </c>
      <c r="AI135">
        <f t="shared" si="14"/>
        <v>1309.9000000000001</v>
      </c>
    </row>
    <row r="136" spans="1:35" x14ac:dyDescent="0.3">
      <c r="A136" t="s">
        <v>32</v>
      </c>
      <c r="B136">
        <v>2016</v>
      </c>
      <c r="C136" t="s">
        <v>41</v>
      </c>
      <c r="D136">
        <v>128.1</v>
      </c>
      <c r="E136">
        <v>137.69999999999999</v>
      </c>
      <c r="F136">
        <v>130.6</v>
      </c>
      <c r="G136">
        <v>132.6</v>
      </c>
      <c r="H136">
        <v>111.9</v>
      </c>
      <c r="I136">
        <v>132.5</v>
      </c>
      <c r="J136">
        <v>152.9</v>
      </c>
      <c r="K136">
        <v>173.6</v>
      </c>
      <c r="L136">
        <v>115.1</v>
      </c>
      <c r="M136">
        <v>144.80000000000001</v>
      </c>
      <c r="N136">
        <v>122.1</v>
      </c>
      <c r="O136">
        <v>138.80000000000001</v>
      </c>
      <c r="P136">
        <v>135.69999999999999</v>
      </c>
      <c r="Q136">
        <v>143.9</v>
      </c>
      <c r="R136">
        <v>128.69999999999999</v>
      </c>
      <c r="S136">
        <v>121.6</v>
      </c>
      <c r="T136">
        <v>127.7</v>
      </c>
      <c r="U136">
        <v>127.9</v>
      </c>
      <c r="V136">
        <v>114.8</v>
      </c>
      <c r="W136">
        <v>124.3</v>
      </c>
      <c r="X136">
        <v>121.4</v>
      </c>
      <c r="Y136">
        <v>111.8</v>
      </c>
      <c r="Z136">
        <v>120.8</v>
      </c>
      <c r="AA136">
        <v>131.6</v>
      </c>
      <c r="AB136">
        <v>121.2</v>
      </c>
      <c r="AC136">
        <v>120.5</v>
      </c>
      <c r="AD136">
        <v>128</v>
      </c>
      <c r="AE136">
        <f t="shared" si="10"/>
        <v>1756.3999999999996</v>
      </c>
      <c r="AF136">
        <f t="shared" si="11"/>
        <v>114.8</v>
      </c>
      <c r="AG136">
        <f t="shared" si="12"/>
        <v>111.8</v>
      </c>
      <c r="AH136">
        <f t="shared" si="13"/>
        <v>131.6</v>
      </c>
      <c r="AI136">
        <f t="shared" si="14"/>
        <v>1258</v>
      </c>
    </row>
    <row r="137" spans="1:35" x14ac:dyDescent="0.3">
      <c r="A137" t="s">
        <v>33</v>
      </c>
      <c r="B137">
        <v>2016</v>
      </c>
      <c r="C137" t="s">
        <v>41</v>
      </c>
      <c r="D137">
        <v>129.9</v>
      </c>
      <c r="E137">
        <v>138</v>
      </c>
      <c r="F137">
        <v>130.5</v>
      </c>
      <c r="G137">
        <v>134.4</v>
      </c>
      <c r="H137">
        <v>117.2</v>
      </c>
      <c r="I137">
        <v>136.1</v>
      </c>
      <c r="J137">
        <v>150.69999999999999</v>
      </c>
      <c r="K137">
        <v>171.5</v>
      </c>
      <c r="L137">
        <v>113.8</v>
      </c>
      <c r="M137">
        <v>138.80000000000001</v>
      </c>
      <c r="N137">
        <v>126</v>
      </c>
      <c r="O137">
        <v>140.19999999999999</v>
      </c>
      <c r="P137">
        <v>136.6</v>
      </c>
      <c r="Q137">
        <v>141</v>
      </c>
      <c r="R137">
        <v>134.6</v>
      </c>
      <c r="S137">
        <v>128.6</v>
      </c>
      <c r="T137">
        <v>133.80000000000001</v>
      </c>
      <c r="U137">
        <v>127.9</v>
      </c>
      <c r="V137">
        <v>124.1</v>
      </c>
      <c r="W137">
        <v>127.9</v>
      </c>
      <c r="X137">
        <v>125.4</v>
      </c>
      <c r="Y137">
        <v>114.3</v>
      </c>
      <c r="Z137">
        <v>122.9</v>
      </c>
      <c r="AA137">
        <v>131.80000000000001</v>
      </c>
      <c r="AB137">
        <v>122.1</v>
      </c>
      <c r="AC137">
        <v>122.8</v>
      </c>
      <c r="AD137">
        <v>130.9</v>
      </c>
      <c r="AE137">
        <f t="shared" si="10"/>
        <v>1763.6999999999998</v>
      </c>
      <c r="AF137">
        <f t="shared" si="11"/>
        <v>124.1</v>
      </c>
      <c r="AG137">
        <f t="shared" si="12"/>
        <v>114.3</v>
      </c>
      <c r="AH137">
        <f t="shared" si="13"/>
        <v>131.80000000000001</v>
      </c>
      <c r="AI137">
        <f t="shared" si="14"/>
        <v>1286.9999999999998</v>
      </c>
    </row>
    <row r="138" spans="1:35" x14ac:dyDescent="0.3">
      <c r="A138" t="s">
        <v>30</v>
      </c>
      <c r="B138">
        <v>2016</v>
      </c>
      <c r="C138" t="s">
        <v>42</v>
      </c>
      <c r="D138">
        <v>131.30000000000001</v>
      </c>
      <c r="E138">
        <v>137.6</v>
      </c>
      <c r="F138">
        <v>130.1</v>
      </c>
      <c r="G138">
        <v>136</v>
      </c>
      <c r="H138">
        <v>120.8</v>
      </c>
      <c r="I138">
        <v>138.4</v>
      </c>
      <c r="J138">
        <v>149.19999999999999</v>
      </c>
      <c r="K138">
        <v>170.2</v>
      </c>
      <c r="L138">
        <v>113.4</v>
      </c>
      <c r="M138">
        <v>136.30000000000001</v>
      </c>
      <c r="N138">
        <v>128.69999999999999</v>
      </c>
      <c r="O138">
        <v>142.4</v>
      </c>
      <c r="P138">
        <v>137.4</v>
      </c>
      <c r="Q138">
        <v>140.9</v>
      </c>
      <c r="R138">
        <v>139.6</v>
      </c>
      <c r="S138">
        <v>134.30000000000001</v>
      </c>
      <c r="T138">
        <v>138.80000000000001</v>
      </c>
      <c r="U138">
        <v>128.69999999999999</v>
      </c>
      <c r="V138">
        <v>129.80000000000001</v>
      </c>
      <c r="W138">
        <v>131.80000000000001</v>
      </c>
      <c r="X138">
        <v>128.69999999999999</v>
      </c>
      <c r="Y138">
        <v>117.8</v>
      </c>
      <c r="Z138">
        <v>126.5</v>
      </c>
      <c r="AA138">
        <v>133</v>
      </c>
      <c r="AB138">
        <v>123</v>
      </c>
      <c r="AC138">
        <v>125.7</v>
      </c>
      <c r="AD138">
        <v>133.80000000000001</v>
      </c>
      <c r="AE138">
        <f t="shared" si="10"/>
        <v>1771.8000000000002</v>
      </c>
      <c r="AF138">
        <f t="shared" si="11"/>
        <v>129.80000000000001</v>
      </c>
      <c r="AG138">
        <f t="shared" si="12"/>
        <v>117.8</v>
      </c>
      <c r="AH138">
        <f t="shared" si="13"/>
        <v>133</v>
      </c>
      <c r="AI138">
        <f t="shared" si="14"/>
        <v>1318</v>
      </c>
    </row>
    <row r="139" spans="1:35" x14ac:dyDescent="0.3">
      <c r="A139" t="s">
        <v>32</v>
      </c>
      <c r="B139">
        <v>2016</v>
      </c>
      <c r="C139" t="s">
        <v>42</v>
      </c>
      <c r="D139">
        <v>128.69999999999999</v>
      </c>
      <c r="E139">
        <v>138.4</v>
      </c>
      <c r="F139">
        <v>130.30000000000001</v>
      </c>
      <c r="G139">
        <v>132.69999999999999</v>
      </c>
      <c r="H139">
        <v>112.5</v>
      </c>
      <c r="I139">
        <v>130.4</v>
      </c>
      <c r="J139">
        <v>155.1</v>
      </c>
      <c r="K139">
        <v>175.7</v>
      </c>
      <c r="L139">
        <v>115.4</v>
      </c>
      <c r="M139">
        <v>145.30000000000001</v>
      </c>
      <c r="N139">
        <v>122.5</v>
      </c>
      <c r="O139">
        <v>139.6</v>
      </c>
      <c r="P139">
        <v>136.30000000000001</v>
      </c>
      <c r="Q139">
        <v>144.30000000000001</v>
      </c>
      <c r="R139">
        <v>129.1</v>
      </c>
      <c r="S139">
        <v>121.9</v>
      </c>
      <c r="T139">
        <v>128</v>
      </c>
      <c r="U139">
        <v>128.69999999999999</v>
      </c>
      <c r="V139">
        <v>115.2</v>
      </c>
      <c r="W139">
        <v>124.5</v>
      </c>
      <c r="X139">
        <v>121.8</v>
      </c>
      <c r="Y139">
        <v>112.8</v>
      </c>
      <c r="Z139">
        <v>121.2</v>
      </c>
      <c r="AA139">
        <v>131.9</v>
      </c>
      <c r="AB139">
        <v>120.8</v>
      </c>
      <c r="AC139">
        <v>120.9</v>
      </c>
      <c r="AD139">
        <v>128.6</v>
      </c>
      <c r="AE139">
        <f t="shared" si="10"/>
        <v>1762.8999999999999</v>
      </c>
      <c r="AF139">
        <f t="shared" si="11"/>
        <v>115.2</v>
      </c>
      <c r="AG139">
        <f t="shared" si="12"/>
        <v>112.8</v>
      </c>
      <c r="AH139">
        <f t="shared" si="13"/>
        <v>131.9</v>
      </c>
      <c r="AI139">
        <f t="shared" si="14"/>
        <v>1261.2</v>
      </c>
    </row>
    <row r="140" spans="1:35" x14ac:dyDescent="0.3">
      <c r="A140" t="s">
        <v>33</v>
      </c>
      <c r="B140">
        <v>2016</v>
      </c>
      <c r="C140" t="s">
        <v>42</v>
      </c>
      <c r="D140">
        <v>130.5</v>
      </c>
      <c r="E140">
        <v>137.9</v>
      </c>
      <c r="F140">
        <v>130.19999999999999</v>
      </c>
      <c r="G140">
        <v>134.80000000000001</v>
      </c>
      <c r="H140">
        <v>117.8</v>
      </c>
      <c r="I140">
        <v>134.69999999999999</v>
      </c>
      <c r="J140">
        <v>151.19999999999999</v>
      </c>
      <c r="K140">
        <v>172.1</v>
      </c>
      <c r="L140">
        <v>114.1</v>
      </c>
      <c r="M140">
        <v>139.30000000000001</v>
      </c>
      <c r="N140">
        <v>126.1</v>
      </c>
      <c r="O140">
        <v>141.1</v>
      </c>
      <c r="P140">
        <v>137</v>
      </c>
      <c r="Q140">
        <v>141.80000000000001</v>
      </c>
      <c r="R140">
        <v>135.5</v>
      </c>
      <c r="S140">
        <v>129.1</v>
      </c>
      <c r="T140">
        <v>134.5</v>
      </c>
      <c r="U140">
        <v>128.69999999999999</v>
      </c>
      <c r="V140">
        <v>124.3</v>
      </c>
      <c r="W140">
        <v>128.4</v>
      </c>
      <c r="X140">
        <v>126.1</v>
      </c>
      <c r="Y140">
        <v>115.2</v>
      </c>
      <c r="Z140">
        <v>123.5</v>
      </c>
      <c r="AA140">
        <v>132.4</v>
      </c>
      <c r="AB140">
        <v>122.1</v>
      </c>
      <c r="AC140">
        <v>123.4</v>
      </c>
      <c r="AD140">
        <v>131.4</v>
      </c>
      <c r="AE140">
        <f t="shared" si="10"/>
        <v>1766.7999999999995</v>
      </c>
      <c r="AF140">
        <f t="shared" si="11"/>
        <v>124.3</v>
      </c>
      <c r="AG140">
        <f t="shared" si="12"/>
        <v>115.2</v>
      </c>
      <c r="AH140">
        <f t="shared" si="13"/>
        <v>132.4</v>
      </c>
      <c r="AI140">
        <f t="shared" si="14"/>
        <v>1293.0999999999999</v>
      </c>
    </row>
    <row r="141" spans="1:35" x14ac:dyDescent="0.3">
      <c r="A141" t="s">
        <v>30</v>
      </c>
      <c r="B141">
        <v>2016</v>
      </c>
      <c r="C141" t="s">
        <v>44</v>
      </c>
      <c r="D141">
        <v>132</v>
      </c>
      <c r="E141">
        <v>137.4</v>
      </c>
      <c r="F141">
        <v>130.6</v>
      </c>
      <c r="G141">
        <v>136.19999999999999</v>
      </c>
      <c r="H141">
        <v>121.1</v>
      </c>
      <c r="I141">
        <v>136.9</v>
      </c>
      <c r="J141">
        <v>141.80000000000001</v>
      </c>
      <c r="K141">
        <v>170</v>
      </c>
      <c r="L141">
        <v>113.4</v>
      </c>
      <c r="M141">
        <v>136.80000000000001</v>
      </c>
      <c r="N141">
        <v>128.69999999999999</v>
      </c>
      <c r="O141">
        <v>143.1</v>
      </c>
      <c r="P141">
        <v>136.6</v>
      </c>
      <c r="Q141">
        <v>141.19999999999999</v>
      </c>
      <c r="R141">
        <v>139.9</v>
      </c>
      <c r="S141">
        <v>134.5</v>
      </c>
      <c r="T141">
        <v>139.19999999999999</v>
      </c>
      <c r="U141">
        <v>129.1</v>
      </c>
      <c r="V141">
        <v>130.30000000000001</v>
      </c>
      <c r="W141">
        <v>132.1</v>
      </c>
      <c r="X141">
        <v>129.1</v>
      </c>
      <c r="Y141">
        <v>118.2</v>
      </c>
      <c r="Z141">
        <v>126.9</v>
      </c>
      <c r="AA141">
        <v>133.69999999999999</v>
      </c>
      <c r="AB141">
        <v>123.5</v>
      </c>
      <c r="AC141">
        <v>126.1</v>
      </c>
      <c r="AD141">
        <v>133.6</v>
      </c>
      <c r="AE141">
        <f t="shared" si="10"/>
        <v>1764.6</v>
      </c>
      <c r="AF141">
        <f t="shared" si="11"/>
        <v>130.30000000000001</v>
      </c>
      <c r="AG141">
        <f t="shared" si="12"/>
        <v>118.2</v>
      </c>
      <c r="AH141">
        <f t="shared" si="13"/>
        <v>133.69999999999999</v>
      </c>
      <c r="AI141">
        <f t="shared" si="14"/>
        <v>1321.6</v>
      </c>
    </row>
    <row r="142" spans="1:35" x14ac:dyDescent="0.3">
      <c r="A142" t="s">
        <v>32</v>
      </c>
      <c r="B142">
        <v>2016</v>
      </c>
      <c r="C142" t="s">
        <v>44</v>
      </c>
      <c r="D142">
        <v>130.19999999999999</v>
      </c>
      <c r="E142">
        <v>138.5</v>
      </c>
      <c r="F142">
        <v>134.1</v>
      </c>
      <c r="G142">
        <v>132.9</v>
      </c>
      <c r="H142">
        <v>112.6</v>
      </c>
      <c r="I142">
        <v>130.80000000000001</v>
      </c>
      <c r="J142">
        <v>142</v>
      </c>
      <c r="K142">
        <v>174.9</v>
      </c>
      <c r="L142">
        <v>115.6</v>
      </c>
      <c r="M142">
        <v>145.4</v>
      </c>
      <c r="N142">
        <v>122.7</v>
      </c>
      <c r="O142">
        <v>140.30000000000001</v>
      </c>
      <c r="P142">
        <v>135.19999999999999</v>
      </c>
      <c r="Q142">
        <v>144.30000000000001</v>
      </c>
      <c r="R142">
        <v>129.6</v>
      </c>
      <c r="S142">
        <v>122.1</v>
      </c>
      <c r="T142">
        <v>128.5</v>
      </c>
      <c r="U142">
        <v>129.1</v>
      </c>
      <c r="V142">
        <v>116.2</v>
      </c>
      <c r="W142">
        <v>124.7</v>
      </c>
      <c r="X142">
        <v>122.1</v>
      </c>
      <c r="Y142">
        <v>113.4</v>
      </c>
      <c r="Z142">
        <v>121.7</v>
      </c>
      <c r="AA142">
        <v>132.1</v>
      </c>
      <c r="AB142">
        <v>121.3</v>
      </c>
      <c r="AC142">
        <v>121.3</v>
      </c>
      <c r="AD142">
        <v>128.5</v>
      </c>
      <c r="AE142">
        <f t="shared" si="10"/>
        <v>1755.2</v>
      </c>
      <c r="AF142">
        <f t="shared" si="11"/>
        <v>116.2</v>
      </c>
      <c r="AG142">
        <f t="shared" si="12"/>
        <v>113.4</v>
      </c>
      <c r="AH142">
        <f t="shared" si="13"/>
        <v>132.1</v>
      </c>
      <c r="AI142">
        <f t="shared" si="14"/>
        <v>1264.7</v>
      </c>
    </row>
    <row r="143" spans="1:35" x14ac:dyDescent="0.3">
      <c r="A143" t="s">
        <v>33</v>
      </c>
      <c r="B143">
        <v>2016</v>
      </c>
      <c r="C143" t="s">
        <v>44</v>
      </c>
      <c r="D143">
        <v>131.4</v>
      </c>
      <c r="E143">
        <v>137.80000000000001</v>
      </c>
      <c r="F143">
        <v>132</v>
      </c>
      <c r="G143">
        <v>135</v>
      </c>
      <c r="H143">
        <v>118</v>
      </c>
      <c r="I143">
        <v>134.1</v>
      </c>
      <c r="J143">
        <v>141.9</v>
      </c>
      <c r="K143">
        <v>171.7</v>
      </c>
      <c r="L143">
        <v>114.1</v>
      </c>
      <c r="M143">
        <v>139.69999999999999</v>
      </c>
      <c r="N143">
        <v>126.2</v>
      </c>
      <c r="O143">
        <v>141.80000000000001</v>
      </c>
      <c r="P143">
        <v>136.1</v>
      </c>
      <c r="Q143">
        <v>142</v>
      </c>
      <c r="R143">
        <v>135.80000000000001</v>
      </c>
      <c r="S143">
        <v>129.30000000000001</v>
      </c>
      <c r="T143">
        <v>135</v>
      </c>
      <c r="U143">
        <v>129.1</v>
      </c>
      <c r="V143">
        <v>125</v>
      </c>
      <c r="W143">
        <v>128.6</v>
      </c>
      <c r="X143">
        <v>126.4</v>
      </c>
      <c r="Y143">
        <v>115.7</v>
      </c>
      <c r="Z143">
        <v>124</v>
      </c>
      <c r="AA143">
        <v>132.80000000000001</v>
      </c>
      <c r="AB143">
        <v>122.6</v>
      </c>
      <c r="AC143">
        <v>123.8</v>
      </c>
      <c r="AD143">
        <v>131.19999999999999</v>
      </c>
      <c r="AE143">
        <f t="shared" si="10"/>
        <v>1759.8</v>
      </c>
      <c r="AF143">
        <f t="shared" si="11"/>
        <v>125</v>
      </c>
      <c r="AG143">
        <f t="shared" si="12"/>
        <v>115.7</v>
      </c>
      <c r="AH143">
        <f t="shared" si="13"/>
        <v>132.80000000000001</v>
      </c>
      <c r="AI143">
        <f t="shared" si="14"/>
        <v>1296.5999999999999</v>
      </c>
    </row>
    <row r="144" spans="1:35" x14ac:dyDescent="0.3">
      <c r="A144" t="s">
        <v>30</v>
      </c>
      <c r="B144">
        <v>2016</v>
      </c>
      <c r="C144" t="s">
        <v>45</v>
      </c>
      <c r="D144">
        <v>132.6</v>
      </c>
      <c r="E144">
        <v>137.30000000000001</v>
      </c>
      <c r="F144">
        <v>131.6</v>
      </c>
      <c r="G144">
        <v>136.30000000000001</v>
      </c>
      <c r="H144">
        <v>121.6</v>
      </c>
      <c r="I144">
        <v>135.6</v>
      </c>
      <c r="J144">
        <v>127.5</v>
      </c>
      <c r="K144">
        <v>167.9</v>
      </c>
      <c r="L144">
        <v>113.8</v>
      </c>
      <c r="M144">
        <v>137.5</v>
      </c>
      <c r="N144">
        <v>129.1</v>
      </c>
      <c r="O144">
        <v>143.6</v>
      </c>
      <c r="P144">
        <v>134.69999999999999</v>
      </c>
      <c r="Q144">
        <v>142.4</v>
      </c>
      <c r="R144">
        <v>140.4</v>
      </c>
      <c r="S144">
        <v>135.19999999999999</v>
      </c>
      <c r="T144">
        <v>139.69999999999999</v>
      </c>
      <c r="U144">
        <v>128.5</v>
      </c>
      <c r="V144">
        <v>132</v>
      </c>
      <c r="W144">
        <v>132.9</v>
      </c>
      <c r="X144">
        <v>129.69999999999999</v>
      </c>
      <c r="Y144">
        <v>118.6</v>
      </c>
      <c r="Z144">
        <v>127.3</v>
      </c>
      <c r="AA144">
        <v>134.19999999999999</v>
      </c>
      <c r="AB144">
        <v>121.9</v>
      </c>
      <c r="AC144">
        <v>126.3</v>
      </c>
      <c r="AD144">
        <v>132.80000000000001</v>
      </c>
      <c r="AE144">
        <f t="shared" si="10"/>
        <v>1749.1</v>
      </c>
      <c r="AF144">
        <f t="shared" si="11"/>
        <v>132</v>
      </c>
      <c r="AG144">
        <f t="shared" si="12"/>
        <v>118.6</v>
      </c>
      <c r="AH144">
        <f t="shared" si="13"/>
        <v>134.19999999999999</v>
      </c>
      <c r="AI144">
        <f t="shared" si="14"/>
        <v>1324.3</v>
      </c>
    </row>
    <row r="145" spans="1:35" x14ac:dyDescent="0.3">
      <c r="A145" t="s">
        <v>32</v>
      </c>
      <c r="B145">
        <v>2016</v>
      </c>
      <c r="C145" t="s">
        <v>45</v>
      </c>
      <c r="D145">
        <v>131.6</v>
      </c>
      <c r="E145">
        <v>138.19999999999999</v>
      </c>
      <c r="F145">
        <v>134.9</v>
      </c>
      <c r="G145">
        <v>133.1</v>
      </c>
      <c r="H145">
        <v>113.5</v>
      </c>
      <c r="I145">
        <v>129.30000000000001</v>
      </c>
      <c r="J145">
        <v>121.1</v>
      </c>
      <c r="K145">
        <v>170.3</v>
      </c>
      <c r="L145">
        <v>115.5</v>
      </c>
      <c r="M145">
        <v>145.5</v>
      </c>
      <c r="N145">
        <v>123.1</v>
      </c>
      <c r="O145">
        <v>140.9</v>
      </c>
      <c r="P145">
        <v>132.80000000000001</v>
      </c>
      <c r="Q145">
        <v>145</v>
      </c>
      <c r="R145">
        <v>130</v>
      </c>
      <c r="S145">
        <v>122.2</v>
      </c>
      <c r="T145">
        <v>128.80000000000001</v>
      </c>
      <c r="U145">
        <v>128.5</v>
      </c>
      <c r="V145">
        <v>117.8</v>
      </c>
      <c r="W145">
        <v>125</v>
      </c>
      <c r="X145">
        <v>122.3</v>
      </c>
      <c r="Y145">
        <v>113.7</v>
      </c>
      <c r="Z145">
        <v>121.8</v>
      </c>
      <c r="AA145">
        <v>132.30000000000001</v>
      </c>
      <c r="AB145">
        <v>119.9</v>
      </c>
      <c r="AC145">
        <v>121.4</v>
      </c>
      <c r="AD145">
        <v>127.6</v>
      </c>
      <c r="AE145">
        <f t="shared" si="10"/>
        <v>1729.8</v>
      </c>
      <c r="AF145">
        <f t="shared" si="11"/>
        <v>117.8</v>
      </c>
      <c r="AG145">
        <f t="shared" si="12"/>
        <v>113.7</v>
      </c>
      <c r="AH145">
        <f t="shared" si="13"/>
        <v>132.30000000000001</v>
      </c>
      <c r="AI145">
        <f t="shared" si="14"/>
        <v>1264.9000000000001</v>
      </c>
    </row>
    <row r="146" spans="1:35" x14ac:dyDescent="0.3">
      <c r="A146" t="s">
        <v>33</v>
      </c>
      <c r="B146">
        <v>2016</v>
      </c>
      <c r="C146" t="s">
        <v>45</v>
      </c>
      <c r="D146">
        <v>132.30000000000001</v>
      </c>
      <c r="E146">
        <v>137.6</v>
      </c>
      <c r="F146">
        <v>132.9</v>
      </c>
      <c r="G146">
        <v>135.1</v>
      </c>
      <c r="H146">
        <v>118.6</v>
      </c>
      <c r="I146">
        <v>132.69999999999999</v>
      </c>
      <c r="J146">
        <v>125.3</v>
      </c>
      <c r="K146">
        <v>168.7</v>
      </c>
      <c r="L146">
        <v>114.4</v>
      </c>
      <c r="M146">
        <v>140.19999999999999</v>
      </c>
      <c r="N146">
        <v>126.6</v>
      </c>
      <c r="O146">
        <v>142.30000000000001</v>
      </c>
      <c r="P146">
        <v>134</v>
      </c>
      <c r="Q146">
        <v>143.1</v>
      </c>
      <c r="R146">
        <v>136.30000000000001</v>
      </c>
      <c r="S146">
        <v>129.80000000000001</v>
      </c>
      <c r="T146">
        <v>135.4</v>
      </c>
      <c r="U146">
        <v>128.5</v>
      </c>
      <c r="V146">
        <v>126.6</v>
      </c>
      <c r="W146">
        <v>129.19999999999999</v>
      </c>
      <c r="X146">
        <v>126.9</v>
      </c>
      <c r="Y146">
        <v>116</v>
      </c>
      <c r="Z146">
        <v>124.2</v>
      </c>
      <c r="AA146">
        <v>133.1</v>
      </c>
      <c r="AB146">
        <v>121.1</v>
      </c>
      <c r="AC146">
        <v>123.9</v>
      </c>
      <c r="AD146">
        <v>130.4</v>
      </c>
      <c r="AE146">
        <f t="shared" si="10"/>
        <v>1740.7</v>
      </c>
      <c r="AF146">
        <f t="shared" si="11"/>
        <v>126.6</v>
      </c>
      <c r="AG146">
        <f t="shared" si="12"/>
        <v>116</v>
      </c>
      <c r="AH146">
        <f t="shared" si="13"/>
        <v>133.1</v>
      </c>
      <c r="AI146">
        <f t="shared" si="14"/>
        <v>1298.3999999999999</v>
      </c>
    </row>
    <row r="147" spans="1:35" x14ac:dyDescent="0.3">
      <c r="A147" t="s">
        <v>30</v>
      </c>
      <c r="B147">
        <v>2017</v>
      </c>
      <c r="C147" t="s">
        <v>31</v>
      </c>
      <c r="D147">
        <v>133.1</v>
      </c>
      <c r="E147">
        <v>137.80000000000001</v>
      </c>
      <c r="F147">
        <v>131.9</v>
      </c>
      <c r="G147">
        <v>136.69999999999999</v>
      </c>
      <c r="H147">
        <v>122</v>
      </c>
      <c r="I147">
        <v>136</v>
      </c>
      <c r="J147">
        <v>119.8</v>
      </c>
      <c r="K147">
        <v>161.69999999999999</v>
      </c>
      <c r="L147">
        <v>114.8</v>
      </c>
      <c r="M147">
        <v>136.9</v>
      </c>
      <c r="N147">
        <v>129</v>
      </c>
      <c r="O147">
        <v>143.9</v>
      </c>
      <c r="P147">
        <v>133.69999999999999</v>
      </c>
      <c r="Q147">
        <v>143.1</v>
      </c>
      <c r="R147">
        <v>140.69999999999999</v>
      </c>
      <c r="S147">
        <v>135.80000000000001</v>
      </c>
      <c r="T147">
        <v>140</v>
      </c>
      <c r="U147">
        <v>129.6</v>
      </c>
      <c r="V147">
        <v>132.1</v>
      </c>
      <c r="W147">
        <v>133.19999999999999</v>
      </c>
      <c r="X147">
        <v>129.9</v>
      </c>
      <c r="Y147">
        <v>119.1</v>
      </c>
      <c r="Z147">
        <v>127</v>
      </c>
      <c r="AA147">
        <v>134.6</v>
      </c>
      <c r="AB147">
        <v>122.3</v>
      </c>
      <c r="AC147">
        <v>126.6</v>
      </c>
      <c r="AD147">
        <v>132.4</v>
      </c>
      <c r="AE147">
        <f t="shared" si="10"/>
        <v>1737.3000000000002</v>
      </c>
      <c r="AF147">
        <f t="shared" si="11"/>
        <v>132.1</v>
      </c>
      <c r="AG147">
        <f t="shared" si="12"/>
        <v>119.1</v>
      </c>
      <c r="AH147">
        <f t="shared" si="13"/>
        <v>134.6</v>
      </c>
      <c r="AI147">
        <f t="shared" si="14"/>
        <v>1328.1999999999996</v>
      </c>
    </row>
    <row r="148" spans="1:35" x14ac:dyDescent="0.3">
      <c r="A148" t="s">
        <v>32</v>
      </c>
      <c r="B148">
        <v>2017</v>
      </c>
      <c r="C148" t="s">
        <v>31</v>
      </c>
      <c r="D148">
        <v>132.19999999999999</v>
      </c>
      <c r="E148">
        <v>138.9</v>
      </c>
      <c r="F148">
        <v>132.6</v>
      </c>
      <c r="G148">
        <v>133.1</v>
      </c>
      <c r="H148">
        <v>114</v>
      </c>
      <c r="I148">
        <v>129.6</v>
      </c>
      <c r="J148">
        <v>118.7</v>
      </c>
      <c r="K148">
        <v>155.1</v>
      </c>
      <c r="L148">
        <v>117.3</v>
      </c>
      <c r="M148">
        <v>144.9</v>
      </c>
      <c r="N148">
        <v>123.2</v>
      </c>
      <c r="O148">
        <v>141.6</v>
      </c>
      <c r="P148">
        <v>132</v>
      </c>
      <c r="Q148">
        <v>145.6</v>
      </c>
      <c r="R148">
        <v>130.19999999999999</v>
      </c>
      <c r="S148">
        <v>122.3</v>
      </c>
      <c r="T148">
        <v>129</v>
      </c>
      <c r="U148">
        <v>129.6</v>
      </c>
      <c r="V148">
        <v>118</v>
      </c>
      <c r="W148">
        <v>125.1</v>
      </c>
      <c r="X148">
        <v>122.6</v>
      </c>
      <c r="Y148">
        <v>115.2</v>
      </c>
      <c r="Z148">
        <v>122</v>
      </c>
      <c r="AA148">
        <v>132.4</v>
      </c>
      <c r="AB148">
        <v>120.9</v>
      </c>
      <c r="AC148">
        <v>122.1</v>
      </c>
      <c r="AD148">
        <v>127.8</v>
      </c>
      <c r="AE148">
        <f t="shared" si="10"/>
        <v>1713.2</v>
      </c>
      <c r="AF148">
        <f t="shared" si="11"/>
        <v>118</v>
      </c>
      <c r="AG148">
        <f t="shared" si="12"/>
        <v>115.2</v>
      </c>
      <c r="AH148">
        <f t="shared" si="13"/>
        <v>132.4</v>
      </c>
      <c r="AI148">
        <f t="shared" si="14"/>
        <v>1269.4000000000001</v>
      </c>
    </row>
    <row r="149" spans="1:35" x14ac:dyDescent="0.3">
      <c r="A149" t="s">
        <v>33</v>
      </c>
      <c r="B149">
        <v>2017</v>
      </c>
      <c r="C149" t="s">
        <v>31</v>
      </c>
      <c r="D149">
        <v>132.80000000000001</v>
      </c>
      <c r="E149">
        <v>138.19999999999999</v>
      </c>
      <c r="F149">
        <v>132.19999999999999</v>
      </c>
      <c r="G149">
        <v>135.4</v>
      </c>
      <c r="H149">
        <v>119.1</v>
      </c>
      <c r="I149">
        <v>133</v>
      </c>
      <c r="J149">
        <v>119.4</v>
      </c>
      <c r="K149">
        <v>159.5</v>
      </c>
      <c r="L149">
        <v>115.6</v>
      </c>
      <c r="M149">
        <v>139.6</v>
      </c>
      <c r="N149">
        <v>126.6</v>
      </c>
      <c r="O149">
        <v>142.80000000000001</v>
      </c>
      <c r="P149">
        <v>133.1</v>
      </c>
      <c r="Q149">
        <v>143.80000000000001</v>
      </c>
      <c r="R149">
        <v>136.6</v>
      </c>
      <c r="S149">
        <v>130.19999999999999</v>
      </c>
      <c r="T149">
        <v>135.6</v>
      </c>
      <c r="U149">
        <v>129.6</v>
      </c>
      <c r="V149">
        <v>126.8</v>
      </c>
      <c r="W149">
        <v>129.4</v>
      </c>
      <c r="X149">
        <v>127.1</v>
      </c>
      <c r="Y149">
        <v>117</v>
      </c>
      <c r="Z149">
        <v>124.2</v>
      </c>
      <c r="AA149">
        <v>133.30000000000001</v>
      </c>
      <c r="AB149">
        <v>121.7</v>
      </c>
      <c r="AC149">
        <v>124.4</v>
      </c>
      <c r="AD149">
        <v>130.30000000000001</v>
      </c>
      <c r="AE149">
        <f t="shared" si="10"/>
        <v>1727.2999999999995</v>
      </c>
      <c r="AF149">
        <f t="shared" si="11"/>
        <v>126.8</v>
      </c>
      <c r="AG149">
        <f t="shared" si="12"/>
        <v>117</v>
      </c>
      <c r="AH149">
        <f t="shared" si="13"/>
        <v>133.30000000000001</v>
      </c>
      <c r="AI149">
        <f t="shared" si="14"/>
        <v>1302.6000000000001</v>
      </c>
    </row>
    <row r="150" spans="1:35" x14ac:dyDescent="0.3">
      <c r="A150" t="s">
        <v>30</v>
      </c>
      <c r="B150">
        <v>2017</v>
      </c>
      <c r="C150" t="s">
        <v>34</v>
      </c>
      <c r="D150">
        <v>133.30000000000001</v>
      </c>
      <c r="E150">
        <v>138.30000000000001</v>
      </c>
      <c r="F150">
        <v>129.30000000000001</v>
      </c>
      <c r="G150">
        <v>137.19999999999999</v>
      </c>
      <c r="H150">
        <v>122.1</v>
      </c>
      <c r="I150">
        <v>138.69999999999999</v>
      </c>
      <c r="J150">
        <v>119.1</v>
      </c>
      <c r="K150">
        <v>156.9</v>
      </c>
      <c r="L150">
        <v>116.2</v>
      </c>
      <c r="M150">
        <v>136</v>
      </c>
      <c r="N150">
        <v>129.4</v>
      </c>
      <c r="O150">
        <v>144.4</v>
      </c>
      <c r="P150">
        <v>133.6</v>
      </c>
      <c r="Q150">
        <v>143.69999999999999</v>
      </c>
      <c r="R150">
        <v>140.9</v>
      </c>
      <c r="S150">
        <v>135.80000000000001</v>
      </c>
      <c r="T150">
        <v>140.19999999999999</v>
      </c>
      <c r="U150">
        <v>130.5</v>
      </c>
      <c r="V150">
        <v>133.19999999999999</v>
      </c>
      <c r="W150">
        <v>133.6</v>
      </c>
      <c r="X150">
        <v>130.1</v>
      </c>
      <c r="Y150">
        <v>119.5</v>
      </c>
      <c r="Z150">
        <v>127.7</v>
      </c>
      <c r="AA150">
        <v>134.9</v>
      </c>
      <c r="AB150">
        <v>123.2</v>
      </c>
      <c r="AC150">
        <v>127</v>
      </c>
      <c r="AD150">
        <v>132.6</v>
      </c>
      <c r="AE150">
        <f t="shared" si="10"/>
        <v>1734.5000000000002</v>
      </c>
      <c r="AF150">
        <f t="shared" si="11"/>
        <v>133.19999999999999</v>
      </c>
      <c r="AG150">
        <f t="shared" si="12"/>
        <v>119.5</v>
      </c>
      <c r="AH150">
        <f t="shared" si="13"/>
        <v>134.9</v>
      </c>
      <c r="AI150">
        <f t="shared" si="14"/>
        <v>1332.7</v>
      </c>
    </row>
    <row r="151" spans="1:35" x14ac:dyDescent="0.3">
      <c r="A151" t="s">
        <v>32</v>
      </c>
      <c r="B151">
        <v>2017</v>
      </c>
      <c r="C151" t="s">
        <v>34</v>
      </c>
      <c r="D151">
        <v>132.80000000000001</v>
      </c>
      <c r="E151">
        <v>139.80000000000001</v>
      </c>
      <c r="F151">
        <v>129.30000000000001</v>
      </c>
      <c r="G151">
        <v>133.5</v>
      </c>
      <c r="H151">
        <v>114.3</v>
      </c>
      <c r="I151">
        <v>131.4</v>
      </c>
      <c r="J151">
        <v>120.2</v>
      </c>
      <c r="K151">
        <v>143.1</v>
      </c>
      <c r="L151">
        <v>119.5</v>
      </c>
      <c r="M151">
        <v>144</v>
      </c>
      <c r="N151">
        <v>123.4</v>
      </c>
      <c r="O151">
        <v>141.9</v>
      </c>
      <c r="P151">
        <v>132.1</v>
      </c>
      <c r="Q151">
        <v>146.30000000000001</v>
      </c>
      <c r="R151">
        <v>130.5</v>
      </c>
      <c r="S151">
        <v>122.5</v>
      </c>
      <c r="T151">
        <v>129.30000000000001</v>
      </c>
      <c r="U151">
        <v>130.5</v>
      </c>
      <c r="V151">
        <v>119.2</v>
      </c>
      <c r="W151">
        <v>125.3</v>
      </c>
      <c r="X151">
        <v>122.9</v>
      </c>
      <c r="Y151">
        <v>115.5</v>
      </c>
      <c r="Z151">
        <v>122.2</v>
      </c>
      <c r="AA151">
        <v>132.4</v>
      </c>
      <c r="AB151">
        <v>121.7</v>
      </c>
      <c r="AC151">
        <v>122.4</v>
      </c>
      <c r="AD151">
        <v>128.19999999999999</v>
      </c>
      <c r="AE151">
        <f t="shared" si="10"/>
        <v>1705.3000000000002</v>
      </c>
      <c r="AF151">
        <f t="shared" si="11"/>
        <v>119.2</v>
      </c>
      <c r="AG151">
        <f t="shared" si="12"/>
        <v>115.5</v>
      </c>
      <c r="AH151">
        <f t="shared" si="13"/>
        <v>132.4</v>
      </c>
      <c r="AI151">
        <f t="shared" si="14"/>
        <v>1273.6000000000001</v>
      </c>
    </row>
    <row r="152" spans="1:35" x14ac:dyDescent="0.3">
      <c r="A152" t="s">
        <v>33</v>
      </c>
      <c r="B152">
        <v>2017</v>
      </c>
      <c r="C152" t="s">
        <v>34</v>
      </c>
      <c r="D152">
        <v>133.1</v>
      </c>
      <c r="E152">
        <v>138.80000000000001</v>
      </c>
      <c r="F152">
        <v>129.30000000000001</v>
      </c>
      <c r="G152">
        <v>135.80000000000001</v>
      </c>
      <c r="H152">
        <v>119.2</v>
      </c>
      <c r="I152">
        <v>135.30000000000001</v>
      </c>
      <c r="J152">
        <v>119.5</v>
      </c>
      <c r="K152">
        <v>152.19999999999999</v>
      </c>
      <c r="L152">
        <v>117.3</v>
      </c>
      <c r="M152">
        <v>138.69999999999999</v>
      </c>
      <c r="N152">
        <v>126.9</v>
      </c>
      <c r="O152">
        <v>143.19999999999999</v>
      </c>
      <c r="P152">
        <v>133</v>
      </c>
      <c r="Q152">
        <v>144.4</v>
      </c>
      <c r="R152">
        <v>136.80000000000001</v>
      </c>
      <c r="S152">
        <v>130.30000000000001</v>
      </c>
      <c r="T152">
        <v>135.9</v>
      </c>
      <c r="U152">
        <v>130.5</v>
      </c>
      <c r="V152">
        <v>127.9</v>
      </c>
      <c r="W152">
        <v>129.69999999999999</v>
      </c>
      <c r="X152">
        <v>127.4</v>
      </c>
      <c r="Y152">
        <v>117.4</v>
      </c>
      <c r="Z152">
        <v>124.6</v>
      </c>
      <c r="AA152">
        <v>133.4</v>
      </c>
      <c r="AB152">
        <v>122.6</v>
      </c>
      <c r="AC152">
        <v>124.8</v>
      </c>
      <c r="AD152">
        <v>130.6</v>
      </c>
      <c r="AE152">
        <f t="shared" si="10"/>
        <v>1722.3000000000002</v>
      </c>
      <c r="AF152">
        <f t="shared" si="11"/>
        <v>127.9</v>
      </c>
      <c r="AG152">
        <f t="shared" si="12"/>
        <v>117.4</v>
      </c>
      <c r="AH152">
        <f t="shared" si="13"/>
        <v>133.4</v>
      </c>
      <c r="AI152">
        <f t="shared" si="14"/>
        <v>1307</v>
      </c>
    </row>
    <row r="153" spans="1:35" x14ac:dyDescent="0.3">
      <c r="A153" t="s">
        <v>30</v>
      </c>
      <c r="B153">
        <v>2017</v>
      </c>
      <c r="C153" t="s">
        <v>35</v>
      </c>
      <c r="D153">
        <v>133.6</v>
      </c>
      <c r="E153">
        <v>138.80000000000001</v>
      </c>
      <c r="F153">
        <v>128.80000000000001</v>
      </c>
      <c r="G153">
        <v>137.19999999999999</v>
      </c>
      <c r="H153">
        <v>121.6</v>
      </c>
      <c r="I153">
        <v>139.69999999999999</v>
      </c>
      <c r="J153">
        <v>119.7</v>
      </c>
      <c r="K153">
        <v>148</v>
      </c>
      <c r="L153">
        <v>116.9</v>
      </c>
      <c r="M153">
        <v>135.6</v>
      </c>
      <c r="N153">
        <v>129.80000000000001</v>
      </c>
      <c r="O153">
        <v>145.4</v>
      </c>
      <c r="P153">
        <v>133.4</v>
      </c>
      <c r="Q153">
        <v>144.19999999999999</v>
      </c>
      <c r="R153">
        <v>141.6</v>
      </c>
      <c r="S153">
        <v>136.19999999999999</v>
      </c>
      <c r="T153">
        <v>140.80000000000001</v>
      </c>
      <c r="U153">
        <v>131.1</v>
      </c>
      <c r="V153">
        <v>134.19999999999999</v>
      </c>
      <c r="W153">
        <v>134.1</v>
      </c>
      <c r="X153">
        <v>130.6</v>
      </c>
      <c r="Y153">
        <v>119.8</v>
      </c>
      <c r="Z153">
        <v>128.30000000000001</v>
      </c>
      <c r="AA153">
        <v>135.19999999999999</v>
      </c>
      <c r="AB153">
        <v>123.3</v>
      </c>
      <c r="AC153">
        <v>127.4</v>
      </c>
      <c r="AD153">
        <v>132.80000000000001</v>
      </c>
      <c r="AE153">
        <f t="shared" si="10"/>
        <v>1728.5000000000002</v>
      </c>
      <c r="AF153">
        <f t="shared" si="11"/>
        <v>134.19999999999999</v>
      </c>
      <c r="AG153">
        <f t="shared" si="12"/>
        <v>119.8</v>
      </c>
      <c r="AH153">
        <f t="shared" si="13"/>
        <v>135.19999999999999</v>
      </c>
      <c r="AI153">
        <f t="shared" si="14"/>
        <v>1337.6000000000001</v>
      </c>
    </row>
    <row r="154" spans="1:35" x14ac:dyDescent="0.3">
      <c r="A154" t="s">
        <v>32</v>
      </c>
      <c r="B154">
        <v>2017</v>
      </c>
      <c r="C154" t="s">
        <v>35</v>
      </c>
      <c r="D154">
        <v>132.69999999999999</v>
      </c>
      <c r="E154">
        <v>139.4</v>
      </c>
      <c r="F154">
        <v>128.4</v>
      </c>
      <c r="G154">
        <v>134.9</v>
      </c>
      <c r="H154">
        <v>114</v>
      </c>
      <c r="I154">
        <v>136.80000000000001</v>
      </c>
      <c r="J154">
        <v>122.2</v>
      </c>
      <c r="K154">
        <v>135.80000000000001</v>
      </c>
      <c r="L154">
        <v>120.3</v>
      </c>
      <c r="M154">
        <v>142.6</v>
      </c>
      <c r="N154">
        <v>123.6</v>
      </c>
      <c r="O154">
        <v>142.4</v>
      </c>
      <c r="P154">
        <v>132.6</v>
      </c>
      <c r="Q154">
        <v>147.5</v>
      </c>
      <c r="R154">
        <v>130.80000000000001</v>
      </c>
      <c r="S154">
        <v>122.8</v>
      </c>
      <c r="T154">
        <v>129.6</v>
      </c>
      <c r="U154">
        <v>131.1</v>
      </c>
      <c r="V154">
        <v>120.8</v>
      </c>
      <c r="W154">
        <v>125.6</v>
      </c>
      <c r="X154">
        <v>123.1</v>
      </c>
      <c r="Y154">
        <v>115.6</v>
      </c>
      <c r="Z154">
        <v>122.4</v>
      </c>
      <c r="AA154">
        <v>132.80000000000001</v>
      </c>
      <c r="AB154">
        <v>121.7</v>
      </c>
      <c r="AC154">
        <v>122.6</v>
      </c>
      <c r="AD154">
        <v>128.69999999999999</v>
      </c>
      <c r="AE154">
        <f t="shared" si="10"/>
        <v>1705.6999999999998</v>
      </c>
      <c r="AF154">
        <f t="shared" si="11"/>
        <v>120.8</v>
      </c>
      <c r="AG154">
        <f t="shared" si="12"/>
        <v>115.6</v>
      </c>
      <c r="AH154">
        <f t="shared" si="13"/>
        <v>132.80000000000001</v>
      </c>
      <c r="AI154">
        <f t="shared" si="14"/>
        <v>1277.2</v>
      </c>
    </row>
    <row r="155" spans="1:35" x14ac:dyDescent="0.3">
      <c r="A155" t="s">
        <v>33</v>
      </c>
      <c r="B155">
        <v>2017</v>
      </c>
      <c r="C155" t="s">
        <v>35</v>
      </c>
      <c r="D155">
        <v>133.30000000000001</v>
      </c>
      <c r="E155">
        <v>139</v>
      </c>
      <c r="F155">
        <v>128.6</v>
      </c>
      <c r="G155">
        <v>136.30000000000001</v>
      </c>
      <c r="H155">
        <v>118.8</v>
      </c>
      <c r="I155">
        <v>138.30000000000001</v>
      </c>
      <c r="J155">
        <v>120.5</v>
      </c>
      <c r="K155">
        <v>143.9</v>
      </c>
      <c r="L155">
        <v>118</v>
      </c>
      <c r="M155">
        <v>137.9</v>
      </c>
      <c r="N155">
        <v>127.2</v>
      </c>
      <c r="O155">
        <v>144</v>
      </c>
      <c r="P155">
        <v>133.1</v>
      </c>
      <c r="Q155">
        <v>145.1</v>
      </c>
      <c r="R155">
        <v>137.30000000000001</v>
      </c>
      <c r="S155">
        <v>130.6</v>
      </c>
      <c r="T155">
        <v>136.4</v>
      </c>
      <c r="U155">
        <v>131.1</v>
      </c>
      <c r="V155">
        <v>129.1</v>
      </c>
      <c r="W155">
        <v>130.1</v>
      </c>
      <c r="X155">
        <v>127.8</v>
      </c>
      <c r="Y155">
        <v>117.6</v>
      </c>
      <c r="Z155">
        <v>125</v>
      </c>
      <c r="AA155">
        <v>133.80000000000001</v>
      </c>
      <c r="AB155">
        <v>122.6</v>
      </c>
      <c r="AC155">
        <v>125.1</v>
      </c>
      <c r="AD155">
        <v>130.9</v>
      </c>
      <c r="AE155">
        <f t="shared" si="10"/>
        <v>1718.9</v>
      </c>
      <c r="AF155">
        <f t="shared" si="11"/>
        <v>129.1</v>
      </c>
      <c r="AG155">
        <f t="shared" si="12"/>
        <v>117.6</v>
      </c>
      <c r="AH155">
        <f t="shared" si="13"/>
        <v>133.80000000000001</v>
      </c>
      <c r="AI155">
        <f t="shared" si="14"/>
        <v>1311.1</v>
      </c>
    </row>
    <row r="156" spans="1:35" x14ac:dyDescent="0.3">
      <c r="A156" t="s">
        <v>30</v>
      </c>
      <c r="B156">
        <v>2017</v>
      </c>
      <c r="C156" t="s">
        <v>36</v>
      </c>
      <c r="D156">
        <v>133.19999999999999</v>
      </c>
      <c r="E156">
        <v>138.69999999999999</v>
      </c>
      <c r="F156">
        <v>127.1</v>
      </c>
      <c r="G156">
        <v>137.69999999999999</v>
      </c>
      <c r="H156">
        <v>121.3</v>
      </c>
      <c r="I156">
        <v>141.80000000000001</v>
      </c>
      <c r="J156">
        <v>121.5</v>
      </c>
      <c r="K156">
        <v>144.5</v>
      </c>
      <c r="L156">
        <v>117.4</v>
      </c>
      <c r="M156">
        <v>134.1</v>
      </c>
      <c r="N156">
        <v>130</v>
      </c>
      <c r="O156">
        <v>145.5</v>
      </c>
      <c r="P156">
        <v>133.5</v>
      </c>
      <c r="Q156">
        <v>144.4</v>
      </c>
      <c r="R156">
        <v>142.4</v>
      </c>
      <c r="S156">
        <v>136.80000000000001</v>
      </c>
      <c r="T156">
        <v>141.6</v>
      </c>
      <c r="U156">
        <v>131.69999999999999</v>
      </c>
      <c r="V156">
        <v>135</v>
      </c>
      <c r="W156">
        <v>134.30000000000001</v>
      </c>
      <c r="X156">
        <v>131</v>
      </c>
      <c r="Y156">
        <v>119.2</v>
      </c>
      <c r="Z156">
        <v>128.30000000000001</v>
      </c>
      <c r="AA156">
        <v>135.69999999999999</v>
      </c>
      <c r="AB156">
        <v>123.7</v>
      </c>
      <c r="AC156">
        <v>127.5</v>
      </c>
      <c r="AD156">
        <v>132.9</v>
      </c>
      <c r="AE156">
        <f t="shared" si="10"/>
        <v>1726.3</v>
      </c>
      <c r="AF156">
        <f t="shared" si="11"/>
        <v>135</v>
      </c>
      <c r="AG156">
        <f t="shared" si="12"/>
        <v>119.2</v>
      </c>
      <c r="AH156">
        <f t="shared" si="13"/>
        <v>135.69999999999999</v>
      </c>
      <c r="AI156">
        <f t="shared" si="14"/>
        <v>1341.7</v>
      </c>
    </row>
    <row r="157" spans="1:35" x14ac:dyDescent="0.3">
      <c r="A157" t="s">
        <v>32</v>
      </c>
      <c r="B157">
        <v>2017</v>
      </c>
      <c r="C157" t="s">
        <v>36</v>
      </c>
      <c r="D157">
        <v>132.69999999999999</v>
      </c>
      <c r="E157">
        <v>140.6</v>
      </c>
      <c r="F157">
        <v>124.5</v>
      </c>
      <c r="G157">
        <v>136.30000000000001</v>
      </c>
      <c r="H157">
        <v>113.5</v>
      </c>
      <c r="I157">
        <v>137.69999999999999</v>
      </c>
      <c r="J157">
        <v>127.1</v>
      </c>
      <c r="K157">
        <v>133.80000000000001</v>
      </c>
      <c r="L157">
        <v>120.8</v>
      </c>
      <c r="M157">
        <v>141.30000000000001</v>
      </c>
      <c r="N157">
        <v>123.8</v>
      </c>
      <c r="O157">
        <v>142.6</v>
      </c>
      <c r="P157">
        <v>133.4</v>
      </c>
      <c r="Q157">
        <v>148</v>
      </c>
      <c r="R157">
        <v>131.19999999999999</v>
      </c>
      <c r="S157">
        <v>123</v>
      </c>
      <c r="T157">
        <v>130</v>
      </c>
      <c r="U157">
        <v>131.69999999999999</v>
      </c>
      <c r="V157">
        <v>121.4</v>
      </c>
      <c r="W157">
        <v>126</v>
      </c>
      <c r="X157">
        <v>123.4</v>
      </c>
      <c r="Y157">
        <v>114.3</v>
      </c>
      <c r="Z157">
        <v>122.6</v>
      </c>
      <c r="AA157">
        <v>133.6</v>
      </c>
      <c r="AB157">
        <v>122.2</v>
      </c>
      <c r="AC157">
        <v>122.5</v>
      </c>
      <c r="AD157">
        <v>129.1</v>
      </c>
      <c r="AE157">
        <f t="shared" si="10"/>
        <v>1708.1</v>
      </c>
      <c r="AF157">
        <f t="shared" si="11"/>
        <v>121.4</v>
      </c>
      <c r="AG157">
        <f t="shared" si="12"/>
        <v>114.3</v>
      </c>
      <c r="AH157">
        <f t="shared" si="13"/>
        <v>133.6</v>
      </c>
      <c r="AI157">
        <f t="shared" si="14"/>
        <v>1280.6000000000001</v>
      </c>
    </row>
    <row r="158" spans="1:35" x14ac:dyDescent="0.3">
      <c r="A158" t="s">
        <v>33</v>
      </c>
      <c r="B158">
        <v>2017</v>
      </c>
      <c r="C158" t="s">
        <v>36</v>
      </c>
      <c r="D158">
        <v>133</v>
      </c>
      <c r="E158">
        <v>139.4</v>
      </c>
      <c r="F158">
        <v>126.1</v>
      </c>
      <c r="G158">
        <v>137.19999999999999</v>
      </c>
      <c r="H158">
        <v>118.4</v>
      </c>
      <c r="I158">
        <v>139.9</v>
      </c>
      <c r="J158">
        <v>123.4</v>
      </c>
      <c r="K158">
        <v>140.9</v>
      </c>
      <c r="L158">
        <v>118.5</v>
      </c>
      <c r="M158">
        <v>136.5</v>
      </c>
      <c r="N158">
        <v>127.4</v>
      </c>
      <c r="O158">
        <v>144.19999999999999</v>
      </c>
      <c r="P158">
        <v>133.5</v>
      </c>
      <c r="Q158">
        <v>145.4</v>
      </c>
      <c r="R158">
        <v>138</v>
      </c>
      <c r="S158">
        <v>131.1</v>
      </c>
      <c r="T158">
        <v>137</v>
      </c>
      <c r="U158">
        <v>131.69999999999999</v>
      </c>
      <c r="V158">
        <v>129.80000000000001</v>
      </c>
      <c r="W158">
        <v>130.4</v>
      </c>
      <c r="X158">
        <v>128.1</v>
      </c>
      <c r="Y158">
        <v>116.6</v>
      </c>
      <c r="Z158">
        <v>125.1</v>
      </c>
      <c r="AA158">
        <v>134.5</v>
      </c>
      <c r="AB158">
        <v>123.1</v>
      </c>
      <c r="AC158">
        <v>125.1</v>
      </c>
      <c r="AD158">
        <v>131.1</v>
      </c>
      <c r="AE158">
        <f t="shared" si="10"/>
        <v>1718.4</v>
      </c>
      <c r="AF158">
        <f t="shared" si="11"/>
        <v>129.80000000000001</v>
      </c>
      <c r="AG158">
        <f t="shared" si="12"/>
        <v>116.6</v>
      </c>
      <c r="AH158">
        <f t="shared" si="13"/>
        <v>134.5</v>
      </c>
      <c r="AI158">
        <f t="shared" si="14"/>
        <v>1314.9999999999998</v>
      </c>
    </row>
    <row r="159" spans="1:35" x14ac:dyDescent="0.3">
      <c r="A159" t="s">
        <v>30</v>
      </c>
      <c r="B159">
        <v>2017</v>
      </c>
      <c r="C159" t="s">
        <v>37</v>
      </c>
      <c r="D159">
        <v>133.1</v>
      </c>
      <c r="E159">
        <v>140.30000000000001</v>
      </c>
      <c r="F159">
        <v>126.8</v>
      </c>
      <c r="G159">
        <v>138.19999999999999</v>
      </c>
      <c r="H159">
        <v>120.8</v>
      </c>
      <c r="I159">
        <v>140.19999999999999</v>
      </c>
      <c r="J159">
        <v>123.8</v>
      </c>
      <c r="K159">
        <v>141.80000000000001</v>
      </c>
      <c r="L159">
        <v>118.6</v>
      </c>
      <c r="M159">
        <v>134</v>
      </c>
      <c r="N159">
        <v>130.30000000000001</v>
      </c>
      <c r="O159">
        <v>145.80000000000001</v>
      </c>
      <c r="P159">
        <v>133.80000000000001</v>
      </c>
      <c r="Q159">
        <v>145.5</v>
      </c>
      <c r="R159">
        <v>142.5</v>
      </c>
      <c r="S159">
        <v>137.30000000000001</v>
      </c>
      <c r="T159">
        <v>141.80000000000001</v>
      </c>
      <c r="U159">
        <v>132.1</v>
      </c>
      <c r="V159">
        <v>135</v>
      </c>
      <c r="W159">
        <v>134.9</v>
      </c>
      <c r="X159">
        <v>131.4</v>
      </c>
      <c r="Y159">
        <v>119.4</v>
      </c>
      <c r="Z159">
        <v>129.4</v>
      </c>
      <c r="AA159">
        <v>136.30000000000001</v>
      </c>
      <c r="AB159">
        <v>123.7</v>
      </c>
      <c r="AC159">
        <v>127.9</v>
      </c>
      <c r="AD159">
        <v>133.30000000000001</v>
      </c>
      <c r="AE159">
        <f t="shared" si="10"/>
        <v>1727.4999999999995</v>
      </c>
      <c r="AF159">
        <f t="shared" si="11"/>
        <v>135</v>
      </c>
      <c r="AG159">
        <f t="shared" si="12"/>
        <v>119.4</v>
      </c>
      <c r="AH159">
        <f t="shared" si="13"/>
        <v>136.30000000000001</v>
      </c>
      <c r="AI159">
        <f t="shared" si="14"/>
        <v>1346.5000000000002</v>
      </c>
    </row>
    <row r="160" spans="1:35" x14ac:dyDescent="0.3">
      <c r="A160" t="s">
        <v>32</v>
      </c>
      <c r="B160">
        <v>2017</v>
      </c>
      <c r="C160" t="s">
        <v>37</v>
      </c>
      <c r="D160">
        <v>132.6</v>
      </c>
      <c r="E160">
        <v>144.1</v>
      </c>
      <c r="F160">
        <v>125.6</v>
      </c>
      <c r="G160">
        <v>136.80000000000001</v>
      </c>
      <c r="H160">
        <v>113.4</v>
      </c>
      <c r="I160">
        <v>135.19999999999999</v>
      </c>
      <c r="J160">
        <v>129.19999999999999</v>
      </c>
      <c r="K160">
        <v>131.5</v>
      </c>
      <c r="L160">
        <v>121</v>
      </c>
      <c r="M160">
        <v>139.9</v>
      </c>
      <c r="N160">
        <v>123.8</v>
      </c>
      <c r="O160">
        <v>142.9</v>
      </c>
      <c r="P160">
        <v>133.6</v>
      </c>
      <c r="Q160">
        <v>148.30000000000001</v>
      </c>
      <c r="R160">
        <v>131.5</v>
      </c>
      <c r="S160">
        <v>123.2</v>
      </c>
      <c r="T160">
        <v>130.19999999999999</v>
      </c>
      <c r="U160">
        <v>132.1</v>
      </c>
      <c r="V160">
        <v>120.1</v>
      </c>
      <c r="W160">
        <v>126.5</v>
      </c>
      <c r="X160">
        <v>123.6</v>
      </c>
      <c r="Y160">
        <v>114.3</v>
      </c>
      <c r="Z160">
        <v>122.8</v>
      </c>
      <c r="AA160">
        <v>133.80000000000001</v>
      </c>
      <c r="AB160">
        <v>122</v>
      </c>
      <c r="AC160">
        <v>122.6</v>
      </c>
      <c r="AD160">
        <v>129.30000000000001</v>
      </c>
      <c r="AE160">
        <f t="shared" si="10"/>
        <v>1709.6</v>
      </c>
      <c r="AF160">
        <f t="shared" si="11"/>
        <v>120.1</v>
      </c>
      <c r="AG160">
        <f t="shared" si="12"/>
        <v>114.3</v>
      </c>
      <c r="AH160">
        <f t="shared" si="13"/>
        <v>133.80000000000001</v>
      </c>
      <c r="AI160">
        <f t="shared" si="14"/>
        <v>1282.8</v>
      </c>
    </row>
    <row r="161" spans="1:35" x14ac:dyDescent="0.3">
      <c r="A161" t="s">
        <v>33</v>
      </c>
      <c r="B161">
        <v>2017</v>
      </c>
      <c r="C161" t="s">
        <v>37</v>
      </c>
      <c r="D161">
        <v>132.9</v>
      </c>
      <c r="E161">
        <v>141.6</v>
      </c>
      <c r="F161">
        <v>126.3</v>
      </c>
      <c r="G161">
        <v>137.69999999999999</v>
      </c>
      <c r="H161">
        <v>118.1</v>
      </c>
      <c r="I161">
        <v>137.9</v>
      </c>
      <c r="J161">
        <v>125.6</v>
      </c>
      <c r="K161">
        <v>138.30000000000001</v>
      </c>
      <c r="L161">
        <v>119.4</v>
      </c>
      <c r="M161">
        <v>136</v>
      </c>
      <c r="N161">
        <v>127.6</v>
      </c>
      <c r="O161">
        <v>144.5</v>
      </c>
      <c r="P161">
        <v>133.69999999999999</v>
      </c>
      <c r="Q161">
        <v>146.19999999999999</v>
      </c>
      <c r="R161">
        <v>138.19999999999999</v>
      </c>
      <c r="S161">
        <v>131.4</v>
      </c>
      <c r="T161">
        <v>137.19999999999999</v>
      </c>
      <c r="U161">
        <v>132.1</v>
      </c>
      <c r="V161">
        <v>129.4</v>
      </c>
      <c r="W161">
        <v>130.9</v>
      </c>
      <c r="X161">
        <v>128.4</v>
      </c>
      <c r="Y161">
        <v>116.7</v>
      </c>
      <c r="Z161">
        <v>125.7</v>
      </c>
      <c r="AA161">
        <v>134.80000000000001</v>
      </c>
      <c r="AB161">
        <v>123</v>
      </c>
      <c r="AC161">
        <v>125.3</v>
      </c>
      <c r="AD161">
        <v>131.4</v>
      </c>
      <c r="AE161">
        <f t="shared" si="10"/>
        <v>1719.6000000000001</v>
      </c>
      <c r="AF161">
        <f t="shared" si="11"/>
        <v>129.4</v>
      </c>
      <c r="AG161">
        <f t="shared" si="12"/>
        <v>116.7</v>
      </c>
      <c r="AH161">
        <f t="shared" si="13"/>
        <v>134.80000000000001</v>
      </c>
      <c r="AI161">
        <f t="shared" si="14"/>
        <v>1318.3999999999999</v>
      </c>
    </row>
    <row r="162" spans="1:35" x14ac:dyDescent="0.3">
      <c r="A162" t="s">
        <v>30</v>
      </c>
      <c r="B162">
        <v>2017</v>
      </c>
      <c r="C162" t="s">
        <v>38</v>
      </c>
      <c r="D162">
        <v>133.5</v>
      </c>
      <c r="E162">
        <v>143.69999999999999</v>
      </c>
      <c r="F162">
        <v>128</v>
      </c>
      <c r="G162">
        <v>138.6</v>
      </c>
      <c r="H162">
        <v>120.9</v>
      </c>
      <c r="I162">
        <v>140.9</v>
      </c>
      <c r="J162">
        <v>128.80000000000001</v>
      </c>
      <c r="K162">
        <v>140.19999999999999</v>
      </c>
      <c r="L162">
        <v>118.9</v>
      </c>
      <c r="M162">
        <v>133.5</v>
      </c>
      <c r="N162">
        <v>130.4</v>
      </c>
      <c r="O162">
        <v>146.5</v>
      </c>
      <c r="P162">
        <v>134.9</v>
      </c>
      <c r="Q162">
        <v>145.80000000000001</v>
      </c>
      <c r="R162">
        <v>143.1</v>
      </c>
      <c r="S162">
        <v>137.69999999999999</v>
      </c>
      <c r="T162">
        <v>142.30000000000001</v>
      </c>
      <c r="U162">
        <v>131.4</v>
      </c>
      <c r="V162">
        <v>134.80000000000001</v>
      </c>
      <c r="W162">
        <v>135.19999999999999</v>
      </c>
      <c r="X162">
        <v>131.30000000000001</v>
      </c>
      <c r="Y162">
        <v>119.4</v>
      </c>
      <c r="Z162">
        <v>129.80000000000001</v>
      </c>
      <c r="AA162">
        <v>136.9</v>
      </c>
      <c r="AB162">
        <v>124.1</v>
      </c>
      <c r="AC162">
        <v>128.1</v>
      </c>
      <c r="AD162">
        <v>133.9</v>
      </c>
      <c r="AE162">
        <f t="shared" si="10"/>
        <v>1738.8000000000002</v>
      </c>
      <c r="AF162">
        <f t="shared" si="11"/>
        <v>134.80000000000001</v>
      </c>
      <c r="AG162">
        <f t="shared" si="12"/>
        <v>119.4</v>
      </c>
      <c r="AH162">
        <f t="shared" si="13"/>
        <v>136.9</v>
      </c>
      <c r="AI162">
        <f t="shared" si="14"/>
        <v>1348.7999999999997</v>
      </c>
    </row>
    <row r="163" spans="1:35" x14ac:dyDescent="0.3">
      <c r="A163" t="s">
        <v>32</v>
      </c>
      <c r="B163">
        <v>2017</v>
      </c>
      <c r="C163" t="s">
        <v>38</v>
      </c>
      <c r="D163">
        <v>132.9</v>
      </c>
      <c r="E163">
        <v>148.69999999999999</v>
      </c>
      <c r="F163">
        <v>128.30000000000001</v>
      </c>
      <c r="G163">
        <v>137.30000000000001</v>
      </c>
      <c r="H163">
        <v>113.5</v>
      </c>
      <c r="I163">
        <v>137.19999999999999</v>
      </c>
      <c r="J163">
        <v>142.19999999999999</v>
      </c>
      <c r="K163">
        <v>128.19999999999999</v>
      </c>
      <c r="L163">
        <v>120.9</v>
      </c>
      <c r="M163">
        <v>138.80000000000001</v>
      </c>
      <c r="N163">
        <v>124.2</v>
      </c>
      <c r="O163">
        <v>143.1</v>
      </c>
      <c r="P163">
        <v>135.69999999999999</v>
      </c>
      <c r="Q163">
        <v>148.6</v>
      </c>
      <c r="R163">
        <v>131.5</v>
      </c>
      <c r="S163">
        <v>123.2</v>
      </c>
      <c r="T163">
        <v>130.19999999999999</v>
      </c>
      <c r="U163">
        <v>131.4</v>
      </c>
      <c r="V163">
        <v>119</v>
      </c>
      <c r="W163">
        <v>126.8</v>
      </c>
      <c r="X163">
        <v>123.8</v>
      </c>
      <c r="Y163">
        <v>113.9</v>
      </c>
      <c r="Z163">
        <v>122.9</v>
      </c>
      <c r="AA163">
        <v>134.30000000000001</v>
      </c>
      <c r="AB163">
        <v>122.5</v>
      </c>
      <c r="AC163">
        <v>122.7</v>
      </c>
      <c r="AD163">
        <v>129.9</v>
      </c>
      <c r="AE163">
        <f t="shared" si="10"/>
        <v>1731.0000000000002</v>
      </c>
      <c r="AF163">
        <f t="shared" si="11"/>
        <v>119</v>
      </c>
      <c r="AG163">
        <f t="shared" si="12"/>
        <v>113.9</v>
      </c>
      <c r="AH163">
        <f t="shared" si="13"/>
        <v>134.30000000000001</v>
      </c>
      <c r="AI163">
        <f t="shared" si="14"/>
        <v>1283.5999999999999</v>
      </c>
    </row>
    <row r="164" spans="1:35" x14ac:dyDescent="0.3">
      <c r="A164" t="s">
        <v>33</v>
      </c>
      <c r="B164">
        <v>2017</v>
      </c>
      <c r="C164" t="s">
        <v>38</v>
      </c>
      <c r="D164">
        <v>133.30000000000001</v>
      </c>
      <c r="E164">
        <v>145.5</v>
      </c>
      <c r="F164">
        <v>128.1</v>
      </c>
      <c r="G164">
        <v>138.1</v>
      </c>
      <c r="H164">
        <v>118.2</v>
      </c>
      <c r="I164">
        <v>139.19999999999999</v>
      </c>
      <c r="J164">
        <v>133.30000000000001</v>
      </c>
      <c r="K164">
        <v>136.19999999999999</v>
      </c>
      <c r="L164">
        <v>119.6</v>
      </c>
      <c r="M164">
        <v>135.30000000000001</v>
      </c>
      <c r="N164">
        <v>127.8</v>
      </c>
      <c r="O164">
        <v>144.9</v>
      </c>
      <c r="P164">
        <v>135.19999999999999</v>
      </c>
      <c r="Q164">
        <v>146.5</v>
      </c>
      <c r="R164">
        <v>138.5</v>
      </c>
      <c r="S164">
        <v>131.69999999999999</v>
      </c>
      <c r="T164">
        <v>137.5</v>
      </c>
      <c r="U164">
        <v>131.4</v>
      </c>
      <c r="V164">
        <v>128.80000000000001</v>
      </c>
      <c r="W164">
        <v>131.19999999999999</v>
      </c>
      <c r="X164">
        <v>128.5</v>
      </c>
      <c r="Y164">
        <v>116.5</v>
      </c>
      <c r="Z164">
        <v>125.9</v>
      </c>
      <c r="AA164">
        <v>135.4</v>
      </c>
      <c r="AB164">
        <v>123.4</v>
      </c>
      <c r="AC164">
        <v>125.5</v>
      </c>
      <c r="AD164">
        <v>132</v>
      </c>
      <c r="AE164">
        <f t="shared" si="10"/>
        <v>1734.7</v>
      </c>
      <c r="AF164">
        <f t="shared" si="11"/>
        <v>128.80000000000001</v>
      </c>
      <c r="AG164">
        <f t="shared" si="12"/>
        <v>116.5</v>
      </c>
      <c r="AH164">
        <f t="shared" si="13"/>
        <v>135.4</v>
      </c>
      <c r="AI164">
        <f t="shared" si="14"/>
        <v>1320.1000000000001</v>
      </c>
    </row>
    <row r="165" spans="1:35" x14ac:dyDescent="0.3">
      <c r="A165" t="s">
        <v>30</v>
      </c>
      <c r="B165">
        <v>2017</v>
      </c>
      <c r="C165" t="s">
        <v>39</v>
      </c>
      <c r="D165">
        <v>134</v>
      </c>
      <c r="E165">
        <v>144.19999999999999</v>
      </c>
      <c r="F165">
        <v>129.80000000000001</v>
      </c>
      <c r="G165">
        <v>139</v>
      </c>
      <c r="H165">
        <v>120.9</v>
      </c>
      <c r="I165">
        <v>143.9</v>
      </c>
      <c r="J165">
        <v>151.5</v>
      </c>
      <c r="K165">
        <v>138.1</v>
      </c>
      <c r="L165">
        <v>120</v>
      </c>
      <c r="M165">
        <v>133.9</v>
      </c>
      <c r="N165">
        <v>131.4</v>
      </c>
      <c r="O165">
        <v>147.69999999999999</v>
      </c>
      <c r="P165">
        <v>138.5</v>
      </c>
      <c r="Q165">
        <v>147.4</v>
      </c>
      <c r="R165">
        <v>144.30000000000001</v>
      </c>
      <c r="S165">
        <v>138.1</v>
      </c>
      <c r="T165">
        <v>143.5</v>
      </c>
      <c r="U165">
        <v>132.6</v>
      </c>
      <c r="V165">
        <v>135.30000000000001</v>
      </c>
      <c r="W165">
        <v>136.1</v>
      </c>
      <c r="X165">
        <v>132.1</v>
      </c>
      <c r="Y165">
        <v>119.1</v>
      </c>
      <c r="Z165">
        <v>130.6</v>
      </c>
      <c r="AA165">
        <v>138.6</v>
      </c>
      <c r="AB165">
        <v>124.4</v>
      </c>
      <c r="AC165">
        <v>128.6</v>
      </c>
      <c r="AD165">
        <v>136.19999999999999</v>
      </c>
      <c r="AE165">
        <f t="shared" si="10"/>
        <v>1772.9</v>
      </c>
      <c r="AF165">
        <f t="shared" si="11"/>
        <v>135.30000000000001</v>
      </c>
      <c r="AG165">
        <f t="shared" si="12"/>
        <v>119.1</v>
      </c>
      <c r="AH165">
        <f t="shared" si="13"/>
        <v>138.6</v>
      </c>
      <c r="AI165">
        <f t="shared" si="14"/>
        <v>1357.7</v>
      </c>
    </row>
    <row r="166" spans="1:35" x14ac:dyDescent="0.3">
      <c r="A166" t="s">
        <v>32</v>
      </c>
      <c r="B166">
        <v>2017</v>
      </c>
      <c r="C166" t="s">
        <v>39</v>
      </c>
      <c r="D166">
        <v>132.80000000000001</v>
      </c>
      <c r="E166">
        <v>148.4</v>
      </c>
      <c r="F166">
        <v>129.4</v>
      </c>
      <c r="G166">
        <v>137.69999999999999</v>
      </c>
      <c r="H166">
        <v>113.4</v>
      </c>
      <c r="I166">
        <v>139.4</v>
      </c>
      <c r="J166">
        <v>175.1</v>
      </c>
      <c r="K166">
        <v>124.7</v>
      </c>
      <c r="L166">
        <v>121.5</v>
      </c>
      <c r="M166">
        <v>137.80000000000001</v>
      </c>
      <c r="N166">
        <v>124.4</v>
      </c>
      <c r="O166">
        <v>143.69999999999999</v>
      </c>
      <c r="P166">
        <v>139.80000000000001</v>
      </c>
      <c r="Q166">
        <v>150.5</v>
      </c>
      <c r="R166">
        <v>131.6</v>
      </c>
      <c r="S166">
        <v>123.7</v>
      </c>
      <c r="T166">
        <v>130.4</v>
      </c>
      <c r="U166">
        <v>132.6</v>
      </c>
      <c r="V166">
        <v>119.7</v>
      </c>
      <c r="W166">
        <v>127.2</v>
      </c>
      <c r="X166">
        <v>125</v>
      </c>
      <c r="Y166">
        <v>113.2</v>
      </c>
      <c r="Z166">
        <v>123.5</v>
      </c>
      <c r="AA166">
        <v>135.5</v>
      </c>
      <c r="AB166">
        <v>122.4</v>
      </c>
      <c r="AC166">
        <v>123</v>
      </c>
      <c r="AD166">
        <v>131.80000000000001</v>
      </c>
      <c r="AE166">
        <f t="shared" si="10"/>
        <v>1768.1</v>
      </c>
      <c r="AF166">
        <f t="shared" si="11"/>
        <v>119.7</v>
      </c>
      <c r="AG166">
        <f t="shared" si="12"/>
        <v>113.2</v>
      </c>
      <c r="AH166">
        <f t="shared" si="13"/>
        <v>135.5</v>
      </c>
      <c r="AI166">
        <f t="shared" si="14"/>
        <v>1289.9000000000001</v>
      </c>
    </row>
    <row r="167" spans="1:35" x14ac:dyDescent="0.3">
      <c r="A167" t="s">
        <v>33</v>
      </c>
      <c r="B167">
        <v>2017</v>
      </c>
      <c r="C167" t="s">
        <v>39</v>
      </c>
      <c r="D167">
        <v>133.6</v>
      </c>
      <c r="E167">
        <v>145.69999999999999</v>
      </c>
      <c r="F167">
        <v>129.6</v>
      </c>
      <c r="G167">
        <v>138.5</v>
      </c>
      <c r="H167">
        <v>118.1</v>
      </c>
      <c r="I167">
        <v>141.80000000000001</v>
      </c>
      <c r="J167">
        <v>159.5</v>
      </c>
      <c r="K167">
        <v>133.6</v>
      </c>
      <c r="L167">
        <v>120.5</v>
      </c>
      <c r="M167">
        <v>135.19999999999999</v>
      </c>
      <c r="N167">
        <v>128.5</v>
      </c>
      <c r="O167">
        <v>145.80000000000001</v>
      </c>
      <c r="P167">
        <v>139</v>
      </c>
      <c r="Q167">
        <v>148.19999999999999</v>
      </c>
      <c r="R167">
        <v>139.30000000000001</v>
      </c>
      <c r="S167">
        <v>132.1</v>
      </c>
      <c r="T167">
        <v>138.30000000000001</v>
      </c>
      <c r="U167">
        <v>132.6</v>
      </c>
      <c r="V167">
        <v>129.4</v>
      </c>
      <c r="W167">
        <v>131.9</v>
      </c>
      <c r="X167">
        <v>129.4</v>
      </c>
      <c r="Y167">
        <v>116</v>
      </c>
      <c r="Z167">
        <v>126.6</v>
      </c>
      <c r="AA167">
        <v>136.80000000000001</v>
      </c>
      <c r="AB167">
        <v>123.6</v>
      </c>
      <c r="AC167">
        <v>125.9</v>
      </c>
      <c r="AD167">
        <v>134.19999999999999</v>
      </c>
      <c r="AE167">
        <f t="shared" si="10"/>
        <v>1769.3999999999999</v>
      </c>
      <c r="AF167">
        <f t="shared" si="11"/>
        <v>129.4</v>
      </c>
      <c r="AG167">
        <f t="shared" si="12"/>
        <v>116</v>
      </c>
      <c r="AH167">
        <f t="shared" si="13"/>
        <v>136.80000000000001</v>
      </c>
      <c r="AI167">
        <f t="shared" si="14"/>
        <v>1327.9</v>
      </c>
    </row>
    <row r="168" spans="1:35" x14ac:dyDescent="0.3">
      <c r="A168" t="s">
        <v>30</v>
      </c>
      <c r="B168">
        <v>2017</v>
      </c>
      <c r="C168" t="s">
        <v>40</v>
      </c>
      <c r="D168">
        <v>134.80000000000001</v>
      </c>
      <c r="E168">
        <v>143.1</v>
      </c>
      <c r="F168">
        <v>130</v>
      </c>
      <c r="G168">
        <v>139.4</v>
      </c>
      <c r="H168">
        <v>120.5</v>
      </c>
      <c r="I168">
        <v>148</v>
      </c>
      <c r="J168">
        <v>162.9</v>
      </c>
      <c r="K168">
        <v>137.4</v>
      </c>
      <c r="L168">
        <v>120.8</v>
      </c>
      <c r="M168">
        <v>134.69999999999999</v>
      </c>
      <c r="N168">
        <v>131.6</v>
      </c>
      <c r="O168">
        <v>148.69999999999999</v>
      </c>
      <c r="P168">
        <v>140.6</v>
      </c>
      <c r="Q168">
        <v>149</v>
      </c>
      <c r="R168">
        <v>145.30000000000001</v>
      </c>
      <c r="S168">
        <v>139.19999999999999</v>
      </c>
      <c r="T168">
        <v>144.5</v>
      </c>
      <c r="U168">
        <v>134.4</v>
      </c>
      <c r="V168">
        <v>136.4</v>
      </c>
      <c r="W168">
        <v>137.30000000000001</v>
      </c>
      <c r="X168">
        <v>133</v>
      </c>
      <c r="Y168">
        <v>120.3</v>
      </c>
      <c r="Z168">
        <v>131.5</v>
      </c>
      <c r="AA168">
        <v>140.19999999999999</v>
      </c>
      <c r="AB168">
        <v>125.4</v>
      </c>
      <c r="AC168">
        <v>129.69999999999999</v>
      </c>
      <c r="AD168">
        <v>137.80000000000001</v>
      </c>
      <c r="AE168">
        <f t="shared" si="10"/>
        <v>1792.4999999999998</v>
      </c>
      <c r="AF168">
        <f t="shared" si="11"/>
        <v>136.4</v>
      </c>
      <c r="AG168">
        <f t="shared" si="12"/>
        <v>120.3</v>
      </c>
      <c r="AH168">
        <f t="shared" si="13"/>
        <v>140.19999999999999</v>
      </c>
      <c r="AI168">
        <f t="shared" si="14"/>
        <v>1369.3000000000002</v>
      </c>
    </row>
    <row r="169" spans="1:35" x14ac:dyDescent="0.3">
      <c r="A169" t="s">
        <v>32</v>
      </c>
      <c r="B169">
        <v>2017</v>
      </c>
      <c r="C169" t="s">
        <v>40</v>
      </c>
      <c r="D169">
        <v>133.19999999999999</v>
      </c>
      <c r="E169">
        <v>143.9</v>
      </c>
      <c r="F169">
        <v>128.30000000000001</v>
      </c>
      <c r="G169">
        <v>138.30000000000001</v>
      </c>
      <c r="H169">
        <v>114.1</v>
      </c>
      <c r="I169">
        <v>142.69999999999999</v>
      </c>
      <c r="J169">
        <v>179.8</v>
      </c>
      <c r="K169">
        <v>123.5</v>
      </c>
      <c r="L169">
        <v>122.1</v>
      </c>
      <c r="M169">
        <v>137.5</v>
      </c>
      <c r="N169">
        <v>124.6</v>
      </c>
      <c r="O169">
        <v>144.5</v>
      </c>
      <c r="P169">
        <v>140.5</v>
      </c>
      <c r="Q169">
        <v>152.1</v>
      </c>
      <c r="R169">
        <v>132.69999999999999</v>
      </c>
      <c r="S169">
        <v>124.3</v>
      </c>
      <c r="T169">
        <v>131.4</v>
      </c>
      <c r="U169">
        <v>134.4</v>
      </c>
      <c r="V169">
        <v>118.9</v>
      </c>
      <c r="W169">
        <v>127.7</v>
      </c>
      <c r="X169">
        <v>125.7</v>
      </c>
      <c r="Y169">
        <v>114.6</v>
      </c>
      <c r="Z169">
        <v>124.1</v>
      </c>
      <c r="AA169">
        <v>135.69999999999999</v>
      </c>
      <c r="AB169">
        <v>123.3</v>
      </c>
      <c r="AC169">
        <v>123.8</v>
      </c>
      <c r="AD169">
        <v>132.69999999999999</v>
      </c>
      <c r="AE169">
        <f t="shared" si="10"/>
        <v>1772.9999999999998</v>
      </c>
      <c r="AF169">
        <f t="shared" si="11"/>
        <v>118.9</v>
      </c>
      <c r="AG169">
        <f t="shared" si="12"/>
        <v>114.6</v>
      </c>
      <c r="AH169">
        <f t="shared" si="13"/>
        <v>135.69999999999999</v>
      </c>
      <c r="AI169">
        <f t="shared" si="14"/>
        <v>1299.5</v>
      </c>
    </row>
    <row r="170" spans="1:35" x14ac:dyDescent="0.3">
      <c r="A170" t="s">
        <v>33</v>
      </c>
      <c r="B170">
        <v>2017</v>
      </c>
      <c r="C170" t="s">
        <v>40</v>
      </c>
      <c r="D170">
        <v>134.30000000000001</v>
      </c>
      <c r="E170">
        <v>143.4</v>
      </c>
      <c r="F170">
        <v>129.30000000000001</v>
      </c>
      <c r="G170">
        <v>139</v>
      </c>
      <c r="H170">
        <v>118.1</v>
      </c>
      <c r="I170">
        <v>145.5</v>
      </c>
      <c r="J170">
        <v>168.6</v>
      </c>
      <c r="K170">
        <v>132.69999999999999</v>
      </c>
      <c r="L170">
        <v>121.2</v>
      </c>
      <c r="M170">
        <v>135.6</v>
      </c>
      <c r="N170">
        <v>128.69999999999999</v>
      </c>
      <c r="O170">
        <v>146.80000000000001</v>
      </c>
      <c r="P170">
        <v>140.6</v>
      </c>
      <c r="Q170">
        <v>149.80000000000001</v>
      </c>
      <c r="R170">
        <v>140.30000000000001</v>
      </c>
      <c r="S170">
        <v>133</v>
      </c>
      <c r="T170">
        <v>139.30000000000001</v>
      </c>
      <c r="U170">
        <v>134.4</v>
      </c>
      <c r="V170">
        <v>129.80000000000001</v>
      </c>
      <c r="W170">
        <v>132.80000000000001</v>
      </c>
      <c r="X170">
        <v>130.19999999999999</v>
      </c>
      <c r="Y170">
        <v>117.3</v>
      </c>
      <c r="Z170">
        <v>127.3</v>
      </c>
      <c r="AA170">
        <v>137.6</v>
      </c>
      <c r="AB170">
        <v>124.5</v>
      </c>
      <c r="AC170">
        <v>126.8</v>
      </c>
      <c r="AD170">
        <v>135.4</v>
      </c>
      <c r="AE170">
        <f t="shared" si="10"/>
        <v>1783.8</v>
      </c>
      <c r="AF170">
        <f t="shared" si="11"/>
        <v>129.80000000000001</v>
      </c>
      <c r="AG170">
        <f t="shared" si="12"/>
        <v>117.3</v>
      </c>
      <c r="AH170">
        <f t="shared" si="13"/>
        <v>137.6</v>
      </c>
      <c r="AI170">
        <f t="shared" si="14"/>
        <v>1338.4</v>
      </c>
    </row>
    <row r="171" spans="1:35" x14ac:dyDescent="0.3">
      <c r="A171" t="s">
        <v>30</v>
      </c>
      <c r="B171">
        <v>2017</v>
      </c>
      <c r="C171" t="s">
        <v>41</v>
      </c>
      <c r="D171">
        <v>135.19999999999999</v>
      </c>
      <c r="E171">
        <v>142</v>
      </c>
      <c r="F171">
        <v>130.5</v>
      </c>
      <c r="G171">
        <v>140.19999999999999</v>
      </c>
      <c r="H171">
        <v>120.7</v>
      </c>
      <c r="I171">
        <v>147.80000000000001</v>
      </c>
      <c r="J171">
        <v>154.5</v>
      </c>
      <c r="K171">
        <v>137.1</v>
      </c>
      <c r="L171">
        <v>121</v>
      </c>
      <c r="M171">
        <v>134.69999999999999</v>
      </c>
      <c r="N171">
        <v>131.69999999999999</v>
      </c>
      <c r="O171">
        <v>149.30000000000001</v>
      </c>
      <c r="P171">
        <v>139.6</v>
      </c>
      <c r="Q171">
        <v>149.80000000000001</v>
      </c>
      <c r="R171">
        <v>146.1</v>
      </c>
      <c r="S171">
        <v>139.69999999999999</v>
      </c>
      <c r="T171">
        <v>145.19999999999999</v>
      </c>
      <c r="U171">
        <v>135.69999999999999</v>
      </c>
      <c r="V171">
        <v>137.4</v>
      </c>
      <c r="W171">
        <v>137.9</v>
      </c>
      <c r="X171">
        <v>133.4</v>
      </c>
      <c r="Y171">
        <v>121.2</v>
      </c>
      <c r="Z171">
        <v>132.30000000000001</v>
      </c>
      <c r="AA171">
        <v>139.6</v>
      </c>
      <c r="AB171">
        <v>126.7</v>
      </c>
      <c r="AC171">
        <v>130.30000000000001</v>
      </c>
      <c r="AD171">
        <v>137.6</v>
      </c>
      <c r="AE171">
        <f t="shared" si="10"/>
        <v>1784.3</v>
      </c>
      <c r="AF171">
        <f t="shared" si="11"/>
        <v>137.4</v>
      </c>
      <c r="AG171">
        <f t="shared" si="12"/>
        <v>121.2</v>
      </c>
      <c r="AH171">
        <f t="shared" si="13"/>
        <v>139.6</v>
      </c>
      <c r="AI171">
        <f t="shared" si="14"/>
        <v>1377.1</v>
      </c>
    </row>
    <row r="172" spans="1:35" x14ac:dyDescent="0.3">
      <c r="A172" t="s">
        <v>32</v>
      </c>
      <c r="B172">
        <v>2017</v>
      </c>
      <c r="C172" t="s">
        <v>41</v>
      </c>
      <c r="D172">
        <v>133.6</v>
      </c>
      <c r="E172">
        <v>143</v>
      </c>
      <c r="F172">
        <v>129.69999999999999</v>
      </c>
      <c r="G172">
        <v>138.69999999999999</v>
      </c>
      <c r="H172">
        <v>114.5</v>
      </c>
      <c r="I172">
        <v>137.5</v>
      </c>
      <c r="J172">
        <v>160.69999999999999</v>
      </c>
      <c r="K172">
        <v>124.5</v>
      </c>
      <c r="L172">
        <v>122.4</v>
      </c>
      <c r="M172">
        <v>137.30000000000001</v>
      </c>
      <c r="N172">
        <v>124.8</v>
      </c>
      <c r="O172">
        <v>145</v>
      </c>
      <c r="P172">
        <v>138</v>
      </c>
      <c r="Q172">
        <v>153.6</v>
      </c>
      <c r="R172">
        <v>133.30000000000001</v>
      </c>
      <c r="S172">
        <v>124.6</v>
      </c>
      <c r="T172">
        <v>132</v>
      </c>
      <c r="U172">
        <v>135.69999999999999</v>
      </c>
      <c r="V172">
        <v>120.6</v>
      </c>
      <c r="W172">
        <v>128.1</v>
      </c>
      <c r="X172">
        <v>126.1</v>
      </c>
      <c r="Y172">
        <v>115.7</v>
      </c>
      <c r="Z172">
        <v>124.5</v>
      </c>
      <c r="AA172">
        <v>135.9</v>
      </c>
      <c r="AB172">
        <v>124.4</v>
      </c>
      <c r="AC172">
        <v>124.5</v>
      </c>
      <c r="AD172">
        <v>132.4</v>
      </c>
      <c r="AE172">
        <f t="shared" si="10"/>
        <v>1749.7</v>
      </c>
      <c r="AF172">
        <f t="shared" si="11"/>
        <v>120.6</v>
      </c>
      <c r="AG172">
        <f t="shared" si="12"/>
        <v>115.7</v>
      </c>
      <c r="AH172">
        <f t="shared" si="13"/>
        <v>135.9</v>
      </c>
      <c r="AI172">
        <f t="shared" si="14"/>
        <v>1306.8000000000002</v>
      </c>
    </row>
    <row r="173" spans="1:35" x14ac:dyDescent="0.3">
      <c r="A173" t="s">
        <v>33</v>
      </c>
      <c r="B173">
        <v>2017</v>
      </c>
      <c r="C173" t="s">
        <v>41</v>
      </c>
      <c r="D173">
        <v>134.69999999999999</v>
      </c>
      <c r="E173">
        <v>142.4</v>
      </c>
      <c r="F173">
        <v>130.19999999999999</v>
      </c>
      <c r="G173">
        <v>139.6</v>
      </c>
      <c r="H173">
        <v>118.4</v>
      </c>
      <c r="I173">
        <v>143</v>
      </c>
      <c r="J173">
        <v>156.6</v>
      </c>
      <c r="K173">
        <v>132.9</v>
      </c>
      <c r="L173">
        <v>121.5</v>
      </c>
      <c r="M173">
        <v>135.6</v>
      </c>
      <c r="N173">
        <v>128.80000000000001</v>
      </c>
      <c r="O173">
        <v>147.30000000000001</v>
      </c>
      <c r="P173">
        <v>139</v>
      </c>
      <c r="Q173">
        <v>150.80000000000001</v>
      </c>
      <c r="R173">
        <v>141.1</v>
      </c>
      <c r="S173">
        <v>133.4</v>
      </c>
      <c r="T173">
        <v>140</v>
      </c>
      <c r="U173">
        <v>135.69999999999999</v>
      </c>
      <c r="V173">
        <v>131</v>
      </c>
      <c r="W173">
        <v>133.30000000000001</v>
      </c>
      <c r="X173">
        <v>130.6</v>
      </c>
      <c r="Y173">
        <v>118.3</v>
      </c>
      <c r="Z173">
        <v>127.9</v>
      </c>
      <c r="AA173">
        <v>137.4</v>
      </c>
      <c r="AB173">
        <v>125.7</v>
      </c>
      <c r="AC173">
        <v>127.5</v>
      </c>
      <c r="AD173">
        <v>135.19999999999999</v>
      </c>
      <c r="AE173">
        <f t="shared" si="10"/>
        <v>1769.9999999999998</v>
      </c>
      <c r="AF173">
        <f t="shared" si="11"/>
        <v>131</v>
      </c>
      <c r="AG173">
        <f t="shared" si="12"/>
        <v>118.3</v>
      </c>
      <c r="AH173">
        <f t="shared" si="13"/>
        <v>137.4</v>
      </c>
      <c r="AI173">
        <f t="shared" si="14"/>
        <v>1346</v>
      </c>
    </row>
    <row r="174" spans="1:35" x14ac:dyDescent="0.3">
      <c r="A174" t="s">
        <v>30</v>
      </c>
      <c r="B174">
        <v>2017</v>
      </c>
      <c r="C174" t="s">
        <v>42</v>
      </c>
      <c r="D174">
        <v>135.9</v>
      </c>
      <c r="E174">
        <v>141.9</v>
      </c>
      <c r="F174">
        <v>131</v>
      </c>
      <c r="G174">
        <v>141.5</v>
      </c>
      <c r="H174">
        <v>121.4</v>
      </c>
      <c r="I174">
        <v>146.69999999999999</v>
      </c>
      <c r="J174">
        <v>157.1</v>
      </c>
      <c r="K174">
        <v>136.4</v>
      </c>
      <c r="L174">
        <v>121.4</v>
      </c>
      <c r="M174">
        <v>135.6</v>
      </c>
      <c r="N174">
        <v>131.30000000000001</v>
      </c>
      <c r="O174">
        <v>150.30000000000001</v>
      </c>
      <c r="P174">
        <v>140.4</v>
      </c>
      <c r="Q174">
        <v>150.5</v>
      </c>
      <c r="R174">
        <v>147.19999999999999</v>
      </c>
      <c r="S174">
        <v>140.6</v>
      </c>
      <c r="T174">
        <v>146.19999999999999</v>
      </c>
      <c r="U174">
        <v>137.30000000000001</v>
      </c>
      <c r="V174">
        <v>138.1</v>
      </c>
      <c r="W174">
        <v>138.4</v>
      </c>
      <c r="X174">
        <v>134.19999999999999</v>
      </c>
      <c r="Y174">
        <v>121</v>
      </c>
      <c r="Z174">
        <v>133</v>
      </c>
      <c r="AA174">
        <v>140.1</v>
      </c>
      <c r="AB174">
        <v>127.4</v>
      </c>
      <c r="AC174">
        <v>130.69999999999999</v>
      </c>
      <c r="AD174">
        <v>138.30000000000001</v>
      </c>
      <c r="AE174">
        <f t="shared" si="10"/>
        <v>1790.8999999999999</v>
      </c>
      <c r="AF174">
        <f t="shared" si="11"/>
        <v>138.1</v>
      </c>
      <c r="AG174">
        <f t="shared" si="12"/>
        <v>121</v>
      </c>
      <c r="AH174">
        <f t="shared" si="13"/>
        <v>140.1</v>
      </c>
      <c r="AI174">
        <f t="shared" si="14"/>
        <v>1385.5</v>
      </c>
    </row>
    <row r="175" spans="1:35" x14ac:dyDescent="0.3">
      <c r="A175" t="s">
        <v>32</v>
      </c>
      <c r="B175">
        <v>2017</v>
      </c>
      <c r="C175" t="s">
        <v>42</v>
      </c>
      <c r="D175">
        <v>133.9</v>
      </c>
      <c r="E175">
        <v>142.80000000000001</v>
      </c>
      <c r="F175">
        <v>131.4</v>
      </c>
      <c r="G175">
        <v>139.1</v>
      </c>
      <c r="H175">
        <v>114.9</v>
      </c>
      <c r="I175">
        <v>135.6</v>
      </c>
      <c r="J175">
        <v>173.2</v>
      </c>
      <c r="K175">
        <v>124.1</v>
      </c>
      <c r="L175">
        <v>122.6</v>
      </c>
      <c r="M175">
        <v>137.80000000000001</v>
      </c>
      <c r="N175">
        <v>125.1</v>
      </c>
      <c r="O175">
        <v>145.5</v>
      </c>
      <c r="P175">
        <v>139.69999999999999</v>
      </c>
      <c r="Q175">
        <v>154.6</v>
      </c>
      <c r="R175">
        <v>134</v>
      </c>
      <c r="S175">
        <v>124.9</v>
      </c>
      <c r="T175">
        <v>132.6</v>
      </c>
      <c r="U175">
        <v>137.30000000000001</v>
      </c>
      <c r="V175">
        <v>122.6</v>
      </c>
      <c r="W175">
        <v>128.30000000000001</v>
      </c>
      <c r="X175">
        <v>126.6</v>
      </c>
      <c r="Y175">
        <v>115</v>
      </c>
      <c r="Z175">
        <v>124.8</v>
      </c>
      <c r="AA175">
        <v>136.30000000000001</v>
      </c>
      <c r="AB175">
        <v>124.6</v>
      </c>
      <c r="AC175">
        <v>124.5</v>
      </c>
      <c r="AD175">
        <v>133.5</v>
      </c>
      <c r="AE175">
        <f t="shared" si="10"/>
        <v>1765.6999999999998</v>
      </c>
      <c r="AF175">
        <f t="shared" si="11"/>
        <v>122.6</v>
      </c>
      <c r="AG175">
        <f t="shared" si="12"/>
        <v>115</v>
      </c>
      <c r="AH175">
        <f t="shared" si="13"/>
        <v>136.30000000000001</v>
      </c>
      <c r="AI175">
        <f t="shared" si="14"/>
        <v>1312.2</v>
      </c>
    </row>
    <row r="176" spans="1:35" x14ac:dyDescent="0.3">
      <c r="A176" t="s">
        <v>33</v>
      </c>
      <c r="B176">
        <v>2017</v>
      </c>
      <c r="C176" t="s">
        <v>42</v>
      </c>
      <c r="D176">
        <v>135.30000000000001</v>
      </c>
      <c r="E176">
        <v>142.19999999999999</v>
      </c>
      <c r="F176">
        <v>131.19999999999999</v>
      </c>
      <c r="G176">
        <v>140.6</v>
      </c>
      <c r="H176">
        <v>119</v>
      </c>
      <c r="I176">
        <v>141.5</v>
      </c>
      <c r="J176">
        <v>162.6</v>
      </c>
      <c r="K176">
        <v>132.30000000000001</v>
      </c>
      <c r="L176">
        <v>121.8</v>
      </c>
      <c r="M176">
        <v>136.30000000000001</v>
      </c>
      <c r="N176">
        <v>128.69999999999999</v>
      </c>
      <c r="O176">
        <v>148.1</v>
      </c>
      <c r="P176">
        <v>140.1</v>
      </c>
      <c r="Q176">
        <v>151.6</v>
      </c>
      <c r="R176">
        <v>142</v>
      </c>
      <c r="S176">
        <v>134.1</v>
      </c>
      <c r="T176">
        <v>140.80000000000001</v>
      </c>
      <c r="U176">
        <v>137.30000000000001</v>
      </c>
      <c r="V176">
        <v>132.19999999999999</v>
      </c>
      <c r="W176">
        <v>133.6</v>
      </c>
      <c r="X176">
        <v>131.30000000000001</v>
      </c>
      <c r="Y176">
        <v>117.8</v>
      </c>
      <c r="Z176">
        <v>128.4</v>
      </c>
      <c r="AA176">
        <v>137.9</v>
      </c>
      <c r="AB176">
        <v>126.2</v>
      </c>
      <c r="AC176">
        <v>127.7</v>
      </c>
      <c r="AD176">
        <v>136.1</v>
      </c>
      <c r="AE176">
        <f t="shared" si="10"/>
        <v>1779.6999999999998</v>
      </c>
      <c r="AF176">
        <f t="shared" si="11"/>
        <v>132.19999999999999</v>
      </c>
      <c r="AG176">
        <f t="shared" si="12"/>
        <v>117.8</v>
      </c>
      <c r="AH176">
        <f t="shared" si="13"/>
        <v>137.9</v>
      </c>
      <c r="AI176">
        <f t="shared" si="14"/>
        <v>1353.0000000000002</v>
      </c>
    </row>
    <row r="177" spans="1:35" x14ac:dyDescent="0.3">
      <c r="A177" t="s">
        <v>30</v>
      </c>
      <c r="B177">
        <v>2017</v>
      </c>
      <c r="C177" t="s">
        <v>44</v>
      </c>
      <c r="D177">
        <v>136.30000000000001</v>
      </c>
      <c r="E177">
        <v>142.5</v>
      </c>
      <c r="F177">
        <v>140.5</v>
      </c>
      <c r="G177">
        <v>141.5</v>
      </c>
      <c r="H177">
        <v>121.6</v>
      </c>
      <c r="I177">
        <v>147.30000000000001</v>
      </c>
      <c r="J177">
        <v>168</v>
      </c>
      <c r="K177">
        <v>135.80000000000001</v>
      </c>
      <c r="L177">
        <v>122.5</v>
      </c>
      <c r="M177">
        <v>136</v>
      </c>
      <c r="N177">
        <v>131.9</v>
      </c>
      <c r="O177">
        <v>151.4</v>
      </c>
      <c r="P177">
        <v>142.4</v>
      </c>
      <c r="Q177">
        <v>152.1</v>
      </c>
      <c r="R177">
        <v>148.19999999999999</v>
      </c>
      <c r="S177">
        <v>141.5</v>
      </c>
      <c r="T177">
        <v>147.30000000000001</v>
      </c>
      <c r="U177">
        <v>138.6</v>
      </c>
      <c r="V177">
        <v>141.1</v>
      </c>
      <c r="W177">
        <v>139.4</v>
      </c>
      <c r="X177">
        <v>135.80000000000001</v>
      </c>
      <c r="Y177">
        <v>121.6</v>
      </c>
      <c r="Z177">
        <v>133.69999999999999</v>
      </c>
      <c r="AA177">
        <v>141.5</v>
      </c>
      <c r="AB177">
        <v>128.1</v>
      </c>
      <c r="AC177">
        <v>131.69999999999999</v>
      </c>
      <c r="AD177">
        <v>140</v>
      </c>
      <c r="AE177">
        <f t="shared" si="10"/>
        <v>1817.7000000000003</v>
      </c>
      <c r="AF177">
        <f t="shared" si="11"/>
        <v>141.1</v>
      </c>
      <c r="AG177">
        <f t="shared" si="12"/>
        <v>121.6</v>
      </c>
      <c r="AH177">
        <f t="shared" si="13"/>
        <v>141.5</v>
      </c>
      <c r="AI177">
        <f t="shared" si="14"/>
        <v>1396.3999999999999</v>
      </c>
    </row>
    <row r="178" spans="1:35" x14ac:dyDescent="0.3">
      <c r="A178" t="s">
        <v>32</v>
      </c>
      <c r="B178">
        <v>2017</v>
      </c>
      <c r="C178" t="s">
        <v>44</v>
      </c>
      <c r="D178">
        <v>134.30000000000001</v>
      </c>
      <c r="E178">
        <v>142.1</v>
      </c>
      <c r="F178">
        <v>146.69999999999999</v>
      </c>
      <c r="G178">
        <v>139.5</v>
      </c>
      <c r="H178">
        <v>115.2</v>
      </c>
      <c r="I178">
        <v>136.4</v>
      </c>
      <c r="J178">
        <v>185.2</v>
      </c>
      <c r="K178">
        <v>122.2</v>
      </c>
      <c r="L178">
        <v>123.9</v>
      </c>
      <c r="M178">
        <v>138.30000000000001</v>
      </c>
      <c r="N178">
        <v>125.4</v>
      </c>
      <c r="O178">
        <v>146</v>
      </c>
      <c r="P178">
        <v>141.5</v>
      </c>
      <c r="Q178">
        <v>156.19999999999999</v>
      </c>
      <c r="R178">
        <v>135</v>
      </c>
      <c r="S178">
        <v>125.4</v>
      </c>
      <c r="T178">
        <v>133.5</v>
      </c>
      <c r="U178">
        <v>138.6</v>
      </c>
      <c r="V178">
        <v>125.7</v>
      </c>
      <c r="W178">
        <v>128.80000000000001</v>
      </c>
      <c r="X178">
        <v>127.4</v>
      </c>
      <c r="Y178">
        <v>115.3</v>
      </c>
      <c r="Z178">
        <v>125.1</v>
      </c>
      <c r="AA178">
        <v>136.6</v>
      </c>
      <c r="AB178">
        <v>124.9</v>
      </c>
      <c r="AC178">
        <v>124.9</v>
      </c>
      <c r="AD178">
        <v>134.80000000000001</v>
      </c>
      <c r="AE178">
        <f t="shared" si="10"/>
        <v>1796.7</v>
      </c>
      <c r="AF178">
        <f t="shared" si="11"/>
        <v>125.7</v>
      </c>
      <c r="AG178">
        <f t="shared" si="12"/>
        <v>115.3</v>
      </c>
      <c r="AH178">
        <f t="shared" si="13"/>
        <v>136.6</v>
      </c>
      <c r="AI178">
        <f t="shared" si="14"/>
        <v>1319.8000000000002</v>
      </c>
    </row>
    <row r="179" spans="1:35" x14ac:dyDescent="0.3">
      <c r="A179" t="s">
        <v>33</v>
      </c>
      <c r="B179">
        <v>2017</v>
      </c>
      <c r="C179" t="s">
        <v>44</v>
      </c>
      <c r="D179">
        <v>135.69999999999999</v>
      </c>
      <c r="E179">
        <v>142.4</v>
      </c>
      <c r="F179">
        <v>142.9</v>
      </c>
      <c r="G179">
        <v>140.80000000000001</v>
      </c>
      <c r="H179">
        <v>119.2</v>
      </c>
      <c r="I179">
        <v>142.19999999999999</v>
      </c>
      <c r="J179">
        <v>173.8</v>
      </c>
      <c r="K179">
        <v>131.19999999999999</v>
      </c>
      <c r="L179">
        <v>123</v>
      </c>
      <c r="M179">
        <v>136.80000000000001</v>
      </c>
      <c r="N179">
        <v>129.19999999999999</v>
      </c>
      <c r="O179">
        <v>148.9</v>
      </c>
      <c r="P179">
        <v>142.1</v>
      </c>
      <c r="Q179">
        <v>153.19999999999999</v>
      </c>
      <c r="R179">
        <v>143</v>
      </c>
      <c r="S179">
        <v>134.80000000000001</v>
      </c>
      <c r="T179">
        <v>141.80000000000001</v>
      </c>
      <c r="U179">
        <v>138.6</v>
      </c>
      <c r="V179">
        <v>135.30000000000001</v>
      </c>
      <c r="W179">
        <v>134.4</v>
      </c>
      <c r="X179">
        <v>132.6</v>
      </c>
      <c r="Y179">
        <v>118.3</v>
      </c>
      <c r="Z179">
        <v>128.9</v>
      </c>
      <c r="AA179">
        <v>138.6</v>
      </c>
      <c r="AB179">
        <v>126.8</v>
      </c>
      <c r="AC179">
        <v>128.4</v>
      </c>
      <c r="AD179">
        <v>137.6</v>
      </c>
      <c r="AE179">
        <f t="shared" si="10"/>
        <v>1808.2</v>
      </c>
      <c r="AF179">
        <f t="shared" si="11"/>
        <v>135.30000000000001</v>
      </c>
      <c r="AG179">
        <f t="shared" si="12"/>
        <v>118.3</v>
      </c>
      <c r="AH179">
        <f t="shared" si="13"/>
        <v>138.6</v>
      </c>
      <c r="AI179">
        <f t="shared" si="14"/>
        <v>1362.5</v>
      </c>
    </row>
    <row r="180" spans="1:35" x14ac:dyDescent="0.3">
      <c r="A180" t="s">
        <v>30</v>
      </c>
      <c r="B180">
        <v>2017</v>
      </c>
      <c r="C180" t="s">
        <v>45</v>
      </c>
      <c r="D180">
        <v>136.4</v>
      </c>
      <c r="E180">
        <v>143.69999999999999</v>
      </c>
      <c r="F180">
        <v>144.80000000000001</v>
      </c>
      <c r="G180">
        <v>141.9</v>
      </c>
      <c r="H180">
        <v>123.1</v>
      </c>
      <c r="I180">
        <v>147.19999999999999</v>
      </c>
      <c r="J180">
        <v>161</v>
      </c>
      <c r="K180">
        <v>133.80000000000001</v>
      </c>
      <c r="L180">
        <v>121.9</v>
      </c>
      <c r="M180">
        <v>135.80000000000001</v>
      </c>
      <c r="N180">
        <v>131.1</v>
      </c>
      <c r="O180">
        <v>151.4</v>
      </c>
      <c r="P180">
        <v>141.5</v>
      </c>
      <c r="Q180">
        <v>153.19999999999999</v>
      </c>
      <c r="R180">
        <v>148</v>
      </c>
      <c r="S180">
        <v>141.9</v>
      </c>
      <c r="T180">
        <v>147.19999999999999</v>
      </c>
      <c r="U180">
        <v>139.1</v>
      </c>
      <c r="V180">
        <v>142.6</v>
      </c>
      <c r="W180">
        <v>139.5</v>
      </c>
      <c r="X180">
        <v>136.1</v>
      </c>
      <c r="Y180">
        <v>122</v>
      </c>
      <c r="Z180">
        <v>133.4</v>
      </c>
      <c r="AA180">
        <v>141.1</v>
      </c>
      <c r="AB180">
        <v>127.8</v>
      </c>
      <c r="AC180">
        <v>131.9</v>
      </c>
      <c r="AD180">
        <v>139.80000000000001</v>
      </c>
      <c r="AE180">
        <f t="shared" si="10"/>
        <v>1813.6000000000001</v>
      </c>
      <c r="AF180">
        <f t="shared" si="11"/>
        <v>142.6</v>
      </c>
      <c r="AG180">
        <f t="shared" si="12"/>
        <v>122</v>
      </c>
      <c r="AH180">
        <f t="shared" si="13"/>
        <v>141.1</v>
      </c>
      <c r="AI180">
        <f t="shared" si="14"/>
        <v>1398.1000000000001</v>
      </c>
    </row>
    <row r="181" spans="1:35" x14ac:dyDescent="0.3">
      <c r="A181" t="s">
        <v>32</v>
      </c>
      <c r="B181">
        <v>2017</v>
      </c>
      <c r="C181" t="s">
        <v>45</v>
      </c>
      <c r="D181">
        <v>134.4</v>
      </c>
      <c r="E181">
        <v>142.6</v>
      </c>
      <c r="F181">
        <v>145.9</v>
      </c>
      <c r="G181">
        <v>139.5</v>
      </c>
      <c r="H181">
        <v>115.9</v>
      </c>
      <c r="I181">
        <v>135</v>
      </c>
      <c r="J181">
        <v>163.19999999999999</v>
      </c>
      <c r="K181">
        <v>119.8</v>
      </c>
      <c r="L181">
        <v>120.7</v>
      </c>
      <c r="M181">
        <v>139.69999999999999</v>
      </c>
      <c r="N181">
        <v>125.7</v>
      </c>
      <c r="O181">
        <v>146.30000000000001</v>
      </c>
      <c r="P181">
        <v>138.80000000000001</v>
      </c>
      <c r="Q181">
        <v>157</v>
      </c>
      <c r="R181">
        <v>135.6</v>
      </c>
      <c r="S181">
        <v>125.6</v>
      </c>
      <c r="T181">
        <v>134</v>
      </c>
      <c r="U181">
        <v>139.1</v>
      </c>
      <c r="V181">
        <v>126.8</v>
      </c>
      <c r="W181">
        <v>129.30000000000001</v>
      </c>
      <c r="X181">
        <v>128.19999999999999</v>
      </c>
      <c r="Y181">
        <v>115.3</v>
      </c>
      <c r="Z181">
        <v>125.6</v>
      </c>
      <c r="AA181">
        <v>136.69999999999999</v>
      </c>
      <c r="AB181">
        <v>124.6</v>
      </c>
      <c r="AC181">
        <v>125.1</v>
      </c>
      <c r="AD181">
        <v>134.1</v>
      </c>
      <c r="AE181">
        <f t="shared" si="10"/>
        <v>1767.5</v>
      </c>
      <c r="AF181">
        <f t="shared" si="11"/>
        <v>126.8</v>
      </c>
      <c r="AG181">
        <f t="shared" si="12"/>
        <v>115.3</v>
      </c>
      <c r="AH181">
        <f t="shared" si="13"/>
        <v>136.69999999999999</v>
      </c>
      <c r="AI181">
        <f t="shared" si="14"/>
        <v>1324.1</v>
      </c>
    </row>
    <row r="182" spans="1:35" x14ac:dyDescent="0.3">
      <c r="A182" t="s">
        <v>33</v>
      </c>
      <c r="B182">
        <v>2017</v>
      </c>
      <c r="C182" t="s">
        <v>45</v>
      </c>
      <c r="D182">
        <v>135.80000000000001</v>
      </c>
      <c r="E182">
        <v>143.30000000000001</v>
      </c>
      <c r="F182">
        <v>145.19999999999999</v>
      </c>
      <c r="G182">
        <v>141</v>
      </c>
      <c r="H182">
        <v>120.5</v>
      </c>
      <c r="I182">
        <v>141.5</v>
      </c>
      <c r="J182">
        <v>161.69999999999999</v>
      </c>
      <c r="K182">
        <v>129.1</v>
      </c>
      <c r="L182">
        <v>121.5</v>
      </c>
      <c r="M182">
        <v>137.1</v>
      </c>
      <c r="N182">
        <v>128.80000000000001</v>
      </c>
      <c r="O182">
        <v>149</v>
      </c>
      <c r="P182">
        <v>140.5</v>
      </c>
      <c r="Q182">
        <v>154.19999999999999</v>
      </c>
      <c r="R182">
        <v>143.1</v>
      </c>
      <c r="S182">
        <v>135.1</v>
      </c>
      <c r="T182">
        <v>142</v>
      </c>
      <c r="U182">
        <v>139.1</v>
      </c>
      <c r="V182">
        <v>136.6</v>
      </c>
      <c r="W182">
        <v>134.69999999999999</v>
      </c>
      <c r="X182">
        <v>133.1</v>
      </c>
      <c r="Y182">
        <v>118.5</v>
      </c>
      <c r="Z182">
        <v>129</v>
      </c>
      <c r="AA182">
        <v>138.5</v>
      </c>
      <c r="AB182">
        <v>126.5</v>
      </c>
      <c r="AC182">
        <v>128.6</v>
      </c>
      <c r="AD182">
        <v>137.19999999999999</v>
      </c>
      <c r="AE182">
        <f t="shared" si="10"/>
        <v>1794.9999999999998</v>
      </c>
      <c r="AF182">
        <f t="shared" si="11"/>
        <v>136.6</v>
      </c>
      <c r="AG182">
        <f t="shared" si="12"/>
        <v>118.5</v>
      </c>
      <c r="AH182">
        <f t="shared" si="13"/>
        <v>138.5</v>
      </c>
      <c r="AI182">
        <f t="shared" si="14"/>
        <v>1365.4</v>
      </c>
    </row>
    <row r="183" spans="1:35" x14ac:dyDescent="0.3">
      <c r="A183" t="s">
        <v>30</v>
      </c>
      <c r="B183">
        <v>2018</v>
      </c>
      <c r="C183" t="s">
        <v>31</v>
      </c>
      <c r="D183">
        <v>136.6</v>
      </c>
      <c r="E183">
        <v>144.4</v>
      </c>
      <c r="F183">
        <v>143.80000000000001</v>
      </c>
      <c r="G183">
        <v>142</v>
      </c>
      <c r="H183">
        <v>123.2</v>
      </c>
      <c r="I183">
        <v>147.9</v>
      </c>
      <c r="J183">
        <v>152.1</v>
      </c>
      <c r="K183">
        <v>131.80000000000001</v>
      </c>
      <c r="L183">
        <v>119.5</v>
      </c>
      <c r="M183">
        <v>136</v>
      </c>
      <c r="N183">
        <v>131.19999999999999</v>
      </c>
      <c r="O183">
        <v>151.80000000000001</v>
      </c>
      <c r="P183">
        <v>140.4</v>
      </c>
      <c r="Q183">
        <v>153.6</v>
      </c>
      <c r="R183">
        <v>148.30000000000001</v>
      </c>
      <c r="S183">
        <v>142.30000000000001</v>
      </c>
      <c r="T183">
        <v>147.5</v>
      </c>
      <c r="U183">
        <v>140.4</v>
      </c>
      <c r="V183">
        <v>142.30000000000001</v>
      </c>
      <c r="W183">
        <v>139.80000000000001</v>
      </c>
      <c r="X183">
        <v>136</v>
      </c>
      <c r="Y183">
        <v>122.7</v>
      </c>
      <c r="Z183">
        <v>134.30000000000001</v>
      </c>
      <c r="AA183">
        <v>141.6</v>
      </c>
      <c r="AB183">
        <v>128.6</v>
      </c>
      <c r="AC183">
        <v>132.30000000000001</v>
      </c>
      <c r="AD183">
        <v>139.30000000000001</v>
      </c>
      <c r="AE183">
        <f t="shared" si="10"/>
        <v>1800.7</v>
      </c>
      <c r="AF183">
        <f t="shared" si="11"/>
        <v>142.30000000000001</v>
      </c>
      <c r="AG183">
        <f t="shared" si="12"/>
        <v>122.7</v>
      </c>
      <c r="AH183">
        <f t="shared" si="13"/>
        <v>141.6</v>
      </c>
      <c r="AI183">
        <f t="shared" si="14"/>
        <v>1403.1</v>
      </c>
    </row>
    <row r="184" spans="1:35" x14ac:dyDescent="0.3">
      <c r="A184" t="s">
        <v>32</v>
      </c>
      <c r="B184">
        <v>2018</v>
      </c>
      <c r="C184" t="s">
        <v>31</v>
      </c>
      <c r="D184">
        <v>134.6</v>
      </c>
      <c r="E184">
        <v>143.69999999999999</v>
      </c>
      <c r="F184">
        <v>143.6</v>
      </c>
      <c r="G184">
        <v>139.6</v>
      </c>
      <c r="H184">
        <v>116.4</v>
      </c>
      <c r="I184">
        <v>133.80000000000001</v>
      </c>
      <c r="J184">
        <v>150.5</v>
      </c>
      <c r="K184">
        <v>118.4</v>
      </c>
      <c r="L184">
        <v>117.3</v>
      </c>
      <c r="M184">
        <v>140.5</v>
      </c>
      <c r="N184">
        <v>125.9</v>
      </c>
      <c r="O184">
        <v>146.80000000000001</v>
      </c>
      <c r="P184">
        <v>137.19999999999999</v>
      </c>
      <c r="Q184">
        <v>157.69999999999999</v>
      </c>
      <c r="R184">
        <v>136</v>
      </c>
      <c r="S184">
        <v>125.9</v>
      </c>
      <c r="T184">
        <v>134.4</v>
      </c>
      <c r="U184">
        <v>140.4</v>
      </c>
      <c r="V184">
        <v>127.3</v>
      </c>
      <c r="W184">
        <v>129.5</v>
      </c>
      <c r="X184">
        <v>129</v>
      </c>
      <c r="Y184">
        <v>116.3</v>
      </c>
      <c r="Z184">
        <v>126.2</v>
      </c>
      <c r="AA184">
        <v>137.1</v>
      </c>
      <c r="AB184">
        <v>125.5</v>
      </c>
      <c r="AC184">
        <v>125.8</v>
      </c>
      <c r="AD184">
        <v>134.1</v>
      </c>
      <c r="AE184">
        <f t="shared" si="10"/>
        <v>1748.3000000000002</v>
      </c>
      <c r="AF184">
        <f t="shared" si="11"/>
        <v>127.3</v>
      </c>
      <c r="AG184">
        <f t="shared" si="12"/>
        <v>116.3</v>
      </c>
      <c r="AH184">
        <f t="shared" si="13"/>
        <v>137.1</v>
      </c>
      <c r="AI184">
        <f t="shared" si="14"/>
        <v>1330.3999999999999</v>
      </c>
    </row>
    <row r="185" spans="1:35" x14ac:dyDescent="0.3">
      <c r="A185" t="s">
        <v>33</v>
      </c>
      <c r="B185">
        <v>2018</v>
      </c>
      <c r="C185" t="s">
        <v>31</v>
      </c>
      <c r="D185">
        <v>136</v>
      </c>
      <c r="E185">
        <v>144.19999999999999</v>
      </c>
      <c r="F185">
        <v>143.69999999999999</v>
      </c>
      <c r="G185">
        <v>141.1</v>
      </c>
      <c r="H185">
        <v>120.7</v>
      </c>
      <c r="I185">
        <v>141.30000000000001</v>
      </c>
      <c r="J185">
        <v>151.6</v>
      </c>
      <c r="K185">
        <v>127.3</v>
      </c>
      <c r="L185">
        <v>118.8</v>
      </c>
      <c r="M185">
        <v>137.5</v>
      </c>
      <c r="N185">
        <v>129</v>
      </c>
      <c r="O185">
        <v>149.5</v>
      </c>
      <c r="P185">
        <v>139.19999999999999</v>
      </c>
      <c r="Q185">
        <v>154.69999999999999</v>
      </c>
      <c r="R185">
        <v>143.5</v>
      </c>
      <c r="S185">
        <v>135.5</v>
      </c>
      <c r="T185">
        <v>142.30000000000001</v>
      </c>
      <c r="U185">
        <v>140.4</v>
      </c>
      <c r="V185">
        <v>136.6</v>
      </c>
      <c r="W185">
        <v>134.9</v>
      </c>
      <c r="X185">
        <v>133.30000000000001</v>
      </c>
      <c r="Y185">
        <v>119.3</v>
      </c>
      <c r="Z185">
        <v>129.69999999999999</v>
      </c>
      <c r="AA185">
        <v>139</v>
      </c>
      <c r="AB185">
        <v>127.3</v>
      </c>
      <c r="AC185">
        <v>129.1</v>
      </c>
      <c r="AD185">
        <v>136.9</v>
      </c>
      <c r="AE185">
        <f t="shared" si="10"/>
        <v>1779.9</v>
      </c>
      <c r="AF185">
        <f t="shared" si="11"/>
        <v>136.6</v>
      </c>
      <c r="AG185">
        <f t="shared" si="12"/>
        <v>119.3</v>
      </c>
      <c r="AH185">
        <f t="shared" si="13"/>
        <v>139</v>
      </c>
      <c r="AI185">
        <f t="shared" si="14"/>
        <v>1370.6999999999998</v>
      </c>
    </row>
    <row r="186" spans="1:35" x14ac:dyDescent="0.3">
      <c r="A186" t="s">
        <v>30</v>
      </c>
      <c r="B186">
        <v>2018</v>
      </c>
      <c r="C186" t="s">
        <v>34</v>
      </c>
      <c r="D186">
        <v>136.4</v>
      </c>
      <c r="E186">
        <v>143.69999999999999</v>
      </c>
      <c r="F186">
        <v>140.6</v>
      </c>
      <c r="G186">
        <v>141.5</v>
      </c>
      <c r="H186">
        <v>122.9</v>
      </c>
      <c r="I186">
        <v>149.4</v>
      </c>
      <c r="J186">
        <v>142.4</v>
      </c>
      <c r="K186">
        <v>130.19999999999999</v>
      </c>
      <c r="L186">
        <v>117.9</v>
      </c>
      <c r="M186">
        <v>135.6</v>
      </c>
      <c r="N186">
        <v>130.5</v>
      </c>
      <c r="O186">
        <v>151.69999999999999</v>
      </c>
      <c r="P186">
        <v>138.69999999999999</v>
      </c>
      <c r="Q186">
        <v>153.30000000000001</v>
      </c>
      <c r="R186">
        <v>148.69999999999999</v>
      </c>
      <c r="S186">
        <v>142.4</v>
      </c>
      <c r="T186">
        <v>147.80000000000001</v>
      </c>
      <c r="U186">
        <v>141.30000000000001</v>
      </c>
      <c r="V186">
        <v>142.4</v>
      </c>
      <c r="W186">
        <v>139.9</v>
      </c>
      <c r="X186">
        <v>136.19999999999999</v>
      </c>
      <c r="Y186">
        <v>123.3</v>
      </c>
      <c r="Z186">
        <v>134.30000000000001</v>
      </c>
      <c r="AA186">
        <v>141.5</v>
      </c>
      <c r="AB186">
        <v>128.80000000000001</v>
      </c>
      <c r="AC186">
        <v>132.5</v>
      </c>
      <c r="AD186">
        <v>138.5</v>
      </c>
      <c r="AE186">
        <f t="shared" si="10"/>
        <v>1781.5</v>
      </c>
      <c r="AF186">
        <f t="shared" si="11"/>
        <v>142.4</v>
      </c>
      <c r="AG186">
        <f t="shared" si="12"/>
        <v>123.3</v>
      </c>
      <c r="AH186">
        <f t="shared" si="13"/>
        <v>141.5</v>
      </c>
      <c r="AI186">
        <f t="shared" si="14"/>
        <v>1405.1999999999998</v>
      </c>
    </row>
    <row r="187" spans="1:35" x14ac:dyDescent="0.3">
      <c r="A187" t="s">
        <v>32</v>
      </c>
      <c r="B187">
        <v>2018</v>
      </c>
      <c r="C187" t="s">
        <v>34</v>
      </c>
      <c r="D187">
        <v>134.80000000000001</v>
      </c>
      <c r="E187">
        <v>143</v>
      </c>
      <c r="F187">
        <v>139.9</v>
      </c>
      <c r="G187">
        <v>139.9</v>
      </c>
      <c r="H187">
        <v>116.2</v>
      </c>
      <c r="I187">
        <v>135.5</v>
      </c>
      <c r="J187">
        <v>136.9</v>
      </c>
      <c r="K187">
        <v>117</v>
      </c>
      <c r="L187">
        <v>115.4</v>
      </c>
      <c r="M187">
        <v>140.69999999999999</v>
      </c>
      <c r="N187">
        <v>125.9</v>
      </c>
      <c r="O187">
        <v>147.1</v>
      </c>
      <c r="P187">
        <v>135.6</v>
      </c>
      <c r="Q187">
        <v>159.30000000000001</v>
      </c>
      <c r="R187">
        <v>136.30000000000001</v>
      </c>
      <c r="S187">
        <v>126.1</v>
      </c>
      <c r="T187">
        <v>134.69999999999999</v>
      </c>
      <c r="U187">
        <v>141.30000000000001</v>
      </c>
      <c r="V187">
        <v>127.3</v>
      </c>
      <c r="W187">
        <v>129.9</v>
      </c>
      <c r="X187">
        <v>129.80000000000001</v>
      </c>
      <c r="Y187">
        <v>117.4</v>
      </c>
      <c r="Z187">
        <v>126.5</v>
      </c>
      <c r="AA187">
        <v>137.19999999999999</v>
      </c>
      <c r="AB187">
        <v>126.2</v>
      </c>
      <c r="AC187">
        <v>126.5</v>
      </c>
      <c r="AD187">
        <v>134</v>
      </c>
      <c r="AE187">
        <f t="shared" si="10"/>
        <v>1727.9</v>
      </c>
      <c r="AF187">
        <f t="shared" si="11"/>
        <v>127.3</v>
      </c>
      <c r="AG187">
        <f t="shared" si="12"/>
        <v>117.4</v>
      </c>
      <c r="AH187">
        <f t="shared" si="13"/>
        <v>137.19999999999999</v>
      </c>
      <c r="AI187">
        <f t="shared" si="14"/>
        <v>1336.6000000000001</v>
      </c>
    </row>
    <row r="188" spans="1:35" x14ac:dyDescent="0.3">
      <c r="A188" t="s">
        <v>33</v>
      </c>
      <c r="B188">
        <v>2018</v>
      </c>
      <c r="C188" t="s">
        <v>34</v>
      </c>
      <c r="D188">
        <v>135.9</v>
      </c>
      <c r="E188">
        <v>143.5</v>
      </c>
      <c r="F188">
        <v>140.30000000000001</v>
      </c>
      <c r="G188">
        <v>140.9</v>
      </c>
      <c r="H188">
        <v>120.4</v>
      </c>
      <c r="I188">
        <v>142.9</v>
      </c>
      <c r="J188">
        <v>140.5</v>
      </c>
      <c r="K188">
        <v>125.8</v>
      </c>
      <c r="L188">
        <v>117.1</v>
      </c>
      <c r="M188">
        <v>137.30000000000001</v>
      </c>
      <c r="N188">
        <v>128.6</v>
      </c>
      <c r="O188">
        <v>149.6</v>
      </c>
      <c r="P188">
        <v>137.6</v>
      </c>
      <c r="Q188">
        <v>154.9</v>
      </c>
      <c r="R188">
        <v>143.80000000000001</v>
      </c>
      <c r="S188">
        <v>135.6</v>
      </c>
      <c r="T188">
        <v>142.6</v>
      </c>
      <c r="U188">
        <v>141.30000000000001</v>
      </c>
      <c r="V188">
        <v>136.69999999999999</v>
      </c>
      <c r="W188">
        <v>135.19999999999999</v>
      </c>
      <c r="X188">
        <v>133.80000000000001</v>
      </c>
      <c r="Y188">
        <v>120.2</v>
      </c>
      <c r="Z188">
        <v>129.9</v>
      </c>
      <c r="AA188">
        <v>139</v>
      </c>
      <c r="AB188">
        <v>127.7</v>
      </c>
      <c r="AC188">
        <v>129.6</v>
      </c>
      <c r="AD188">
        <v>136.4</v>
      </c>
      <c r="AE188">
        <f t="shared" si="10"/>
        <v>1760.3999999999996</v>
      </c>
      <c r="AF188">
        <f t="shared" si="11"/>
        <v>136.69999999999999</v>
      </c>
      <c r="AG188">
        <f t="shared" si="12"/>
        <v>120.2</v>
      </c>
      <c r="AH188">
        <f t="shared" si="13"/>
        <v>139</v>
      </c>
      <c r="AI188">
        <f t="shared" si="14"/>
        <v>1374.4</v>
      </c>
    </row>
    <row r="189" spans="1:35" x14ac:dyDescent="0.3">
      <c r="A189" t="s">
        <v>30</v>
      </c>
      <c r="B189">
        <v>2018</v>
      </c>
      <c r="C189" t="s">
        <v>35</v>
      </c>
      <c r="D189">
        <v>136.80000000000001</v>
      </c>
      <c r="E189">
        <v>143.80000000000001</v>
      </c>
      <c r="F189">
        <v>140</v>
      </c>
      <c r="G189">
        <v>142</v>
      </c>
      <c r="H189">
        <v>123.2</v>
      </c>
      <c r="I189">
        <v>152.9</v>
      </c>
      <c r="J189">
        <v>138</v>
      </c>
      <c r="K189">
        <v>129.30000000000001</v>
      </c>
      <c r="L189">
        <v>117.1</v>
      </c>
      <c r="M189">
        <v>136.30000000000001</v>
      </c>
      <c r="N189">
        <v>131.19999999999999</v>
      </c>
      <c r="O189">
        <v>152.80000000000001</v>
      </c>
      <c r="P189">
        <v>138.6</v>
      </c>
      <c r="Q189">
        <v>155.1</v>
      </c>
      <c r="R189">
        <v>149.19999999999999</v>
      </c>
      <c r="S189">
        <v>143</v>
      </c>
      <c r="T189">
        <v>148.30000000000001</v>
      </c>
      <c r="U189">
        <v>142</v>
      </c>
      <c r="V189">
        <v>142.6</v>
      </c>
      <c r="W189">
        <v>139.9</v>
      </c>
      <c r="X189">
        <v>136.69999999999999</v>
      </c>
      <c r="Y189">
        <v>124.6</v>
      </c>
      <c r="Z189">
        <v>135.1</v>
      </c>
      <c r="AA189">
        <v>142.69999999999999</v>
      </c>
      <c r="AB189">
        <v>129.30000000000001</v>
      </c>
      <c r="AC189">
        <v>133.30000000000001</v>
      </c>
      <c r="AD189">
        <v>138.69999999999999</v>
      </c>
      <c r="AE189">
        <f t="shared" si="10"/>
        <v>1781.9999999999998</v>
      </c>
      <c r="AF189">
        <f t="shared" si="11"/>
        <v>142.6</v>
      </c>
      <c r="AG189">
        <f t="shared" si="12"/>
        <v>124.6</v>
      </c>
      <c r="AH189">
        <f t="shared" si="13"/>
        <v>142.69999999999999</v>
      </c>
      <c r="AI189">
        <f t="shared" si="14"/>
        <v>1411.8999999999996</v>
      </c>
    </row>
    <row r="190" spans="1:35" x14ac:dyDescent="0.3">
      <c r="A190" t="s">
        <v>32</v>
      </c>
      <c r="B190">
        <v>2018</v>
      </c>
      <c r="C190" t="s">
        <v>35</v>
      </c>
      <c r="D190">
        <v>135</v>
      </c>
      <c r="E190">
        <v>143.1</v>
      </c>
      <c r="F190">
        <v>135.5</v>
      </c>
      <c r="G190">
        <v>139.9</v>
      </c>
      <c r="H190">
        <v>116.5</v>
      </c>
      <c r="I190">
        <v>138.5</v>
      </c>
      <c r="J190">
        <v>128</v>
      </c>
      <c r="K190">
        <v>115.5</v>
      </c>
      <c r="L190">
        <v>114.2</v>
      </c>
      <c r="M190">
        <v>140.69999999999999</v>
      </c>
      <c r="N190">
        <v>126.2</v>
      </c>
      <c r="O190">
        <v>147.6</v>
      </c>
      <c r="P190">
        <v>134.80000000000001</v>
      </c>
      <c r="Q190">
        <v>159.69999999999999</v>
      </c>
      <c r="R190">
        <v>136.69999999999999</v>
      </c>
      <c r="S190">
        <v>126.7</v>
      </c>
      <c r="T190">
        <v>135.19999999999999</v>
      </c>
      <c r="U190">
        <v>142</v>
      </c>
      <c r="V190">
        <v>126.4</v>
      </c>
      <c r="W190">
        <v>130.80000000000001</v>
      </c>
      <c r="X190">
        <v>130.5</v>
      </c>
      <c r="Y190">
        <v>117.8</v>
      </c>
      <c r="Z190">
        <v>126.8</v>
      </c>
      <c r="AA190">
        <v>137.80000000000001</v>
      </c>
      <c r="AB190">
        <v>126.7</v>
      </c>
      <c r="AC190">
        <v>127.1</v>
      </c>
      <c r="AD190">
        <v>134</v>
      </c>
      <c r="AE190">
        <f t="shared" si="10"/>
        <v>1715.5</v>
      </c>
      <c r="AF190">
        <f t="shared" si="11"/>
        <v>126.4</v>
      </c>
      <c r="AG190">
        <f t="shared" si="12"/>
        <v>117.8</v>
      </c>
      <c r="AH190">
        <f t="shared" si="13"/>
        <v>137.80000000000001</v>
      </c>
      <c r="AI190">
        <f t="shared" si="14"/>
        <v>1342.1999999999998</v>
      </c>
    </row>
    <row r="191" spans="1:35" x14ac:dyDescent="0.3">
      <c r="A191" t="s">
        <v>33</v>
      </c>
      <c r="B191">
        <v>2018</v>
      </c>
      <c r="C191" t="s">
        <v>35</v>
      </c>
      <c r="D191">
        <v>136.19999999999999</v>
      </c>
      <c r="E191">
        <v>143.6</v>
      </c>
      <c r="F191">
        <v>138.30000000000001</v>
      </c>
      <c r="G191">
        <v>141.19999999999999</v>
      </c>
      <c r="H191">
        <v>120.7</v>
      </c>
      <c r="I191">
        <v>146.19999999999999</v>
      </c>
      <c r="J191">
        <v>134.6</v>
      </c>
      <c r="K191">
        <v>124.6</v>
      </c>
      <c r="L191">
        <v>116.1</v>
      </c>
      <c r="M191">
        <v>137.80000000000001</v>
      </c>
      <c r="N191">
        <v>129.1</v>
      </c>
      <c r="O191">
        <v>150.4</v>
      </c>
      <c r="P191">
        <v>137.19999999999999</v>
      </c>
      <c r="Q191">
        <v>156.30000000000001</v>
      </c>
      <c r="R191">
        <v>144.30000000000001</v>
      </c>
      <c r="S191">
        <v>136.19999999999999</v>
      </c>
      <c r="T191">
        <v>143.1</v>
      </c>
      <c r="U191">
        <v>142</v>
      </c>
      <c r="V191">
        <v>136.5</v>
      </c>
      <c r="W191">
        <v>135.6</v>
      </c>
      <c r="X191">
        <v>134.30000000000001</v>
      </c>
      <c r="Y191">
        <v>121</v>
      </c>
      <c r="Z191">
        <v>130.4</v>
      </c>
      <c r="AA191">
        <v>139.80000000000001</v>
      </c>
      <c r="AB191">
        <v>128.19999999999999</v>
      </c>
      <c r="AC191">
        <v>130.30000000000001</v>
      </c>
      <c r="AD191">
        <v>136.5</v>
      </c>
      <c r="AE191">
        <f t="shared" si="10"/>
        <v>1756</v>
      </c>
      <c r="AF191">
        <f t="shared" si="11"/>
        <v>136.5</v>
      </c>
      <c r="AG191">
        <f t="shared" si="12"/>
        <v>121</v>
      </c>
      <c r="AH191">
        <f t="shared" si="13"/>
        <v>139.80000000000001</v>
      </c>
      <c r="AI191">
        <f t="shared" si="14"/>
        <v>1380.7</v>
      </c>
    </row>
    <row r="192" spans="1:35" x14ac:dyDescent="0.3">
      <c r="A192" t="s">
        <v>30</v>
      </c>
      <c r="B192">
        <v>2018</v>
      </c>
      <c r="C192" t="s">
        <v>36</v>
      </c>
      <c r="D192">
        <v>137.1</v>
      </c>
      <c r="E192">
        <v>144.5</v>
      </c>
      <c r="F192">
        <v>135.9</v>
      </c>
      <c r="G192">
        <v>142.4</v>
      </c>
      <c r="H192">
        <v>123.5</v>
      </c>
      <c r="I192">
        <v>156.4</v>
      </c>
      <c r="J192">
        <v>135.1</v>
      </c>
      <c r="K192">
        <v>128.4</v>
      </c>
      <c r="L192">
        <v>115.2</v>
      </c>
      <c r="M192">
        <v>137.19999999999999</v>
      </c>
      <c r="N192">
        <v>131.9</v>
      </c>
      <c r="O192">
        <v>153.80000000000001</v>
      </c>
      <c r="P192">
        <v>138.6</v>
      </c>
      <c r="Q192">
        <v>156.1</v>
      </c>
      <c r="R192">
        <v>150.1</v>
      </c>
      <c r="S192">
        <v>143.30000000000001</v>
      </c>
      <c r="T192">
        <v>149.1</v>
      </c>
      <c r="U192">
        <v>142.9</v>
      </c>
      <c r="V192">
        <v>143.80000000000001</v>
      </c>
      <c r="W192">
        <v>140.9</v>
      </c>
      <c r="X192">
        <v>137.6</v>
      </c>
      <c r="Y192">
        <v>125.3</v>
      </c>
      <c r="Z192">
        <v>136</v>
      </c>
      <c r="AA192">
        <v>143.69999999999999</v>
      </c>
      <c r="AB192">
        <v>130.4</v>
      </c>
      <c r="AC192">
        <v>134.19999999999999</v>
      </c>
      <c r="AD192">
        <v>139.1</v>
      </c>
      <c r="AE192">
        <f t="shared" si="10"/>
        <v>1780</v>
      </c>
      <c r="AF192">
        <f t="shared" si="11"/>
        <v>143.80000000000001</v>
      </c>
      <c r="AG192">
        <f t="shared" si="12"/>
        <v>125.3</v>
      </c>
      <c r="AH192">
        <f t="shared" si="13"/>
        <v>143.69999999999999</v>
      </c>
      <c r="AI192">
        <f t="shared" si="14"/>
        <v>1420.6000000000001</v>
      </c>
    </row>
    <row r="193" spans="1:35" x14ac:dyDescent="0.3">
      <c r="A193" t="s">
        <v>32</v>
      </c>
      <c r="B193">
        <v>2018</v>
      </c>
      <c r="C193" t="s">
        <v>36</v>
      </c>
      <c r="D193">
        <v>135</v>
      </c>
      <c r="E193">
        <v>144.30000000000001</v>
      </c>
      <c r="F193">
        <v>130.80000000000001</v>
      </c>
      <c r="G193">
        <v>140.30000000000001</v>
      </c>
      <c r="H193">
        <v>116.6</v>
      </c>
      <c r="I193">
        <v>150.1</v>
      </c>
      <c r="J193">
        <v>127.6</v>
      </c>
      <c r="K193">
        <v>114</v>
      </c>
      <c r="L193">
        <v>110.6</v>
      </c>
      <c r="M193">
        <v>140.19999999999999</v>
      </c>
      <c r="N193">
        <v>126.5</v>
      </c>
      <c r="O193">
        <v>148.30000000000001</v>
      </c>
      <c r="P193">
        <v>135.69999999999999</v>
      </c>
      <c r="Q193">
        <v>159.19999999999999</v>
      </c>
      <c r="R193">
        <v>137.80000000000001</v>
      </c>
      <c r="S193">
        <v>127.4</v>
      </c>
      <c r="T193">
        <v>136.19999999999999</v>
      </c>
      <c r="U193">
        <v>142.9</v>
      </c>
      <c r="V193">
        <v>124.6</v>
      </c>
      <c r="W193">
        <v>131.80000000000001</v>
      </c>
      <c r="X193">
        <v>131.30000000000001</v>
      </c>
      <c r="Y193">
        <v>118.9</v>
      </c>
      <c r="Z193">
        <v>127.6</v>
      </c>
      <c r="AA193">
        <v>139.69999999999999</v>
      </c>
      <c r="AB193">
        <v>127.6</v>
      </c>
      <c r="AC193">
        <v>128.19999999999999</v>
      </c>
      <c r="AD193">
        <v>134.80000000000001</v>
      </c>
      <c r="AE193">
        <f t="shared" si="10"/>
        <v>1720.0000000000002</v>
      </c>
      <c r="AF193">
        <f t="shared" si="11"/>
        <v>124.6</v>
      </c>
      <c r="AG193">
        <f t="shared" si="12"/>
        <v>118.9</v>
      </c>
      <c r="AH193">
        <f t="shared" si="13"/>
        <v>139.69999999999999</v>
      </c>
      <c r="AI193">
        <f t="shared" si="14"/>
        <v>1349.9999999999998</v>
      </c>
    </row>
    <row r="194" spans="1:35" x14ac:dyDescent="0.3">
      <c r="A194" t="s">
        <v>33</v>
      </c>
      <c r="B194">
        <v>2018</v>
      </c>
      <c r="C194" t="s">
        <v>36</v>
      </c>
      <c r="D194">
        <v>136.4</v>
      </c>
      <c r="E194">
        <v>144.4</v>
      </c>
      <c r="F194">
        <v>133.9</v>
      </c>
      <c r="G194">
        <v>141.6</v>
      </c>
      <c r="H194">
        <v>121</v>
      </c>
      <c r="I194">
        <v>153.5</v>
      </c>
      <c r="J194">
        <v>132.6</v>
      </c>
      <c r="K194">
        <v>123.5</v>
      </c>
      <c r="L194">
        <v>113.7</v>
      </c>
      <c r="M194">
        <v>138.19999999999999</v>
      </c>
      <c r="N194">
        <v>129.6</v>
      </c>
      <c r="O194">
        <v>151.19999999999999</v>
      </c>
      <c r="P194">
        <v>137.5</v>
      </c>
      <c r="Q194">
        <v>156.9</v>
      </c>
      <c r="R194">
        <v>145.30000000000001</v>
      </c>
      <c r="S194">
        <v>136.69999999999999</v>
      </c>
      <c r="T194">
        <v>144</v>
      </c>
      <c r="U194">
        <v>142.9</v>
      </c>
      <c r="V194">
        <v>136.5</v>
      </c>
      <c r="W194">
        <v>136.6</v>
      </c>
      <c r="X194">
        <v>135.19999999999999</v>
      </c>
      <c r="Y194">
        <v>121.9</v>
      </c>
      <c r="Z194">
        <v>131.30000000000001</v>
      </c>
      <c r="AA194">
        <v>141.4</v>
      </c>
      <c r="AB194">
        <v>129.19999999999999</v>
      </c>
      <c r="AC194">
        <v>131.30000000000001</v>
      </c>
      <c r="AD194">
        <v>137.1</v>
      </c>
      <c r="AE194">
        <f t="shared" si="10"/>
        <v>1757.1000000000001</v>
      </c>
      <c r="AF194">
        <f t="shared" si="11"/>
        <v>136.5</v>
      </c>
      <c r="AG194">
        <f t="shared" si="12"/>
        <v>121.9</v>
      </c>
      <c r="AH194">
        <f t="shared" si="13"/>
        <v>141.4</v>
      </c>
      <c r="AI194">
        <f t="shared" si="14"/>
        <v>1389.4</v>
      </c>
    </row>
    <row r="195" spans="1:35" x14ac:dyDescent="0.3">
      <c r="A195" t="s">
        <v>30</v>
      </c>
      <c r="B195">
        <v>2018</v>
      </c>
      <c r="C195" t="s">
        <v>37</v>
      </c>
      <c r="D195">
        <v>137.4</v>
      </c>
      <c r="E195">
        <v>145.69999999999999</v>
      </c>
      <c r="F195">
        <v>135.5</v>
      </c>
      <c r="G195">
        <v>142.9</v>
      </c>
      <c r="H195">
        <v>123.6</v>
      </c>
      <c r="I195">
        <v>157.5</v>
      </c>
      <c r="J195">
        <v>137.80000000000001</v>
      </c>
      <c r="K195">
        <v>127.2</v>
      </c>
      <c r="L195">
        <v>111.8</v>
      </c>
      <c r="M195">
        <v>137.4</v>
      </c>
      <c r="N195">
        <v>132.19999999999999</v>
      </c>
      <c r="O195">
        <v>154.30000000000001</v>
      </c>
      <c r="P195">
        <v>139.1</v>
      </c>
      <c r="Q195">
        <v>157</v>
      </c>
      <c r="R195">
        <v>150.80000000000001</v>
      </c>
      <c r="S195">
        <v>144.1</v>
      </c>
      <c r="T195">
        <v>149.80000000000001</v>
      </c>
      <c r="U195">
        <v>143.19999999999999</v>
      </c>
      <c r="V195">
        <v>144.30000000000001</v>
      </c>
      <c r="W195">
        <v>141.80000000000001</v>
      </c>
      <c r="X195">
        <v>138.4</v>
      </c>
      <c r="Y195">
        <v>126.4</v>
      </c>
      <c r="Z195">
        <v>136.80000000000001</v>
      </c>
      <c r="AA195">
        <v>144.4</v>
      </c>
      <c r="AB195">
        <v>131.19999999999999</v>
      </c>
      <c r="AC195">
        <v>135.1</v>
      </c>
      <c r="AD195">
        <v>139.80000000000001</v>
      </c>
      <c r="AE195">
        <f t="shared" si="10"/>
        <v>1782.4</v>
      </c>
      <c r="AF195">
        <f t="shared" si="11"/>
        <v>144.30000000000001</v>
      </c>
      <c r="AG195">
        <f t="shared" si="12"/>
        <v>126.4</v>
      </c>
      <c r="AH195">
        <f t="shared" si="13"/>
        <v>144.4</v>
      </c>
      <c r="AI195">
        <f t="shared" si="14"/>
        <v>1428.2</v>
      </c>
    </row>
    <row r="196" spans="1:35" x14ac:dyDescent="0.3">
      <c r="A196" t="s">
        <v>32</v>
      </c>
      <c r="B196">
        <v>2018</v>
      </c>
      <c r="C196" t="s">
        <v>37</v>
      </c>
      <c r="D196">
        <v>135</v>
      </c>
      <c r="E196">
        <v>148.19999999999999</v>
      </c>
      <c r="F196">
        <v>130.5</v>
      </c>
      <c r="G196">
        <v>140.69999999999999</v>
      </c>
      <c r="H196">
        <v>116.4</v>
      </c>
      <c r="I196">
        <v>151.30000000000001</v>
      </c>
      <c r="J196">
        <v>131.4</v>
      </c>
      <c r="K196">
        <v>112.8</v>
      </c>
      <c r="L196">
        <v>105.3</v>
      </c>
      <c r="M196">
        <v>139.6</v>
      </c>
      <c r="N196">
        <v>126.6</v>
      </c>
      <c r="O196">
        <v>148.69999999999999</v>
      </c>
      <c r="P196">
        <v>136.4</v>
      </c>
      <c r="Q196">
        <v>160.30000000000001</v>
      </c>
      <c r="R196">
        <v>138.6</v>
      </c>
      <c r="S196">
        <v>127.9</v>
      </c>
      <c r="T196">
        <v>137</v>
      </c>
      <c r="U196">
        <v>143.19999999999999</v>
      </c>
      <c r="V196">
        <v>124.7</v>
      </c>
      <c r="W196">
        <v>132.5</v>
      </c>
      <c r="X196">
        <v>132</v>
      </c>
      <c r="Y196">
        <v>119.8</v>
      </c>
      <c r="Z196">
        <v>128</v>
      </c>
      <c r="AA196">
        <v>140.4</v>
      </c>
      <c r="AB196">
        <v>128.1</v>
      </c>
      <c r="AC196">
        <v>128.9</v>
      </c>
      <c r="AD196">
        <v>135.4</v>
      </c>
      <c r="AE196">
        <f t="shared" ref="AE196:AE259" si="15">SUM(D196:P196)</f>
        <v>1722.8999999999999</v>
      </c>
      <c r="AF196">
        <f t="shared" ref="AF196:AF259" si="16">SUM(V196)</f>
        <v>124.7</v>
      </c>
      <c r="AG196">
        <f t="shared" ref="AG196:AG259" si="17">SUM(Y196)</f>
        <v>119.8</v>
      </c>
      <c r="AH196">
        <f t="shared" ref="AH196:AH259" si="18">SUM(AA196)</f>
        <v>140.4</v>
      </c>
      <c r="AI196">
        <f t="shared" ref="AI196:AI259" si="19">SUM(Q196:U196,W196:X196,Z196,AB196:AC196)</f>
        <v>1356.5</v>
      </c>
    </row>
    <row r="197" spans="1:35" x14ac:dyDescent="0.3">
      <c r="A197" t="s">
        <v>33</v>
      </c>
      <c r="B197">
        <v>2018</v>
      </c>
      <c r="C197" t="s">
        <v>37</v>
      </c>
      <c r="D197">
        <v>136.6</v>
      </c>
      <c r="E197">
        <v>146.6</v>
      </c>
      <c r="F197">
        <v>133.6</v>
      </c>
      <c r="G197">
        <v>142.1</v>
      </c>
      <c r="H197">
        <v>121</v>
      </c>
      <c r="I197">
        <v>154.6</v>
      </c>
      <c r="J197">
        <v>135.6</v>
      </c>
      <c r="K197">
        <v>122.3</v>
      </c>
      <c r="L197">
        <v>109.6</v>
      </c>
      <c r="M197">
        <v>138.1</v>
      </c>
      <c r="N197">
        <v>129.9</v>
      </c>
      <c r="O197">
        <v>151.69999999999999</v>
      </c>
      <c r="P197">
        <v>138.1</v>
      </c>
      <c r="Q197">
        <v>157.9</v>
      </c>
      <c r="R197">
        <v>146</v>
      </c>
      <c r="S197">
        <v>137.4</v>
      </c>
      <c r="T197">
        <v>144.69999999999999</v>
      </c>
      <c r="U197">
        <v>143.19999999999999</v>
      </c>
      <c r="V197">
        <v>136.9</v>
      </c>
      <c r="W197">
        <v>137.4</v>
      </c>
      <c r="X197">
        <v>136</v>
      </c>
      <c r="Y197">
        <v>122.9</v>
      </c>
      <c r="Z197">
        <v>131.80000000000001</v>
      </c>
      <c r="AA197">
        <v>142.1</v>
      </c>
      <c r="AB197">
        <v>129.9</v>
      </c>
      <c r="AC197">
        <v>132.1</v>
      </c>
      <c r="AD197">
        <v>137.80000000000001</v>
      </c>
      <c r="AE197">
        <f t="shared" si="15"/>
        <v>1759.8</v>
      </c>
      <c r="AF197">
        <f t="shared" si="16"/>
        <v>136.9</v>
      </c>
      <c r="AG197">
        <f t="shared" si="17"/>
        <v>122.9</v>
      </c>
      <c r="AH197">
        <f t="shared" si="18"/>
        <v>142.1</v>
      </c>
      <c r="AI197">
        <f t="shared" si="19"/>
        <v>1396.4</v>
      </c>
    </row>
    <row r="198" spans="1:35" x14ac:dyDescent="0.3">
      <c r="A198" t="s">
        <v>30</v>
      </c>
      <c r="B198">
        <v>2018</v>
      </c>
      <c r="C198" t="s">
        <v>38</v>
      </c>
      <c r="D198">
        <v>137.6</v>
      </c>
      <c r="E198">
        <v>148.1</v>
      </c>
      <c r="F198">
        <v>136.69999999999999</v>
      </c>
      <c r="G198">
        <v>143.19999999999999</v>
      </c>
      <c r="H198">
        <v>124</v>
      </c>
      <c r="I198">
        <v>154.1</v>
      </c>
      <c r="J198">
        <v>143.5</v>
      </c>
      <c r="K198">
        <v>126</v>
      </c>
      <c r="L198">
        <v>112.4</v>
      </c>
      <c r="M198">
        <v>137.6</v>
      </c>
      <c r="N198">
        <v>132.80000000000001</v>
      </c>
      <c r="O198">
        <v>154.30000000000001</v>
      </c>
      <c r="P198">
        <v>140</v>
      </c>
      <c r="Q198">
        <v>157.30000000000001</v>
      </c>
      <c r="R198">
        <v>151.30000000000001</v>
      </c>
      <c r="S198">
        <v>144.69999999999999</v>
      </c>
      <c r="T198">
        <v>150.30000000000001</v>
      </c>
      <c r="U198">
        <v>142.5</v>
      </c>
      <c r="V198">
        <v>145.1</v>
      </c>
      <c r="W198">
        <v>142.19999999999999</v>
      </c>
      <c r="X198">
        <v>138.4</v>
      </c>
      <c r="Y198">
        <v>127.4</v>
      </c>
      <c r="Z198">
        <v>137.80000000000001</v>
      </c>
      <c r="AA198">
        <v>145.1</v>
      </c>
      <c r="AB198">
        <v>131.4</v>
      </c>
      <c r="AC198">
        <v>135.6</v>
      </c>
      <c r="AD198">
        <v>140.5</v>
      </c>
      <c r="AE198">
        <f t="shared" si="15"/>
        <v>1790.2999999999997</v>
      </c>
      <c r="AF198">
        <f t="shared" si="16"/>
        <v>145.1</v>
      </c>
      <c r="AG198">
        <f t="shared" si="17"/>
        <v>127.4</v>
      </c>
      <c r="AH198">
        <f t="shared" si="18"/>
        <v>145.1</v>
      </c>
      <c r="AI198">
        <f t="shared" si="19"/>
        <v>1431.5</v>
      </c>
    </row>
    <row r="199" spans="1:35" x14ac:dyDescent="0.3">
      <c r="A199" t="s">
        <v>32</v>
      </c>
      <c r="B199">
        <v>2018</v>
      </c>
      <c r="C199" t="s">
        <v>38</v>
      </c>
      <c r="D199">
        <v>135.30000000000001</v>
      </c>
      <c r="E199">
        <v>149.69999999999999</v>
      </c>
      <c r="F199">
        <v>133.9</v>
      </c>
      <c r="G199">
        <v>140.80000000000001</v>
      </c>
      <c r="H199">
        <v>116.6</v>
      </c>
      <c r="I199">
        <v>152.19999999999999</v>
      </c>
      <c r="J199">
        <v>144</v>
      </c>
      <c r="K199">
        <v>112.3</v>
      </c>
      <c r="L199">
        <v>108.4</v>
      </c>
      <c r="M199">
        <v>140</v>
      </c>
      <c r="N199">
        <v>126.7</v>
      </c>
      <c r="O199">
        <v>149</v>
      </c>
      <c r="P199">
        <v>138.4</v>
      </c>
      <c r="Q199">
        <v>161</v>
      </c>
      <c r="R199">
        <v>138.9</v>
      </c>
      <c r="S199">
        <v>128.69999999999999</v>
      </c>
      <c r="T199">
        <v>137.4</v>
      </c>
      <c r="U199">
        <v>142.5</v>
      </c>
      <c r="V199">
        <v>126.5</v>
      </c>
      <c r="W199">
        <v>133.1</v>
      </c>
      <c r="X199">
        <v>132.6</v>
      </c>
      <c r="Y199">
        <v>120.4</v>
      </c>
      <c r="Z199">
        <v>128.5</v>
      </c>
      <c r="AA199">
        <v>141.19999999999999</v>
      </c>
      <c r="AB199">
        <v>128.19999999999999</v>
      </c>
      <c r="AC199">
        <v>129.5</v>
      </c>
      <c r="AD199">
        <v>136.19999999999999</v>
      </c>
      <c r="AE199">
        <f t="shared" si="15"/>
        <v>1747.3000000000002</v>
      </c>
      <c r="AF199">
        <f t="shared" si="16"/>
        <v>126.5</v>
      </c>
      <c r="AG199">
        <f t="shared" si="17"/>
        <v>120.4</v>
      </c>
      <c r="AH199">
        <f t="shared" si="18"/>
        <v>141.19999999999999</v>
      </c>
      <c r="AI199">
        <f t="shared" si="19"/>
        <v>1360.4</v>
      </c>
    </row>
    <row r="200" spans="1:35" x14ac:dyDescent="0.3">
      <c r="A200" t="s">
        <v>33</v>
      </c>
      <c r="B200">
        <v>2018</v>
      </c>
      <c r="C200" t="s">
        <v>38</v>
      </c>
      <c r="D200">
        <v>136.9</v>
      </c>
      <c r="E200">
        <v>148.69999999999999</v>
      </c>
      <c r="F200">
        <v>135.6</v>
      </c>
      <c r="G200">
        <v>142.30000000000001</v>
      </c>
      <c r="H200">
        <v>121.3</v>
      </c>
      <c r="I200">
        <v>153.19999999999999</v>
      </c>
      <c r="J200">
        <v>143.69999999999999</v>
      </c>
      <c r="K200">
        <v>121.4</v>
      </c>
      <c r="L200">
        <v>111.1</v>
      </c>
      <c r="M200">
        <v>138.4</v>
      </c>
      <c r="N200">
        <v>130.30000000000001</v>
      </c>
      <c r="O200">
        <v>151.80000000000001</v>
      </c>
      <c r="P200">
        <v>139.4</v>
      </c>
      <c r="Q200">
        <v>158.30000000000001</v>
      </c>
      <c r="R200">
        <v>146.4</v>
      </c>
      <c r="S200">
        <v>138.1</v>
      </c>
      <c r="T200">
        <v>145.19999999999999</v>
      </c>
      <c r="U200">
        <v>142.5</v>
      </c>
      <c r="V200">
        <v>138.1</v>
      </c>
      <c r="W200">
        <v>137.9</v>
      </c>
      <c r="X200">
        <v>136.19999999999999</v>
      </c>
      <c r="Y200">
        <v>123.7</v>
      </c>
      <c r="Z200">
        <v>132.6</v>
      </c>
      <c r="AA200">
        <v>142.80000000000001</v>
      </c>
      <c r="AB200">
        <v>130.1</v>
      </c>
      <c r="AC200">
        <v>132.6</v>
      </c>
      <c r="AD200">
        <v>138.5</v>
      </c>
      <c r="AE200">
        <f t="shared" si="15"/>
        <v>1774.1000000000001</v>
      </c>
      <c r="AF200">
        <f t="shared" si="16"/>
        <v>138.1</v>
      </c>
      <c r="AG200">
        <f t="shared" si="17"/>
        <v>123.7</v>
      </c>
      <c r="AH200">
        <f t="shared" si="18"/>
        <v>142.80000000000001</v>
      </c>
      <c r="AI200">
        <f t="shared" si="19"/>
        <v>1399.8999999999996</v>
      </c>
    </row>
    <row r="201" spans="1:35" x14ac:dyDescent="0.3">
      <c r="A201" t="s">
        <v>30</v>
      </c>
      <c r="B201">
        <v>2018</v>
      </c>
      <c r="C201" t="s">
        <v>39</v>
      </c>
      <c r="D201">
        <v>138.4</v>
      </c>
      <c r="E201">
        <v>149.30000000000001</v>
      </c>
      <c r="F201">
        <v>139.30000000000001</v>
      </c>
      <c r="G201">
        <v>143.4</v>
      </c>
      <c r="H201">
        <v>124.1</v>
      </c>
      <c r="I201">
        <v>153.30000000000001</v>
      </c>
      <c r="J201">
        <v>154.19999999999999</v>
      </c>
      <c r="K201">
        <v>126.4</v>
      </c>
      <c r="L201">
        <v>114.3</v>
      </c>
      <c r="M201">
        <v>138.19999999999999</v>
      </c>
      <c r="N201">
        <v>132.80000000000001</v>
      </c>
      <c r="O201">
        <v>154.80000000000001</v>
      </c>
      <c r="P201">
        <v>142</v>
      </c>
      <c r="Q201">
        <v>156.1</v>
      </c>
      <c r="R201">
        <v>151.5</v>
      </c>
      <c r="S201">
        <v>145.1</v>
      </c>
      <c r="T201">
        <v>150.6</v>
      </c>
      <c r="U201">
        <v>143.6</v>
      </c>
      <c r="V201">
        <v>146.80000000000001</v>
      </c>
      <c r="W201">
        <v>143.1</v>
      </c>
      <c r="X201">
        <v>139</v>
      </c>
      <c r="Y201">
        <v>127.5</v>
      </c>
      <c r="Z201">
        <v>138.4</v>
      </c>
      <c r="AA201">
        <v>145.80000000000001</v>
      </c>
      <c r="AB201">
        <v>131.4</v>
      </c>
      <c r="AC201">
        <v>136</v>
      </c>
      <c r="AD201">
        <v>141.80000000000001</v>
      </c>
      <c r="AE201">
        <f t="shared" si="15"/>
        <v>1810.5000000000002</v>
      </c>
      <c r="AF201">
        <f t="shared" si="16"/>
        <v>146.80000000000001</v>
      </c>
      <c r="AG201">
        <f t="shared" si="17"/>
        <v>127.5</v>
      </c>
      <c r="AH201">
        <f t="shared" si="18"/>
        <v>145.80000000000001</v>
      </c>
      <c r="AI201">
        <f t="shared" si="19"/>
        <v>1434.8000000000002</v>
      </c>
    </row>
    <row r="202" spans="1:35" x14ac:dyDescent="0.3">
      <c r="A202" t="s">
        <v>32</v>
      </c>
      <c r="B202">
        <v>2018</v>
      </c>
      <c r="C202" t="s">
        <v>39</v>
      </c>
      <c r="D202">
        <v>135.6</v>
      </c>
      <c r="E202">
        <v>148.6</v>
      </c>
      <c r="F202">
        <v>139.1</v>
      </c>
      <c r="G202">
        <v>141</v>
      </c>
      <c r="H202">
        <v>116.7</v>
      </c>
      <c r="I202">
        <v>149.69999999999999</v>
      </c>
      <c r="J202">
        <v>159.19999999999999</v>
      </c>
      <c r="K202">
        <v>112.6</v>
      </c>
      <c r="L202">
        <v>111.8</v>
      </c>
      <c r="M202">
        <v>140.30000000000001</v>
      </c>
      <c r="N202">
        <v>126.8</v>
      </c>
      <c r="O202">
        <v>149.4</v>
      </c>
      <c r="P202">
        <v>140.30000000000001</v>
      </c>
      <c r="Q202">
        <v>161.4</v>
      </c>
      <c r="R202">
        <v>139.6</v>
      </c>
      <c r="S202">
        <v>128.9</v>
      </c>
      <c r="T202">
        <v>137.9</v>
      </c>
      <c r="U202">
        <v>143.6</v>
      </c>
      <c r="V202">
        <v>128.1</v>
      </c>
      <c r="W202">
        <v>133.6</v>
      </c>
      <c r="X202">
        <v>133.6</v>
      </c>
      <c r="Y202">
        <v>120.1</v>
      </c>
      <c r="Z202">
        <v>129</v>
      </c>
      <c r="AA202">
        <v>144</v>
      </c>
      <c r="AB202">
        <v>128.19999999999999</v>
      </c>
      <c r="AC202">
        <v>130.19999999999999</v>
      </c>
      <c r="AD202">
        <v>137.5</v>
      </c>
      <c r="AE202">
        <f t="shared" si="15"/>
        <v>1771.1</v>
      </c>
      <c r="AF202">
        <f t="shared" si="16"/>
        <v>128.1</v>
      </c>
      <c r="AG202">
        <f t="shared" si="17"/>
        <v>120.1</v>
      </c>
      <c r="AH202">
        <f t="shared" si="18"/>
        <v>144</v>
      </c>
      <c r="AI202">
        <f t="shared" si="19"/>
        <v>1366</v>
      </c>
    </row>
    <row r="203" spans="1:35" x14ac:dyDescent="0.3">
      <c r="A203" t="s">
        <v>33</v>
      </c>
      <c r="B203">
        <v>2018</v>
      </c>
      <c r="C203" t="s">
        <v>39</v>
      </c>
      <c r="D203">
        <v>137.5</v>
      </c>
      <c r="E203">
        <v>149.1</v>
      </c>
      <c r="F203">
        <v>139.19999999999999</v>
      </c>
      <c r="G203">
        <v>142.5</v>
      </c>
      <c r="H203">
        <v>121.4</v>
      </c>
      <c r="I203">
        <v>151.6</v>
      </c>
      <c r="J203">
        <v>155.9</v>
      </c>
      <c r="K203">
        <v>121.7</v>
      </c>
      <c r="L203">
        <v>113.5</v>
      </c>
      <c r="M203">
        <v>138.9</v>
      </c>
      <c r="N203">
        <v>130.30000000000001</v>
      </c>
      <c r="O203">
        <v>152.30000000000001</v>
      </c>
      <c r="P203">
        <v>141.4</v>
      </c>
      <c r="Q203">
        <v>157.5</v>
      </c>
      <c r="R203">
        <v>146.80000000000001</v>
      </c>
      <c r="S203">
        <v>138.4</v>
      </c>
      <c r="T203">
        <v>145.6</v>
      </c>
      <c r="U203">
        <v>143.6</v>
      </c>
      <c r="V203">
        <v>139.69999999999999</v>
      </c>
      <c r="W203">
        <v>138.6</v>
      </c>
      <c r="X203">
        <v>137</v>
      </c>
      <c r="Y203">
        <v>123.6</v>
      </c>
      <c r="Z203">
        <v>133.1</v>
      </c>
      <c r="AA203">
        <v>144.69999999999999</v>
      </c>
      <c r="AB203">
        <v>130.1</v>
      </c>
      <c r="AC203">
        <v>133.19999999999999</v>
      </c>
      <c r="AD203">
        <v>139.80000000000001</v>
      </c>
      <c r="AE203">
        <f t="shared" si="15"/>
        <v>1795.3</v>
      </c>
      <c r="AF203">
        <f t="shared" si="16"/>
        <v>139.69999999999999</v>
      </c>
      <c r="AG203">
        <f t="shared" si="17"/>
        <v>123.6</v>
      </c>
      <c r="AH203">
        <f t="shared" si="18"/>
        <v>144.69999999999999</v>
      </c>
      <c r="AI203">
        <f t="shared" si="19"/>
        <v>1403.9</v>
      </c>
    </row>
    <row r="204" spans="1:35" x14ac:dyDescent="0.3">
      <c r="A204" t="s">
        <v>30</v>
      </c>
      <c r="B204">
        <v>2018</v>
      </c>
      <c r="C204" t="s">
        <v>40</v>
      </c>
      <c r="D204">
        <v>139.19999999999999</v>
      </c>
      <c r="E204">
        <v>148.80000000000001</v>
      </c>
      <c r="F204">
        <v>139.1</v>
      </c>
      <c r="G204">
        <v>143.5</v>
      </c>
      <c r="H204">
        <v>125</v>
      </c>
      <c r="I204">
        <v>154.4</v>
      </c>
      <c r="J204">
        <v>156.30000000000001</v>
      </c>
      <c r="K204">
        <v>126.8</v>
      </c>
      <c r="L204">
        <v>115.4</v>
      </c>
      <c r="M204">
        <v>138.6</v>
      </c>
      <c r="N204">
        <v>133.80000000000001</v>
      </c>
      <c r="O204">
        <v>155.19999999999999</v>
      </c>
      <c r="P204">
        <v>142.69999999999999</v>
      </c>
      <c r="Q204">
        <v>156.4</v>
      </c>
      <c r="R204">
        <v>152.1</v>
      </c>
      <c r="S204">
        <v>145.80000000000001</v>
      </c>
      <c r="T204">
        <v>151.30000000000001</v>
      </c>
      <c r="U204">
        <v>144.6</v>
      </c>
      <c r="V204">
        <v>147.69999999999999</v>
      </c>
      <c r="W204">
        <v>143.80000000000001</v>
      </c>
      <c r="X204">
        <v>139.4</v>
      </c>
      <c r="Y204">
        <v>128.30000000000001</v>
      </c>
      <c r="Z204">
        <v>138.6</v>
      </c>
      <c r="AA204">
        <v>146.9</v>
      </c>
      <c r="AB204">
        <v>131.30000000000001</v>
      </c>
      <c r="AC204">
        <v>136.6</v>
      </c>
      <c r="AD204">
        <v>142.5</v>
      </c>
      <c r="AE204">
        <f t="shared" si="15"/>
        <v>1818.8</v>
      </c>
      <c r="AF204">
        <f t="shared" si="16"/>
        <v>147.69999999999999</v>
      </c>
      <c r="AG204">
        <f t="shared" si="17"/>
        <v>128.30000000000001</v>
      </c>
      <c r="AH204">
        <f t="shared" si="18"/>
        <v>146.9</v>
      </c>
      <c r="AI204">
        <f t="shared" si="19"/>
        <v>1439.8999999999999</v>
      </c>
    </row>
    <row r="205" spans="1:35" x14ac:dyDescent="0.3">
      <c r="A205" t="s">
        <v>32</v>
      </c>
      <c r="B205">
        <v>2018</v>
      </c>
      <c r="C205" t="s">
        <v>40</v>
      </c>
      <c r="D205">
        <v>136.5</v>
      </c>
      <c r="E205">
        <v>146.4</v>
      </c>
      <c r="F205">
        <v>136.6</v>
      </c>
      <c r="G205">
        <v>141.19999999999999</v>
      </c>
      <c r="H205">
        <v>117.4</v>
      </c>
      <c r="I205">
        <v>146.30000000000001</v>
      </c>
      <c r="J205">
        <v>157.30000000000001</v>
      </c>
      <c r="K205">
        <v>113.6</v>
      </c>
      <c r="L205">
        <v>113.3</v>
      </c>
      <c r="M205">
        <v>141.1</v>
      </c>
      <c r="N205">
        <v>127.4</v>
      </c>
      <c r="O205">
        <v>150.4</v>
      </c>
      <c r="P205">
        <v>140.1</v>
      </c>
      <c r="Q205">
        <v>162.1</v>
      </c>
      <c r="R205">
        <v>140</v>
      </c>
      <c r="S205">
        <v>129</v>
      </c>
      <c r="T205">
        <v>138.30000000000001</v>
      </c>
      <c r="U205">
        <v>144.6</v>
      </c>
      <c r="V205">
        <v>129.80000000000001</v>
      </c>
      <c r="W205">
        <v>134.4</v>
      </c>
      <c r="X205">
        <v>134.9</v>
      </c>
      <c r="Y205">
        <v>120.7</v>
      </c>
      <c r="Z205">
        <v>129.80000000000001</v>
      </c>
      <c r="AA205">
        <v>145.30000000000001</v>
      </c>
      <c r="AB205">
        <v>128.30000000000001</v>
      </c>
      <c r="AC205">
        <v>131</v>
      </c>
      <c r="AD205">
        <v>138</v>
      </c>
      <c r="AE205">
        <f t="shared" si="15"/>
        <v>1767.6</v>
      </c>
      <c r="AF205">
        <f t="shared" si="16"/>
        <v>129.80000000000001</v>
      </c>
      <c r="AG205">
        <f t="shared" si="17"/>
        <v>120.7</v>
      </c>
      <c r="AH205">
        <f t="shared" si="18"/>
        <v>145.30000000000001</v>
      </c>
      <c r="AI205">
        <f t="shared" si="19"/>
        <v>1372.4</v>
      </c>
    </row>
    <row r="206" spans="1:35" x14ac:dyDescent="0.3">
      <c r="A206" t="s">
        <v>33</v>
      </c>
      <c r="B206">
        <v>2018</v>
      </c>
      <c r="C206" t="s">
        <v>40</v>
      </c>
      <c r="D206">
        <v>138.30000000000001</v>
      </c>
      <c r="E206">
        <v>148</v>
      </c>
      <c r="F206">
        <v>138.1</v>
      </c>
      <c r="G206">
        <v>142.6</v>
      </c>
      <c r="H206">
        <v>122.2</v>
      </c>
      <c r="I206">
        <v>150.6</v>
      </c>
      <c r="J206">
        <v>156.6</v>
      </c>
      <c r="K206">
        <v>122.4</v>
      </c>
      <c r="L206">
        <v>114.7</v>
      </c>
      <c r="M206">
        <v>139.4</v>
      </c>
      <c r="N206">
        <v>131.1</v>
      </c>
      <c r="O206">
        <v>153</v>
      </c>
      <c r="P206">
        <v>141.69999999999999</v>
      </c>
      <c r="Q206">
        <v>157.9</v>
      </c>
      <c r="R206">
        <v>147.30000000000001</v>
      </c>
      <c r="S206">
        <v>138.80000000000001</v>
      </c>
      <c r="T206">
        <v>146.1</v>
      </c>
      <c r="U206">
        <v>144.6</v>
      </c>
      <c r="V206">
        <v>140.9</v>
      </c>
      <c r="W206">
        <v>139.4</v>
      </c>
      <c r="X206">
        <v>137.69999999999999</v>
      </c>
      <c r="Y206">
        <v>124.3</v>
      </c>
      <c r="Z206">
        <v>133.6</v>
      </c>
      <c r="AA206">
        <v>146</v>
      </c>
      <c r="AB206">
        <v>130.1</v>
      </c>
      <c r="AC206">
        <v>133.9</v>
      </c>
      <c r="AD206">
        <v>140.4</v>
      </c>
      <c r="AE206">
        <f t="shared" si="15"/>
        <v>1798.7000000000003</v>
      </c>
      <c r="AF206">
        <f t="shared" si="16"/>
        <v>140.9</v>
      </c>
      <c r="AG206">
        <f t="shared" si="17"/>
        <v>124.3</v>
      </c>
      <c r="AH206">
        <f t="shared" si="18"/>
        <v>146</v>
      </c>
      <c r="AI206">
        <f t="shared" si="19"/>
        <v>1409.3999999999999</v>
      </c>
    </row>
    <row r="207" spans="1:35" x14ac:dyDescent="0.3">
      <c r="A207" t="s">
        <v>30</v>
      </c>
      <c r="B207">
        <v>2018</v>
      </c>
      <c r="C207" t="s">
        <v>41</v>
      </c>
      <c r="D207">
        <v>139.4</v>
      </c>
      <c r="E207">
        <v>147.19999999999999</v>
      </c>
      <c r="F207">
        <v>136.6</v>
      </c>
      <c r="G207">
        <v>143.69999999999999</v>
      </c>
      <c r="H207">
        <v>124.6</v>
      </c>
      <c r="I207">
        <v>150.1</v>
      </c>
      <c r="J207">
        <v>149.4</v>
      </c>
      <c r="K207">
        <v>125.4</v>
      </c>
      <c r="L207">
        <v>114.4</v>
      </c>
      <c r="M207">
        <v>138.69999999999999</v>
      </c>
      <c r="N207">
        <v>133.1</v>
      </c>
      <c r="O207">
        <v>155.9</v>
      </c>
      <c r="P207">
        <v>141.30000000000001</v>
      </c>
      <c r="Q207">
        <v>157.69999999999999</v>
      </c>
      <c r="R207">
        <v>152.1</v>
      </c>
      <c r="S207">
        <v>146.1</v>
      </c>
      <c r="T207">
        <v>151.30000000000001</v>
      </c>
      <c r="U207">
        <v>145.30000000000001</v>
      </c>
      <c r="V207">
        <v>149</v>
      </c>
      <c r="W207">
        <v>144</v>
      </c>
      <c r="X207">
        <v>140</v>
      </c>
      <c r="Y207">
        <v>129.9</v>
      </c>
      <c r="Z207">
        <v>140</v>
      </c>
      <c r="AA207">
        <v>147.6</v>
      </c>
      <c r="AB207">
        <v>132</v>
      </c>
      <c r="AC207">
        <v>137.4</v>
      </c>
      <c r="AD207">
        <v>142.1</v>
      </c>
      <c r="AE207">
        <f t="shared" si="15"/>
        <v>1799.8000000000002</v>
      </c>
      <c r="AF207">
        <f t="shared" si="16"/>
        <v>149</v>
      </c>
      <c r="AG207">
        <f t="shared" si="17"/>
        <v>129.9</v>
      </c>
      <c r="AH207">
        <f t="shared" si="18"/>
        <v>147.6</v>
      </c>
      <c r="AI207">
        <f t="shared" si="19"/>
        <v>1445.9</v>
      </c>
    </row>
    <row r="208" spans="1:35" x14ac:dyDescent="0.3">
      <c r="A208" t="s">
        <v>32</v>
      </c>
      <c r="B208">
        <v>2018</v>
      </c>
      <c r="C208" t="s">
        <v>41</v>
      </c>
      <c r="D208">
        <v>137</v>
      </c>
      <c r="E208">
        <v>143.1</v>
      </c>
      <c r="F208">
        <v>132.80000000000001</v>
      </c>
      <c r="G208">
        <v>141.5</v>
      </c>
      <c r="H208">
        <v>117.8</v>
      </c>
      <c r="I208">
        <v>140</v>
      </c>
      <c r="J208">
        <v>151.30000000000001</v>
      </c>
      <c r="K208">
        <v>113.5</v>
      </c>
      <c r="L208">
        <v>112.3</v>
      </c>
      <c r="M208">
        <v>141.19999999999999</v>
      </c>
      <c r="N208">
        <v>127.7</v>
      </c>
      <c r="O208">
        <v>151.30000000000001</v>
      </c>
      <c r="P208">
        <v>138.9</v>
      </c>
      <c r="Q208">
        <v>163.30000000000001</v>
      </c>
      <c r="R208">
        <v>140.80000000000001</v>
      </c>
      <c r="S208">
        <v>129.30000000000001</v>
      </c>
      <c r="T208">
        <v>139.1</v>
      </c>
      <c r="U208">
        <v>145.30000000000001</v>
      </c>
      <c r="V208">
        <v>131.19999999999999</v>
      </c>
      <c r="W208">
        <v>134.9</v>
      </c>
      <c r="X208">
        <v>135.69999999999999</v>
      </c>
      <c r="Y208">
        <v>122.5</v>
      </c>
      <c r="Z208">
        <v>130.19999999999999</v>
      </c>
      <c r="AA208">
        <v>145.19999999999999</v>
      </c>
      <c r="AB208">
        <v>129.30000000000001</v>
      </c>
      <c r="AC208">
        <v>131.9</v>
      </c>
      <c r="AD208">
        <v>138.1</v>
      </c>
      <c r="AE208">
        <f t="shared" si="15"/>
        <v>1748.4</v>
      </c>
      <c r="AF208">
        <f t="shared" si="16"/>
        <v>131.19999999999999</v>
      </c>
      <c r="AG208">
        <f t="shared" si="17"/>
        <v>122.5</v>
      </c>
      <c r="AH208">
        <f t="shared" si="18"/>
        <v>145.19999999999999</v>
      </c>
      <c r="AI208">
        <f t="shared" si="19"/>
        <v>1379.8</v>
      </c>
    </row>
    <row r="209" spans="1:35" x14ac:dyDescent="0.3">
      <c r="A209" t="s">
        <v>33</v>
      </c>
      <c r="B209">
        <v>2018</v>
      </c>
      <c r="C209" t="s">
        <v>41</v>
      </c>
      <c r="D209">
        <v>138.6</v>
      </c>
      <c r="E209">
        <v>145.80000000000001</v>
      </c>
      <c r="F209">
        <v>135.1</v>
      </c>
      <c r="G209">
        <v>142.9</v>
      </c>
      <c r="H209">
        <v>122.1</v>
      </c>
      <c r="I209">
        <v>145.4</v>
      </c>
      <c r="J209">
        <v>150</v>
      </c>
      <c r="K209">
        <v>121.4</v>
      </c>
      <c r="L209">
        <v>113.7</v>
      </c>
      <c r="M209">
        <v>139.5</v>
      </c>
      <c r="N209">
        <v>130.80000000000001</v>
      </c>
      <c r="O209">
        <v>153.80000000000001</v>
      </c>
      <c r="P209">
        <v>140.4</v>
      </c>
      <c r="Q209">
        <v>159.19999999999999</v>
      </c>
      <c r="R209">
        <v>147.69999999999999</v>
      </c>
      <c r="S209">
        <v>139.1</v>
      </c>
      <c r="T209">
        <v>146.5</v>
      </c>
      <c r="U209">
        <v>145.30000000000001</v>
      </c>
      <c r="V209">
        <v>142.30000000000001</v>
      </c>
      <c r="W209">
        <v>139.69999999999999</v>
      </c>
      <c r="X209">
        <v>138.4</v>
      </c>
      <c r="Y209">
        <v>126</v>
      </c>
      <c r="Z209">
        <v>134.5</v>
      </c>
      <c r="AA209">
        <v>146.19999999999999</v>
      </c>
      <c r="AB209">
        <v>130.9</v>
      </c>
      <c r="AC209">
        <v>134.69999999999999</v>
      </c>
      <c r="AD209">
        <v>140.19999999999999</v>
      </c>
      <c r="AE209">
        <f t="shared" si="15"/>
        <v>1779.5</v>
      </c>
      <c r="AF209">
        <f t="shared" si="16"/>
        <v>142.30000000000001</v>
      </c>
      <c r="AG209">
        <f t="shared" si="17"/>
        <v>126</v>
      </c>
      <c r="AH209">
        <f t="shared" si="18"/>
        <v>146.19999999999999</v>
      </c>
      <c r="AI209">
        <f t="shared" si="19"/>
        <v>1416.0000000000002</v>
      </c>
    </row>
    <row r="210" spans="1:35" x14ac:dyDescent="0.3">
      <c r="A210" t="s">
        <v>30</v>
      </c>
      <c r="B210">
        <v>2018</v>
      </c>
      <c r="C210" t="s">
        <v>42</v>
      </c>
      <c r="D210">
        <v>139.30000000000001</v>
      </c>
      <c r="E210">
        <v>147.6</v>
      </c>
      <c r="F210">
        <v>134.6</v>
      </c>
      <c r="G210">
        <v>141.9</v>
      </c>
      <c r="H210">
        <v>123.5</v>
      </c>
      <c r="I210">
        <v>144.5</v>
      </c>
      <c r="J210">
        <v>147.6</v>
      </c>
      <c r="K210">
        <v>121.4</v>
      </c>
      <c r="L210">
        <v>112.3</v>
      </c>
      <c r="M210">
        <v>139.5</v>
      </c>
      <c r="N210">
        <v>134.6</v>
      </c>
      <c r="O210">
        <v>155.19999999999999</v>
      </c>
      <c r="P210">
        <v>140.19999999999999</v>
      </c>
      <c r="Q210">
        <v>159.6</v>
      </c>
      <c r="R210">
        <v>150.69999999999999</v>
      </c>
      <c r="S210">
        <v>144.5</v>
      </c>
      <c r="T210">
        <v>149.80000000000001</v>
      </c>
      <c r="U210">
        <v>146.30000000000001</v>
      </c>
      <c r="V210">
        <v>149.69999999999999</v>
      </c>
      <c r="W210">
        <v>147.5</v>
      </c>
      <c r="X210">
        <v>144.80000000000001</v>
      </c>
      <c r="Y210">
        <v>130.80000000000001</v>
      </c>
      <c r="Z210">
        <v>140.1</v>
      </c>
      <c r="AA210">
        <v>148</v>
      </c>
      <c r="AB210">
        <v>134.4</v>
      </c>
      <c r="AC210">
        <v>139.80000000000001</v>
      </c>
      <c r="AD210">
        <v>142.19999999999999</v>
      </c>
      <c r="AE210">
        <f t="shared" si="15"/>
        <v>1782.2</v>
      </c>
      <c r="AF210">
        <f t="shared" si="16"/>
        <v>149.69999999999999</v>
      </c>
      <c r="AG210">
        <f t="shared" si="17"/>
        <v>130.80000000000001</v>
      </c>
      <c r="AH210">
        <f t="shared" si="18"/>
        <v>148</v>
      </c>
      <c r="AI210">
        <f t="shared" si="19"/>
        <v>1457.4999999999998</v>
      </c>
    </row>
    <row r="211" spans="1:35" x14ac:dyDescent="0.3">
      <c r="A211" t="s">
        <v>32</v>
      </c>
      <c r="B211">
        <v>2018</v>
      </c>
      <c r="C211" t="s">
        <v>42</v>
      </c>
      <c r="D211">
        <v>137.6</v>
      </c>
      <c r="E211">
        <v>144.9</v>
      </c>
      <c r="F211">
        <v>133.5</v>
      </c>
      <c r="G211">
        <v>141.5</v>
      </c>
      <c r="H211">
        <v>118</v>
      </c>
      <c r="I211">
        <v>139.5</v>
      </c>
      <c r="J211">
        <v>153</v>
      </c>
      <c r="K211">
        <v>113.2</v>
      </c>
      <c r="L211">
        <v>112.8</v>
      </c>
      <c r="M211">
        <v>141.1</v>
      </c>
      <c r="N211">
        <v>127.6</v>
      </c>
      <c r="O211">
        <v>152</v>
      </c>
      <c r="P211">
        <v>139.4</v>
      </c>
      <c r="Q211">
        <v>164</v>
      </c>
      <c r="R211">
        <v>141.5</v>
      </c>
      <c r="S211">
        <v>129.80000000000001</v>
      </c>
      <c r="T211">
        <v>139.69999999999999</v>
      </c>
      <c r="U211">
        <v>146.30000000000001</v>
      </c>
      <c r="V211">
        <v>133.4</v>
      </c>
      <c r="W211">
        <v>135.1</v>
      </c>
      <c r="X211">
        <v>136.19999999999999</v>
      </c>
      <c r="Y211">
        <v>123.3</v>
      </c>
      <c r="Z211">
        <v>130.69999999999999</v>
      </c>
      <c r="AA211">
        <v>145.5</v>
      </c>
      <c r="AB211">
        <v>130.4</v>
      </c>
      <c r="AC211">
        <v>132.5</v>
      </c>
      <c r="AD211">
        <v>138.9</v>
      </c>
      <c r="AE211">
        <f t="shared" si="15"/>
        <v>1754.1</v>
      </c>
      <c r="AF211">
        <f t="shared" si="16"/>
        <v>133.4</v>
      </c>
      <c r="AG211">
        <f t="shared" si="17"/>
        <v>123.3</v>
      </c>
      <c r="AH211">
        <f t="shared" si="18"/>
        <v>145.5</v>
      </c>
      <c r="AI211">
        <f t="shared" si="19"/>
        <v>1386.2</v>
      </c>
    </row>
    <row r="212" spans="1:35" x14ac:dyDescent="0.3">
      <c r="A212" t="s">
        <v>33</v>
      </c>
      <c r="B212">
        <v>2018</v>
      </c>
      <c r="C212" t="s">
        <v>42</v>
      </c>
      <c r="D212">
        <v>137.4</v>
      </c>
      <c r="E212">
        <v>149.5</v>
      </c>
      <c r="F212">
        <v>137.30000000000001</v>
      </c>
      <c r="G212">
        <v>141.9</v>
      </c>
      <c r="H212">
        <v>121.1</v>
      </c>
      <c r="I212">
        <v>142.5</v>
      </c>
      <c r="J212">
        <v>146.69999999999999</v>
      </c>
      <c r="K212">
        <v>119.1</v>
      </c>
      <c r="L212">
        <v>111.9</v>
      </c>
      <c r="M212">
        <v>141</v>
      </c>
      <c r="N212">
        <v>133.6</v>
      </c>
      <c r="O212">
        <v>154.5</v>
      </c>
      <c r="P212">
        <v>139.69999999999999</v>
      </c>
      <c r="Q212">
        <v>162.6</v>
      </c>
      <c r="R212">
        <v>148</v>
      </c>
      <c r="S212">
        <v>139.19999999999999</v>
      </c>
      <c r="T212">
        <v>146.80000000000001</v>
      </c>
      <c r="U212">
        <v>146.9</v>
      </c>
      <c r="V212">
        <v>145.30000000000001</v>
      </c>
      <c r="W212">
        <v>142.19999999999999</v>
      </c>
      <c r="X212">
        <v>142.1</v>
      </c>
      <c r="Y212">
        <v>125.5</v>
      </c>
      <c r="Z212">
        <v>136.5</v>
      </c>
      <c r="AA212">
        <v>147.80000000000001</v>
      </c>
      <c r="AB212">
        <v>132</v>
      </c>
      <c r="AC212">
        <v>136.30000000000001</v>
      </c>
      <c r="AD212">
        <v>140.80000000000001</v>
      </c>
      <c r="AE212">
        <f t="shared" si="15"/>
        <v>1776.2</v>
      </c>
      <c r="AF212">
        <f t="shared" si="16"/>
        <v>145.30000000000001</v>
      </c>
      <c r="AG212">
        <f t="shared" si="17"/>
        <v>125.5</v>
      </c>
      <c r="AH212">
        <f t="shared" si="18"/>
        <v>147.80000000000001</v>
      </c>
      <c r="AI212">
        <f t="shared" si="19"/>
        <v>1432.6</v>
      </c>
    </row>
    <row r="213" spans="1:35" x14ac:dyDescent="0.3">
      <c r="A213" t="s">
        <v>30</v>
      </c>
      <c r="B213">
        <v>2018</v>
      </c>
      <c r="C213" t="s">
        <v>44</v>
      </c>
      <c r="D213">
        <v>137.1</v>
      </c>
      <c r="E213">
        <v>150.80000000000001</v>
      </c>
      <c r="F213">
        <v>136.69999999999999</v>
      </c>
      <c r="G213">
        <v>141.9</v>
      </c>
      <c r="H213">
        <v>122.8</v>
      </c>
      <c r="I213">
        <v>143.9</v>
      </c>
      <c r="J213">
        <v>147.5</v>
      </c>
      <c r="K213">
        <v>121</v>
      </c>
      <c r="L213">
        <v>111.6</v>
      </c>
      <c r="M213">
        <v>140.6</v>
      </c>
      <c r="N213">
        <v>137.5</v>
      </c>
      <c r="O213">
        <v>156.1</v>
      </c>
      <c r="P213">
        <v>140</v>
      </c>
      <c r="Q213">
        <v>161.9</v>
      </c>
      <c r="R213">
        <v>151.69999999999999</v>
      </c>
      <c r="S213">
        <v>145.5</v>
      </c>
      <c r="T213">
        <v>150.80000000000001</v>
      </c>
      <c r="U213">
        <v>146.9</v>
      </c>
      <c r="V213">
        <v>150.30000000000001</v>
      </c>
      <c r="W213">
        <v>148</v>
      </c>
      <c r="X213">
        <v>145.4</v>
      </c>
      <c r="Y213">
        <v>130.30000000000001</v>
      </c>
      <c r="Z213">
        <v>143.1</v>
      </c>
      <c r="AA213">
        <v>150.19999999999999</v>
      </c>
      <c r="AB213">
        <v>133.1</v>
      </c>
      <c r="AC213">
        <v>140.1</v>
      </c>
      <c r="AD213">
        <v>142.4</v>
      </c>
      <c r="AE213">
        <f t="shared" si="15"/>
        <v>1787.4999999999995</v>
      </c>
      <c r="AF213">
        <f t="shared" si="16"/>
        <v>150.30000000000001</v>
      </c>
      <c r="AG213">
        <f t="shared" si="17"/>
        <v>130.30000000000001</v>
      </c>
      <c r="AH213">
        <f t="shared" si="18"/>
        <v>150.19999999999999</v>
      </c>
      <c r="AI213">
        <f t="shared" si="19"/>
        <v>1466.4999999999998</v>
      </c>
    </row>
    <row r="214" spans="1:35" x14ac:dyDescent="0.3">
      <c r="A214" t="s">
        <v>32</v>
      </c>
      <c r="B214">
        <v>2018</v>
      </c>
      <c r="C214" t="s">
        <v>44</v>
      </c>
      <c r="D214">
        <v>138.1</v>
      </c>
      <c r="E214">
        <v>146.30000000000001</v>
      </c>
      <c r="F214">
        <v>137.80000000000001</v>
      </c>
      <c r="G214">
        <v>141.6</v>
      </c>
      <c r="H214">
        <v>118.1</v>
      </c>
      <c r="I214">
        <v>141.5</v>
      </c>
      <c r="J214">
        <v>145.19999999999999</v>
      </c>
      <c r="K214">
        <v>115.3</v>
      </c>
      <c r="L214">
        <v>112.5</v>
      </c>
      <c r="M214">
        <v>141.4</v>
      </c>
      <c r="N214">
        <v>128</v>
      </c>
      <c r="O214">
        <v>152.6</v>
      </c>
      <c r="P214">
        <v>139.1</v>
      </c>
      <c r="Q214">
        <v>164.4</v>
      </c>
      <c r="R214">
        <v>142.4</v>
      </c>
      <c r="S214">
        <v>130.19999999999999</v>
      </c>
      <c r="T214">
        <v>140.5</v>
      </c>
      <c r="U214">
        <v>146.9</v>
      </c>
      <c r="V214">
        <v>136.69999999999999</v>
      </c>
      <c r="W214">
        <v>135.80000000000001</v>
      </c>
      <c r="X214">
        <v>136.80000000000001</v>
      </c>
      <c r="Y214">
        <v>121.2</v>
      </c>
      <c r="Z214">
        <v>131.30000000000001</v>
      </c>
      <c r="AA214">
        <v>146.1</v>
      </c>
      <c r="AB214">
        <v>130.5</v>
      </c>
      <c r="AC214">
        <v>132.19999999999999</v>
      </c>
      <c r="AD214">
        <v>139</v>
      </c>
      <c r="AE214">
        <f t="shared" si="15"/>
        <v>1757.4999999999998</v>
      </c>
      <c r="AF214">
        <f t="shared" si="16"/>
        <v>136.69999999999999</v>
      </c>
      <c r="AG214">
        <f t="shared" si="17"/>
        <v>121.2</v>
      </c>
      <c r="AH214">
        <f t="shared" si="18"/>
        <v>146.1</v>
      </c>
      <c r="AI214">
        <f t="shared" si="19"/>
        <v>1391</v>
      </c>
    </row>
    <row r="215" spans="1:35" x14ac:dyDescent="0.3">
      <c r="A215" t="s">
        <v>33</v>
      </c>
      <c r="B215">
        <v>2018</v>
      </c>
      <c r="C215" t="s">
        <v>44</v>
      </c>
      <c r="D215">
        <v>137.4</v>
      </c>
      <c r="E215">
        <v>149.19999999999999</v>
      </c>
      <c r="F215">
        <v>137.1</v>
      </c>
      <c r="G215">
        <v>141.80000000000001</v>
      </c>
      <c r="H215">
        <v>121.1</v>
      </c>
      <c r="I215">
        <v>142.80000000000001</v>
      </c>
      <c r="J215">
        <v>146.69999999999999</v>
      </c>
      <c r="K215">
        <v>119.1</v>
      </c>
      <c r="L215">
        <v>111.9</v>
      </c>
      <c r="M215">
        <v>140.9</v>
      </c>
      <c r="N215">
        <v>133.5</v>
      </c>
      <c r="O215">
        <v>154.5</v>
      </c>
      <c r="P215">
        <v>139.69999999999999</v>
      </c>
      <c r="Q215">
        <v>162.6</v>
      </c>
      <c r="R215">
        <v>148</v>
      </c>
      <c r="S215">
        <v>139.1</v>
      </c>
      <c r="T215">
        <v>146.69999999999999</v>
      </c>
      <c r="U215">
        <v>146.9</v>
      </c>
      <c r="V215">
        <v>145.1</v>
      </c>
      <c r="W215">
        <v>142.19999999999999</v>
      </c>
      <c r="X215">
        <v>142.1</v>
      </c>
      <c r="Y215">
        <v>125.5</v>
      </c>
      <c r="Z215">
        <v>136.5</v>
      </c>
      <c r="AA215">
        <v>147.80000000000001</v>
      </c>
      <c r="AB215">
        <v>132</v>
      </c>
      <c r="AC215">
        <v>136.30000000000001</v>
      </c>
      <c r="AD215">
        <v>140.80000000000001</v>
      </c>
      <c r="AE215">
        <f t="shared" si="15"/>
        <v>1775.7000000000003</v>
      </c>
      <c r="AF215">
        <f t="shared" si="16"/>
        <v>145.1</v>
      </c>
      <c r="AG215">
        <f t="shared" si="17"/>
        <v>125.5</v>
      </c>
      <c r="AH215">
        <f t="shared" si="18"/>
        <v>147.80000000000001</v>
      </c>
      <c r="AI215">
        <f t="shared" si="19"/>
        <v>1432.3999999999999</v>
      </c>
    </row>
    <row r="216" spans="1:35" x14ac:dyDescent="0.3">
      <c r="A216" t="s">
        <v>30</v>
      </c>
      <c r="B216">
        <v>2018</v>
      </c>
      <c r="C216" t="s">
        <v>45</v>
      </c>
      <c r="D216">
        <v>137.1</v>
      </c>
      <c r="E216">
        <v>151.9</v>
      </c>
      <c r="F216">
        <v>137.4</v>
      </c>
      <c r="G216">
        <v>142.4</v>
      </c>
      <c r="H216">
        <v>124.2</v>
      </c>
      <c r="I216">
        <v>140.19999999999999</v>
      </c>
      <c r="J216">
        <v>136.6</v>
      </c>
      <c r="K216">
        <v>120.9</v>
      </c>
      <c r="L216">
        <v>109.9</v>
      </c>
      <c r="M216">
        <v>140.19999999999999</v>
      </c>
      <c r="N216">
        <v>137.80000000000001</v>
      </c>
      <c r="O216">
        <v>156</v>
      </c>
      <c r="P216">
        <v>138.5</v>
      </c>
      <c r="Q216">
        <v>162.4</v>
      </c>
      <c r="R216">
        <v>151.6</v>
      </c>
      <c r="S216">
        <v>145.9</v>
      </c>
      <c r="T216">
        <v>150.80000000000001</v>
      </c>
      <c r="U216">
        <v>146.5</v>
      </c>
      <c r="V216">
        <v>149</v>
      </c>
      <c r="W216">
        <v>149.5</v>
      </c>
      <c r="X216">
        <v>149.6</v>
      </c>
      <c r="Y216">
        <v>128.9</v>
      </c>
      <c r="Z216">
        <v>143.30000000000001</v>
      </c>
      <c r="AA216">
        <v>155.1</v>
      </c>
      <c r="AB216">
        <v>133.19999999999999</v>
      </c>
      <c r="AC216">
        <v>141.6</v>
      </c>
      <c r="AD216">
        <v>141.9</v>
      </c>
      <c r="AE216">
        <f t="shared" si="15"/>
        <v>1773.1000000000001</v>
      </c>
      <c r="AF216">
        <f t="shared" si="16"/>
        <v>149</v>
      </c>
      <c r="AG216">
        <f t="shared" si="17"/>
        <v>128.9</v>
      </c>
      <c r="AH216">
        <f t="shared" si="18"/>
        <v>155.1</v>
      </c>
      <c r="AI216">
        <f t="shared" si="19"/>
        <v>1474.3999999999999</v>
      </c>
    </row>
    <row r="217" spans="1:35" x14ac:dyDescent="0.3">
      <c r="A217" t="s">
        <v>32</v>
      </c>
      <c r="B217">
        <v>2018</v>
      </c>
      <c r="C217" t="s">
        <v>45</v>
      </c>
      <c r="D217">
        <v>138.5</v>
      </c>
      <c r="E217">
        <v>147.80000000000001</v>
      </c>
      <c r="F217">
        <v>141.1</v>
      </c>
      <c r="G217">
        <v>141.6</v>
      </c>
      <c r="H217">
        <v>118.1</v>
      </c>
      <c r="I217">
        <v>138.5</v>
      </c>
      <c r="J217">
        <v>132.4</v>
      </c>
      <c r="K217">
        <v>117.5</v>
      </c>
      <c r="L217">
        <v>111</v>
      </c>
      <c r="M217">
        <v>141.5</v>
      </c>
      <c r="N217">
        <v>128.1</v>
      </c>
      <c r="O217">
        <v>152.9</v>
      </c>
      <c r="P217">
        <v>137.6</v>
      </c>
      <c r="Q217">
        <v>164.6</v>
      </c>
      <c r="R217">
        <v>142.69999999999999</v>
      </c>
      <c r="S217">
        <v>130.30000000000001</v>
      </c>
      <c r="T217">
        <v>140.80000000000001</v>
      </c>
      <c r="U217">
        <v>146.5</v>
      </c>
      <c r="V217">
        <v>132.4</v>
      </c>
      <c r="W217">
        <v>136.19999999999999</v>
      </c>
      <c r="X217">
        <v>137.30000000000001</v>
      </c>
      <c r="Y217">
        <v>118.8</v>
      </c>
      <c r="Z217">
        <v>131.69999999999999</v>
      </c>
      <c r="AA217">
        <v>146.5</v>
      </c>
      <c r="AB217">
        <v>130.80000000000001</v>
      </c>
      <c r="AC217">
        <v>131.69999999999999</v>
      </c>
      <c r="AD217">
        <v>138</v>
      </c>
      <c r="AE217">
        <f t="shared" si="15"/>
        <v>1746.6</v>
      </c>
      <c r="AF217">
        <f t="shared" si="16"/>
        <v>132.4</v>
      </c>
      <c r="AG217">
        <f t="shared" si="17"/>
        <v>118.8</v>
      </c>
      <c r="AH217">
        <f t="shared" si="18"/>
        <v>146.5</v>
      </c>
      <c r="AI217">
        <f t="shared" si="19"/>
        <v>1392.6</v>
      </c>
    </row>
    <row r="218" spans="1:35" x14ac:dyDescent="0.3">
      <c r="A218" t="s">
        <v>33</v>
      </c>
      <c r="B218">
        <v>2018</v>
      </c>
      <c r="C218" t="s">
        <v>45</v>
      </c>
      <c r="D218">
        <v>137.5</v>
      </c>
      <c r="E218">
        <v>150.5</v>
      </c>
      <c r="F218">
        <v>138.80000000000001</v>
      </c>
      <c r="G218">
        <v>142.1</v>
      </c>
      <c r="H218">
        <v>122</v>
      </c>
      <c r="I218">
        <v>139.4</v>
      </c>
      <c r="J218">
        <v>135.19999999999999</v>
      </c>
      <c r="K218">
        <v>119.8</v>
      </c>
      <c r="L218">
        <v>110.3</v>
      </c>
      <c r="M218">
        <v>140.6</v>
      </c>
      <c r="N218">
        <v>133.80000000000001</v>
      </c>
      <c r="O218">
        <v>154.6</v>
      </c>
      <c r="P218">
        <v>138.19999999999999</v>
      </c>
      <c r="Q218">
        <v>163</v>
      </c>
      <c r="R218">
        <v>148.1</v>
      </c>
      <c r="S218">
        <v>139.4</v>
      </c>
      <c r="T218">
        <v>146.80000000000001</v>
      </c>
      <c r="U218">
        <v>146.5</v>
      </c>
      <c r="V218">
        <v>142.69999999999999</v>
      </c>
      <c r="W218">
        <v>143.19999999999999</v>
      </c>
      <c r="X218">
        <v>144.9</v>
      </c>
      <c r="Y218">
        <v>123.6</v>
      </c>
      <c r="Z218">
        <v>136.80000000000001</v>
      </c>
      <c r="AA218">
        <v>150.1</v>
      </c>
      <c r="AB218">
        <v>132.19999999999999</v>
      </c>
      <c r="AC218">
        <v>136.80000000000001</v>
      </c>
      <c r="AD218">
        <v>140.1</v>
      </c>
      <c r="AE218">
        <f t="shared" si="15"/>
        <v>1762.7999999999997</v>
      </c>
      <c r="AF218">
        <f t="shared" si="16"/>
        <v>142.69999999999999</v>
      </c>
      <c r="AG218">
        <f t="shared" si="17"/>
        <v>123.6</v>
      </c>
      <c r="AH218">
        <f t="shared" si="18"/>
        <v>150.1</v>
      </c>
      <c r="AI218">
        <f t="shared" si="19"/>
        <v>1437.7</v>
      </c>
    </row>
    <row r="219" spans="1:35" x14ac:dyDescent="0.3">
      <c r="A219" t="s">
        <v>30</v>
      </c>
      <c r="B219">
        <v>2019</v>
      </c>
      <c r="C219" t="s">
        <v>31</v>
      </c>
      <c r="D219">
        <v>136.6</v>
      </c>
      <c r="E219">
        <v>152.5</v>
      </c>
      <c r="F219">
        <v>138.19999999999999</v>
      </c>
      <c r="G219">
        <v>142.4</v>
      </c>
      <c r="H219">
        <v>123.9</v>
      </c>
      <c r="I219">
        <v>135.5</v>
      </c>
      <c r="J219">
        <v>131.69999999999999</v>
      </c>
      <c r="K219">
        <v>121.3</v>
      </c>
      <c r="L219">
        <v>108.4</v>
      </c>
      <c r="M219">
        <v>138.9</v>
      </c>
      <c r="N219">
        <v>137</v>
      </c>
      <c r="O219">
        <v>155.80000000000001</v>
      </c>
      <c r="P219">
        <v>137.4</v>
      </c>
      <c r="Q219">
        <v>162.69999999999999</v>
      </c>
      <c r="R219">
        <v>150.6</v>
      </c>
      <c r="S219">
        <v>145.1</v>
      </c>
      <c r="T219">
        <v>149.9</v>
      </c>
      <c r="U219">
        <v>147.69999999999999</v>
      </c>
      <c r="V219">
        <v>146.19999999999999</v>
      </c>
      <c r="W219">
        <v>150.1</v>
      </c>
      <c r="X219">
        <v>149.6</v>
      </c>
      <c r="Y219">
        <v>128.6</v>
      </c>
      <c r="Z219">
        <v>142.9</v>
      </c>
      <c r="AA219">
        <v>155.19999999999999</v>
      </c>
      <c r="AB219">
        <v>133.5</v>
      </c>
      <c r="AC219">
        <v>141.69999999999999</v>
      </c>
      <c r="AD219">
        <v>141</v>
      </c>
      <c r="AE219">
        <f t="shared" si="15"/>
        <v>1759.6000000000001</v>
      </c>
      <c r="AF219">
        <f t="shared" si="16"/>
        <v>146.19999999999999</v>
      </c>
      <c r="AG219">
        <f t="shared" si="17"/>
        <v>128.6</v>
      </c>
      <c r="AH219">
        <f t="shared" si="18"/>
        <v>155.19999999999999</v>
      </c>
      <c r="AI219">
        <f t="shared" si="19"/>
        <v>1473.8000000000002</v>
      </c>
    </row>
    <row r="220" spans="1:35" x14ac:dyDescent="0.3">
      <c r="A220" t="s">
        <v>32</v>
      </c>
      <c r="B220">
        <v>2019</v>
      </c>
      <c r="C220" t="s">
        <v>31</v>
      </c>
      <c r="D220">
        <v>138.30000000000001</v>
      </c>
      <c r="E220">
        <v>149.4</v>
      </c>
      <c r="F220">
        <v>143.5</v>
      </c>
      <c r="G220">
        <v>141.69999999999999</v>
      </c>
      <c r="H220">
        <v>118.1</v>
      </c>
      <c r="I220">
        <v>135.19999999999999</v>
      </c>
      <c r="J220">
        <v>130.5</v>
      </c>
      <c r="K220">
        <v>118.2</v>
      </c>
      <c r="L220">
        <v>110.4</v>
      </c>
      <c r="M220">
        <v>140.4</v>
      </c>
      <c r="N220">
        <v>128.1</v>
      </c>
      <c r="O220">
        <v>153.19999999999999</v>
      </c>
      <c r="P220">
        <v>137.30000000000001</v>
      </c>
      <c r="Q220">
        <v>164.7</v>
      </c>
      <c r="R220">
        <v>143</v>
      </c>
      <c r="S220">
        <v>130.4</v>
      </c>
      <c r="T220">
        <v>141.1</v>
      </c>
      <c r="U220">
        <v>147.69999999999999</v>
      </c>
      <c r="V220">
        <v>128.6</v>
      </c>
      <c r="W220">
        <v>136.30000000000001</v>
      </c>
      <c r="X220">
        <v>137.80000000000001</v>
      </c>
      <c r="Y220">
        <v>118.6</v>
      </c>
      <c r="Z220">
        <v>131.9</v>
      </c>
      <c r="AA220">
        <v>146.6</v>
      </c>
      <c r="AB220">
        <v>131.69999999999999</v>
      </c>
      <c r="AC220">
        <v>131.80000000000001</v>
      </c>
      <c r="AD220">
        <v>138</v>
      </c>
      <c r="AE220">
        <f t="shared" si="15"/>
        <v>1744.3000000000002</v>
      </c>
      <c r="AF220">
        <f t="shared" si="16"/>
        <v>128.6</v>
      </c>
      <c r="AG220">
        <f t="shared" si="17"/>
        <v>118.6</v>
      </c>
      <c r="AH220">
        <f t="shared" si="18"/>
        <v>146.6</v>
      </c>
      <c r="AI220">
        <f t="shared" si="19"/>
        <v>1396.4</v>
      </c>
    </row>
    <row r="221" spans="1:35" x14ac:dyDescent="0.3">
      <c r="A221" t="s">
        <v>33</v>
      </c>
      <c r="B221">
        <v>2019</v>
      </c>
      <c r="C221" t="s">
        <v>31</v>
      </c>
      <c r="D221">
        <v>137.1</v>
      </c>
      <c r="E221">
        <v>151.4</v>
      </c>
      <c r="F221">
        <v>140.19999999999999</v>
      </c>
      <c r="G221">
        <v>142.1</v>
      </c>
      <c r="H221">
        <v>121.8</v>
      </c>
      <c r="I221">
        <v>135.4</v>
      </c>
      <c r="J221">
        <v>131.30000000000001</v>
      </c>
      <c r="K221">
        <v>120.3</v>
      </c>
      <c r="L221">
        <v>109.1</v>
      </c>
      <c r="M221">
        <v>139.4</v>
      </c>
      <c r="N221">
        <v>133.30000000000001</v>
      </c>
      <c r="O221">
        <v>154.6</v>
      </c>
      <c r="P221">
        <v>137.4</v>
      </c>
      <c r="Q221">
        <v>163.19999999999999</v>
      </c>
      <c r="R221">
        <v>147.6</v>
      </c>
      <c r="S221">
        <v>139</v>
      </c>
      <c r="T221">
        <v>146.4</v>
      </c>
      <c r="U221">
        <v>147.69999999999999</v>
      </c>
      <c r="V221">
        <v>139.5</v>
      </c>
      <c r="W221">
        <v>143.6</v>
      </c>
      <c r="X221">
        <v>145.1</v>
      </c>
      <c r="Y221">
        <v>123.3</v>
      </c>
      <c r="Z221">
        <v>136.69999999999999</v>
      </c>
      <c r="AA221">
        <v>150.19999999999999</v>
      </c>
      <c r="AB221">
        <v>132.80000000000001</v>
      </c>
      <c r="AC221">
        <v>136.9</v>
      </c>
      <c r="AD221">
        <v>139.6</v>
      </c>
      <c r="AE221">
        <f t="shared" si="15"/>
        <v>1753.3999999999999</v>
      </c>
      <c r="AF221">
        <f t="shared" si="16"/>
        <v>139.5</v>
      </c>
      <c r="AG221">
        <f t="shared" si="17"/>
        <v>123.3</v>
      </c>
      <c r="AH221">
        <f t="shared" si="18"/>
        <v>150.19999999999999</v>
      </c>
      <c r="AI221">
        <f t="shared" si="19"/>
        <v>1439</v>
      </c>
    </row>
    <row r="222" spans="1:35" x14ac:dyDescent="0.3">
      <c r="A222" t="s">
        <v>30</v>
      </c>
      <c r="B222">
        <v>2019</v>
      </c>
      <c r="C222" t="s">
        <v>34</v>
      </c>
      <c r="D222">
        <v>136.80000000000001</v>
      </c>
      <c r="E222">
        <v>153</v>
      </c>
      <c r="F222">
        <v>139.1</v>
      </c>
      <c r="G222">
        <v>142.5</v>
      </c>
      <c r="H222">
        <v>124.1</v>
      </c>
      <c r="I222">
        <v>135.80000000000001</v>
      </c>
      <c r="J222">
        <v>128.69999999999999</v>
      </c>
      <c r="K222">
        <v>121.5</v>
      </c>
      <c r="L222">
        <v>108.3</v>
      </c>
      <c r="M222">
        <v>139.19999999999999</v>
      </c>
      <c r="N222">
        <v>137.4</v>
      </c>
      <c r="O222">
        <v>156.19999999999999</v>
      </c>
      <c r="P222">
        <v>137.19999999999999</v>
      </c>
      <c r="Q222">
        <v>162.80000000000001</v>
      </c>
      <c r="R222">
        <v>150.5</v>
      </c>
      <c r="S222">
        <v>146.1</v>
      </c>
      <c r="T222">
        <v>149.9</v>
      </c>
      <c r="U222">
        <v>148.5</v>
      </c>
      <c r="V222">
        <v>145.30000000000001</v>
      </c>
      <c r="W222">
        <v>150.1</v>
      </c>
      <c r="X222">
        <v>149.9</v>
      </c>
      <c r="Y222">
        <v>129.19999999999999</v>
      </c>
      <c r="Z222">
        <v>143.4</v>
      </c>
      <c r="AA222">
        <v>155.5</v>
      </c>
      <c r="AB222">
        <v>134.9</v>
      </c>
      <c r="AC222">
        <v>142.19999999999999</v>
      </c>
      <c r="AD222">
        <v>141</v>
      </c>
      <c r="AE222">
        <f t="shared" si="15"/>
        <v>1759.8000000000002</v>
      </c>
      <c r="AF222">
        <f t="shared" si="16"/>
        <v>145.30000000000001</v>
      </c>
      <c r="AG222">
        <f t="shared" si="17"/>
        <v>129.19999999999999</v>
      </c>
      <c r="AH222">
        <f t="shared" si="18"/>
        <v>155.5</v>
      </c>
      <c r="AI222">
        <f t="shared" si="19"/>
        <v>1478.3000000000002</v>
      </c>
    </row>
    <row r="223" spans="1:35" x14ac:dyDescent="0.3">
      <c r="A223" t="s">
        <v>32</v>
      </c>
      <c r="B223">
        <v>2019</v>
      </c>
      <c r="C223" t="s">
        <v>34</v>
      </c>
      <c r="D223">
        <v>139.4</v>
      </c>
      <c r="E223">
        <v>150.1</v>
      </c>
      <c r="F223">
        <v>145.30000000000001</v>
      </c>
      <c r="G223">
        <v>141.69999999999999</v>
      </c>
      <c r="H223">
        <v>118.4</v>
      </c>
      <c r="I223">
        <v>137</v>
      </c>
      <c r="J223">
        <v>131.6</v>
      </c>
      <c r="K223">
        <v>119.9</v>
      </c>
      <c r="L223">
        <v>110.4</v>
      </c>
      <c r="M223">
        <v>140.80000000000001</v>
      </c>
      <c r="N223">
        <v>128.30000000000001</v>
      </c>
      <c r="O223">
        <v>153.5</v>
      </c>
      <c r="P223">
        <v>138</v>
      </c>
      <c r="Q223">
        <v>164.9</v>
      </c>
      <c r="R223">
        <v>143.30000000000001</v>
      </c>
      <c r="S223">
        <v>130.80000000000001</v>
      </c>
      <c r="T223">
        <v>141.4</v>
      </c>
      <c r="U223">
        <v>148.5</v>
      </c>
      <c r="V223">
        <v>127.1</v>
      </c>
      <c r="W223">
        <v>136.6</v>
      </c>
      <c r="X223">
        <v>138.5</v>
      </c>
      <c r="Y223">
        <v>119.2</v>
      </c>
      <c r="Z223">
        <v>132.19999999999999</v>
      </c>
      <c r="AA223">
        <v>146.6</v>
      </c>
      <c r="AB223">
        <v>133</v>
      </c>
      <c r="AC223">
        <v>132.4</v>
      </c>
      <c r="AD223">
        <v>138.6</v>
      </c>
      <c r="AE223">
        <f t="shared" si="15"/>
        <v>1754.4</v>
      </c>
      <c r="AF223">
        <f t="shared" si="16"/>
        <v>127.1</v>
      </c>
      <c r="AG223">
        <f t="shared" si="17"/>
        <v>119.2</v>
      </c>
      <c r="AH223">
        <f t="shared" si="18"/>
        <v>146.6</v>
      </c>
      <c r="AI223">
        <f t="shared" si="19"/>
        <v>1401.6000000000001</v>
      </c>
    </row>
    <row r="224" spans="1:35" x14ac:dyDescent="0.3">
      <c r="A224" t="s">
        <v>33</v>
      </c>
      <c r="B224">
        <v>2019</v>
      </c>
      <c r="C224" t="s">
        <v>34</v>
      </c>
      <c r="D224">
        <v>137.6</v>
      </c>
      <c r="E224">
        <v>152</v>
      </c>
      <c r="F224">
        <v>141.5</v>
      </c>
      <c r="G224">
        <v>142.19999999999999</v>
      </c>
      <c r="H224">
        <v>122</v>
      </c>
      <c r="I224">
        <v>136.4</v>
      </c>
      <c r="J224">
        <v>129.69999999999999</v>
      </c>
      <c r="K224">
        <v>121</v>
      </c>
      <c r="L224">
        <v>109</v>
      </c>
      <c r="M224">
        <v>139.69999999999999</v>
      </c>
      <c r="N224">
        <v>133.6</v>
      </c>
      <c r="O224">
        <v>154.9</v>
      </c>
      <c r="P224">
        <v>137.5</v>
      </c>
      <c r="Q224">
        <v>163.4</v>
      </c>
      <c r="R224">
        <v>147.69999999999999</v>
      </c>
      <c r="S224">
        <v>139.69999999999999</v>
      </c>
      <c r="T224">
        <v>146.5</v>
      </c>
      <c r="U224">
        <v>148.5</v>
      </c>
      <c r="V224">
        <v>138.4</v>
      </c>
      <c r="W224">
        <v>143.69999999999999</v>
      </c>
      <c r="X224">
        <v>145.6</v>
      </c>
      <c r="Y224">
        <v>123.9</v>
      </c>
      <c r="Z224">
        <v>137.1</v>
      </c>
      <c r="AA224">
        <v>150.30000000000001</v>
      </c>
      <c r="AB224">
        <v>134.1</v>
      </c>
      <c r="AC224">
        <v>137.4</v>
      </c>
      <c r="AD224">
        <v>139.9</v>
      </c>
      <c r="AE224">
        <f t="shared" si="15"/>
        <v>1757.1</v>
      </c>
      <c r="AF224">
        <f t="shared" si="16"/>
        <v>138.4</v>
      </c>
      <c r="AG224">
        <f t="shared" si="17"/>
        <v>123.9</v>
      </c>
      <c r="AH224">
        <f t="shared" si="18"/>
        <v>150.30000000000001</v>
      </c>
      <c r="AI224">
        <f t="shared" si="19"/>
        <v>1443.6999999999998</v>
      </c>
    </row>
    <row r="225" spans="1:35" x14ac:dyDescent="0.3">
      <c r="A225" t="s">
        <v>30</v>
      </c>
      <c r="B225">
        <v>2019</v>
      </c>
      <c r="C225" t="s">
        <v>35</v>
      </c>
      <c r="D225">
        <v>136.9</v>
      </c>
      <c r="E225">
        <v>154.1</v>
      </c>
      <c r="F225">
        <v>138.69999999999999</v>
      </c>
      <c r="G225">
        <v>142.5</v>
      </c>
      <c r="H225">
        <v>124.1</v>
      </c>
      <c r="I225">
        <v>136.1</v>
      </c>
      <c r="J225">
        <v>128.19999999999999</v>
      </c>
      <c r="K225">
        <v>122.3</v>
      </c>
      <c r="L225">
        <v>108.3</v>
      </c>
      <c r="M225">
        <v>138.9</v>
      </c>
      <c r="N225">
        <v>137.4</v>
      </c>
      <c r="O225">
        <v>156.4</v>
      </c>
      <c r="P225">
        <v>137.30000000000001</v>
      </c>
      <c r="Q225">
        <v>162.9</v>
      </c>
      <c r="R225">
        <v>150.80000000000001</v>
      </c>
      <c r="S225">
        <v>146.1</v>
      </c>
      <c r="T225">
        <v>150.1</v>
      </c>
      <c r="U225">
        <v>149</v>
      </c>
      <c r="V225">
        <v>146.4</v>
      </c>
      <c r="W225">
        <v>150</v>
      </c>
      <c r="X225">
        <v>150.4</v>
      </c>
      <c r="Y225">
        <v>129.9</v>
      </c>
      <c r="Z225">
        <v>143.80000000000001</v>
      </c>
      <c r="AA225">
        <v>155.5</v>
      </c>
      <c r="AB225">
        <v>134</v>
      </c>
      <c r="AC225">
        <v>142.4</v>
      </c>
      <c r="AD225">
        <v>141.19999999999999</v>
      </c>
      <c r="AE225">
        <f t="shared" si="15"/>
        <v>1761.2000000000003</v>
      </c>
      <c r="AF225">
        <f t="shared" si="16"/>
        <v>146.4</v>
      </c>
      <c r="AG225">
        <f t="shared" si="17"/>
        <v>129.9</v>
      </c>
      <c r="AH225">
        <f t="shared" si="18"/>
        <v>155.5</v>
      </c>
      <c r="AI225">
        <f t="shared" si="19"/>
        <v>1479.5000000000002</v>
      </c>
    </row>
    <row r="226" spans="1:35" x14ac:dyDescent="0.3">
      <c r="A226" t="s">
        <v>32</v>
      </c>
      <c r="B226">
        <v>2019</v>
      </c>
      <c r="C226" t="s">
        <v>35</v>
      </c>
      <c r="D226">
        <v>139.69999999999999</v>
      </c>
      <c r="E226">
        <v>151.1</v>
      </c>
      <c r="F226">
        <v>142.9</v>
      </c>
      <c r="G226">
        <v>141.9</v>
      </c>
      <c r="H226">
        <v>118.4</v>
      </c>
      <c r="I226">
        <v>139.4</v>
      </c>
      <c r="J226">
        <v>141.19999999999999</v>
      </c>
      <c r="K226">
        <v>120.7</v>
      </c>
      <c r="L226">
        <v>110.4</v>
      </c>
      <c r="M226">
        <v>140.69999999999999</v>
      </c>
      <c r="N226">
        <v>128.5</v>
      </c>
      <c r="O226">
        <v>153.9</v>
      </c>
      <c r="P226">
        <v>139.6</v>
      </c>
      <c r="Q226">
        <v>165.3</v>
      </c>
      <c r="R226">
        <v>143.5</v>
      </c>
      <c r="S226">
        <v>131.19999999999999</v>
      </c>
      <c r="T226">
        <v>141.6</v>
      </c>
      <c r="U226">
        <v>149</v>
      </c>
      <c r="V226">
        <v>128.80000000000001</v>
      </c>
      <c r="W226">
        <v>136.80000000000001</v>
      </c>
      <c r="X226">
        <v>139.19999999999999</v>
      </c>
      <c r="Y226">
        <v>119.9</v>
      </c>
      <c r="Z226">
        <v>133</v>
      </c>
      <c r="AA226">
        <v>146.69999999999999</v>
      </c>
      <c r="AB226">
        <v>132.5</v>
      </c>
      <c r="AC226">
        <v>132.80000000000001</v>
      </c>
      <c r="AD226">
        <v>139.5</v>
      </c>
      <c r="AE226">
        <f t="shared" si="15"/>
        <v>1768.4</v>
      </c>
      <c r="AF226">
        <f t="shared" si="16"/>
        <v>128.80000000000001</v>
      </c>
      <c r="AG226">
        <f t="shared" si="17"/>
        <v>119.9</v>
      </c>
      <c r="AH226">
        <f t="shared" si="18"/>
        <v>146.69999999999999</v>
      </c>
      <c r="AI226">
        <f t="shared" si="19"/>
        <v>1404.9</v>
      </c>
    </row>
    <row r="227" spans="1:35" x14ac:dyDescent="0.3">
      <c r="A227" t="s">
        <v>33</v>
      </c>
      <c r="B227">
        <v>2019</v>
      </c>
      <c r="C227" t="s">
        <v>35</v>
      </c>
      <c r="D227">
        <v>137.80000000000001</v>
      </c>
      <c r="E227">
        <v>153</v>
      </c>
      <c r="F227">
        <v>140.30000000000001</v>
      </c>
      <c r="G227">
        <v>142.30000000000001</v>
      </c>
      <c r="H227">
        <v>122</v>
      </c>
      <c r="I227">
        <v>137.6</v>
      </c>
      <c r="J227">
        <v>132.6</v>
      </c>
      <c r="K227">
        <v>121.8</v>
      </c>
      <c r="L227">
        <v>109</v>
      </c>
      <c r="M227">
        <v>139.5</v>
      </c>
      <c r="N227">
        <v>133.69999999999999</v>
      </c>
      <c r="O227">
        <v>155.19999999999999</v>
      </c>
      <c r="P227">
        <v>138.1</v>
      </c>
      <c r="Q227">
        <v>163.5</v>
      </c>
      <c r="R227">
        <v>147.9</v>
      </c>
      <c r="S227">
        <v>139.9</v>
      </c>
      <c r="T227">
        <v>146.69999999999999</v>
      </c>
      <c r="U227">
        <v>149</v>
      </c>
      <c r="V227">
        <v>139.69999999999999</v>
      </c>
      <c r="W227">
        <v>143.80000000000001</v>
      </c>
      <c r="X227">
        <v>146.19999999999999</v>
      </c>
      <c r="Y227">
        <v>124.6</v>
      </c>
      <c r="Z227">
        <v>137.69999999999999</v>
      </c>
      <c r="AA227">
        <v>150.30000000000001</v>
      </c>
      <c r="AB227">
        <v>133.4</v>
      </c>
      <c r="AC227">
        <v>137.69999999999999</v>
      </c>
      <c r="AD227">
        <v>140.4</v>
      </c>
      <c r="AE227">
        <f t="shared" si="15"/>
        <v>1762.9</v>
      </c>
      <c r="AF227">
        <f t="shared" si="16"/>
        <v>139.69999999999999</v>
      </c>
      <c r="AG227">
        <f t="shared" si="17"/>
        <v>124.6</v>
      </c>
      <c r="AH227">
        <f t="shared" si="18"/>
        <v>150.30000000000001</v>
      </c>
      <c r="AI227">
        <f t="shared" si="19"/>
        <v>1445.8000000000002</v>
      </c>
    </row>
    <row r="228" spans="1:35" x14ac:dyDescent="0.3">
      <c r="A228" t="s">
        <v>30</v>
      </c>
      <c r="B228">
        <v>2019</v>
      </c>
      <c r="C228" t="s">
        <v>37</v>
      </c>
      <c r="D228">
        <v>137.4</v>
      </c>
      <c r="E228">
        <v>159.5</v>
      </c>
      <c r="F228">
        <v>134.5</v>
      </c>
      <c r="G228">
        <v>142.6</v>
      </c>
      <c r="H228">
        <v>124</v>
      </c>
      <c r="I228">
        <v>143.69999999999999</v>
      </c>
      <c r="J228">
        <v>133.4</v>
      </c>
      <c r="K228">
        <v>125.1</v>
      </c>
      <c r="L228">
        <v>109.3</v>
      </c>
      <c r="M228">
        <v>139.30000000000001</v>
      </c>
      <c r="N228">
        <v>137.69999999999999</v>
      </c>
      <c r="O228">
        <v>156.4</v>
      </c>
      <c r="P228">
        <v>139.19999999999999</v>
      </c>
      <c r="Q228">
        <v>163.30000000000001</v>
      </c>
      <c r="R228">
        <v>151.30000000000001</v>
      </c>
      <c r="S228">
        <v>146.6</v>
      </c>
      <c r="T228">
        <v>150.69999999999999</v>
      </c>
      <c r="U228">
        <v>150.1</v>
      </c>
      <c r="V228">
        <v>146.9</v>
      </c>
      <c r="W228">
        <v>149.5</v>
      </c>
      <c r="X228">
        <v>151.30000000000001</v>
      </c>
      <c r="Y228">
        <v>130.19999999999999</v>
      </c>
      <c r="Z228">
        <v>145.9</v>
      </c>
      <c r="AA228">
        <v>156.69999999999999</v>
      </c>
      <c r="AB228">
        <v>133.9</v>
      </c>
      <c r="AC228">
        <v>142.9</v>
      </c>
      <c r="AD228">
        <v>142.4</v>
      </c>
      <c r="AE228">
        <f t="shared" si="15"/>
        <v>1782.1000000000001</v>
      </c>
      <c r="AF228">
        <f t="shared" si="16"/>
        <v>146.9</v>
      </c>
      <c r="AG228">
        <f t="shared" si="17"/>
        <v>130.19999999999999</v>
      </c>
      <c r="AH228">
        <f t="shared" si="18"/>
        <v>156.69999999999999</v>
      </c>
      <c r="AI228">
        <f t="shared" si="19"/>
        <v>1485.5000000000005</v>
      </c>
    </row>
    <row r="229" spans="1:35" x14ac:dyDescent="0.3">
      <c r="A229" t="s">
        <v>32</v>
      </c>
      <c r="B229">
        <v>2019</v>
      </c>
      <c r="C229" t="s">
        <v>37</v>
      </c>
      <c r="D229">
        <v>140.4</v>
      </c>
      <c r="E229">
        <v>156.69999999999999</v>
      </c>
      <c r="F229">
        <v>138.30000000000001</v>
      </c>
      <c r="G229">
        <v>142.4</v>
      </c>
      <c r="H229">
        <v>118.6</v>
      </c>
      <c r="I229">
        <v>149.69999999999999</v>
      </c>
      <c r="J229">
        <v>161.6</v>
      </c>
      <c r="K229">
        <v>124.4</v>
      </c>
      <c r="L229">
        <v>111.2</v>
      </c>
      <c r="M229">
        <v>141</v>
      </c>
      <c r="N229">
        <v>128.9</v>
      </c>
      <c r="O229">
        <v>154.5</v>
      </c>
      <c r="P229">
        <v>143.80000000000001</v>
      </c>
      <c r="Q229">
        <v>166.2</v>
      </c>
      <c r="R229">
        <v>144</v>
      </c>
      <c r="S229">
        <v>131.69999999999999</v>
      </c>
      <c r="T229">
        <v>142.19999999999999</v>
      </c>
      <c r="U229">
        <v>150.1</v>
      </c>
      <c r="V229">
        <v>129.4</v>
      </c>
      <c r="W229">
        <v>137.19999999999999</v>
      </c>
      <c r="X229">
        <v>139.80000000000001</v>
      </c>
      <c r="Y229">
        <v>120.1</v>
      </c>
      <c r="Z229">
        <v>134</v>
      </c>
      <c r="AA229">
        <v>148</v>
      </c>
      <c r="AB229">
        <v>132.6</v>
      </c>
      <c r="AC229">
        <v>133.30000000000001</v>
      </c>
      <c r="AD229">
        <v>141.5</v>
      </c>
      <c r="AE229">
        <f t="shared" si="15"/>
        <v>1811.5000000000002</v>
      </c>
      <c r="AF229">
        <f t="shared" si="16"/>
        <v>129.4</v>
      </c>
      <c r="AG229">
        <f t="shared" si="17"/>
        <v>120.1</v>
      </c>
      <c r="AH229">
        <f t="shared" si="18"/>
        <v>148</v>
      </c>
      <c r="AI229">
        <f t="shared" si="19"/>
        <v>1411.0999999999997</v>
      </c>
    </row>
    <row r="230" spans="1:35" x14ac:dyDescent="0.3">
      <c r="A230" t="s">
        <v>33</v>
      </c>
      <c r="B230">
        <v>2019</v>
      </c>
      <c r="C230" t="s">
        <v>37</v>
      </c>
      <c r="D230">
        <v>138.30000000000001</v>
      </c>
      <c r="E230">
        <v>158.5</v>
      </c>
      <c r="F230">
        <v>136</v>
      </c>
      <c r="G230">
        <v>142.5</v>
      </c>
      <c r="H230">
        <v>122</v>
      </c>
      <c r="I230">
        <v>146.5</v>
      </c>
      <c r="J230">
        <v>143</v>
      </c>
      <c r="K230">
        <v>124.9</v>
      </c>
      <c r="L230">
        <v>109.9</v>
      </c>
      <c r="M230">
        <v>139.9</v>
      </c>
      <c r="N230">
        <v>134</v>
      </c>
      <c r="O230">
        <v>155.5</v>
      </c>
      <c r="P230">
        <v>140.9</v>
      </c>
      <c r="Q230">
        <v>164.1</v>
      </c>
      <c r="R230">
        <v>148.4</v>
      </c>
      <c r="S230">
        <v>140.4</v>
      </c>
      <c r="T230">
        <v>147.30000000000001</v>
      </c>
      <c r="U230">
        <v>150.1</v>
      </c>
      <c r="V230">
        <v>140.30000000000001</v>
      </c>
      <c r="W230">
        <v>143.69999999999999</v>
      </c>
      <c r="X230">
        <v>146.9</v>
      </c>
      <c r="Y230">
        <v>124.9</v>
      </c>
      <c r="Z230">
        <v>139.19999999999999</v>
      </c>
      <c r="AA230">
        <v>151.6</v>
      </c>
      <c r="AB230">
        <v>133.4</v>
      </c>
      <c r="AC230">
        <v>138.19999999999999</v>
      </c>
      <c r="AD230">
        <v>142</v>
      </c>
      <c r="AE230">
        <f t="shared" si="15"/>
        <v>1791.9000000000003</v>
      </c>
      <c r="AF230">
        <f t="shared" si="16"/>
        <v>140.30000000000001</v>
      </c>
      <c r="AG230">
        <f t="shared" si="17"/>
        <v>124.9</v>
      </c>
      <c r="AH230">
        <f t="shared" si="18"/>
        <v>151.6</v>
      </c>
      <c r="AI230">
        <f t="shared" si="19"/>
        <v>1451.7000000000003</v>
      </c>
    </row>
    <row r="231" spans="1:35" x14ac:dyDescent="0.3">
      <c r="A231" t="s">
        <v>30</v>
      </c>
      <c r="B231">
        <v>2019</v>
      </c>
      <c r="C231" t="s">
        <v>38</v>
      </c>
      <c r="D231">
        <v>137.80000000000001</v>
      </c>
      <c r="E231">
        <v>163.5</v>
      </c>
      <c r="F231">
        <v>136.19999999999999</v>
      </c>
      <c r="G231">
        <v>143.19999999999999</v>
      </c>
      <c r="H231">
        <v>124.3</v>
      </c>
      <c r="I231">
        <v>143.30000000000001</v>
      </c>
      <c r="J231">
        <v>140.6</v>
      </c>
      <c r="K231">
        <v>128.69999999999999</v>
      </c>
      <c r="L231">
        <v>110.6</v>
      </c>
      <c r="M231">
        <v>140.4</v>
      </c>
      <c r="N231">
        <v>138</v>
      </c>
      <c r="O231">
        <v>156.6</v>
      </c>
      <c r="P231">
        <v>141</v>
      </c>
      <c r="Q231">
        <v>164.2</v>
      </c>
      <c r="R231">
        <v>151.4</v>
      </c>
      <c r="S231">
        <v>146.5</v>
      </c>
      <c r="T231">
        <v>150.69999999999999</v>
      </c>
      <c r="U231">
        <v>149.4</v>
      </c>
      <c r="V231">
        <v>147.80000000000001</v>
      </c>
      <c r="W231">
        <v>149.6</v>
      </c>
      <c r="X231">
        <v>151.69999999999999</v>
      </c>
      <c r="Y231">
        <v>130.19999999999999</v>
      </c>
      <c r="Z231">
        <v>146.4</v>
      </c>
      <c r="AA231">
        <v>157.69999999999999</v>
      </c>
      <c r="AB231">
        <v>134.80000000000001</v>
      </c>
      <c r="AC231">
        <v>143.30000000000001</v>
      </c>
      <c r="AD231">
        <v>143.6</v>
      </c>
      <c r="AE231">
        <f t="shared" si="15"/>
        <v>1804.1999999999998</v>
      </c>
      <c r="AF231">
        <f t="shared" si="16"/>
        <v>147.80000000000001</v>
      </c>
      <c r="AG231">
        <f t="shared" si="17"/>
        <v>130.19999999999999</v>
      </c>
      <c r="AH231">
        <f t="shared" si="18"/>
        <v>157.69999999999999</v>
      </c>
      <c r="AI231">
        <f t="shared" si="19"/>
        <v>1488</v>
      </c>
    </row>
    <row r="232" spans="1:35" x14ac:dyDescent="0.3">
      <c r="A232" t="s">
        <v>32</v>
      </c>
      <c r="B232">
        <v>2019</v>
      </c>
      <c r="C232" t="s">
        <v>38</v>
      </c>
      <c r="D232">
        <v>140.69999999999999</v>
      </c>
      <c r="E232">
        <v>159.6</v>
      </c>
      <c r="F232">
        <v>140.4</v>
      </c>
      <c r="G232">
        <v>143.4</v>
      </c>
      <c r="H232">
        <v>118.6</v>
      </c>
      <c r="I232">
        <v>150.9</v>
      </c>
      <c r="J232">
        <v>169.8</v>
      </c>
      <c r="K232">
        <v>127.4</v>
      </c>
      <c r="L232">
        <v>111.8</v>
      </c>
      <c r="M232">
        <v>141</v>
      </c>
      <c r="N232">
        <v>129</v>
      </c>
      <c r="O232">
        <v>155.1</v>
      </c>
      <c r="P232">
        <v>145.6</v>
      </c>
      <c r="Q232">
        <v>166.7</v>
      </c>
      <c r="R232">
        <v>144.30000000000001</v>
      </c>
      <c r="S232">
        <v>131.69999999999999</v>
      </c>
      <c r="T232">
        <v>142.4</v>
      </c>
      <c r="U232">
        <v>149.4</v>
      </c>
      <c r="V232">
        <v>130.5</v>
      </c>
      <c r="W232">
        <v>137.4</v>
      </c>
      <c r="X232">
        <v>140.30000000000001</v>
      </c>
      <c r="Y232">
        <v>119.6</v>
      </c>
      <c r="Z232">
        <v>134.30000000000001</v>
      </c>
      <c r="AA232">
        <v>148.9</v>
      </c>
      <c r="AB232">
        <v>133.69999999999999</v>
      </c>
      <c r="AC232">
        <v>133.6</v>
      </c>
      <c r="AD232">
        <v>142.1</v>
      </c>
      <c r="AE232">
        <f t="shared" si="15"/>
        <v>1833.2999999999997</v>
      </c>
      <c r="AF232">
        <f t="shared" si="16"/>
        <v>130.5</v>
      </c>
      <c r="AG232">
        <f t="shared" si="17"/>
        <v>119.6</v>
      </c>
      <c r="AH232">
        <f t="shared" si="18"/>
        <v>148.9</v>
      </c>
      <c r="AI232">
        <f t="shared" si="19"/>
        <v>1413.8</v>
      </c>
    </row>
    <row r="233" spans="1:35" x14ac:dyDescent="0.3">
      <c r="A233" t="s">
        <v>33</v>
      </c>
      <c r="B233">
        <v>2019</v>
      </c>
      <c r="C233" t="s">
        <v>38</v>
      </c>
      <c r="D233">
        <v>138.69999999999999</v>
      </c>
      <c r="E233">
        <v>162.1</v>
      </c>
      <c r="F233">
        <v>137.80000000000001</v>
      </c>
      <c r="G233">
        <v>143.30000000000001</v>
      </c>
      <c r="H233">
        <v>122.2</v>
      </c>
      <c r="I233">
        <v>146.80000000000001</v>
      </c>
      <c r="J233">
        <v>150.5</v>
      </c>
      <c r="K233">
        <v>128.30000000000001</v>
      </c>
      <c r="L233">
        <v>111</v>
      </c>
      <c r="M233">
        <v>140.6</v>
      </c>
      <c r="N233">
        <v>134.19999999999999</v>
      </c>
      <c r="O233">
        <v>155.9</v>
      </c>
      <c r="P233">
        <v>142.69999999999999</v>
      </c>
      <c r="Q233">
        <v>164.9</v>
      </c>
      <c r="R233">
        <v>148.6</v>
      </c>
      <c r="S233">
        <v>140.4</v>
      </c>
      <c r="T233">
        <v>147.4</v>
      </c>
      <c r="U233">
        <v>149.4</v>
      </c>
      <c r="V233">
        <v>141.19999999999999</v>
      </c>
      <c r="W233">
        <v>143.80000000000001</v>
      </c>
      <c r="X233">
        <v>147.4</v>
      </c>
      <c r="Y233">
        <v>124.6</v>
      </c>
      <c r="Z233">
        <v>139.6</v>
      </c>
      <c r="AA233">
        <v>152.5</v>
      </c>
      <c r="AB233">
        <v>134.30000000000001</v>
      </c>
      <c r="AC233">
        <v>138.6</v>
      </c>
      <c r="AD233">
        <v>142.9</v>
      </c>
      <c r="AE233">
        <f t="shared" si="15"/>
        <v>1814.1000000000001</v>
      </c>
      <c r="AF233">
        <f t="shared" si="16"/>
        <v>141.19999999999999</v>
      </c>
      <c r="AG233">
        <f t="shared" si="17"/>
        <v>124.6</v>
      </c>
      <c r="AH233">
        <f t="shared" si="18"/>
        <v>152.5</v>
      </c>
      <c r="AI233">
        <f t="shared" si="19"/>
        <v>1454.3999999999999</v>
      </c>
    </row>
    <row r="234" spans="1:35" x14ac:dyDescent="0.3">
      <c r="A234" t="s">
        <v>30</v>
      </c>
      <c r="B234">
        <v>2019</v>
      </c>
      <c r="C234" t="s">
        <v>39</v>
      </c>
      <c r="D234">
        <v>138.4</v>
      </c>
      <c r="E234">
        <v>164</v>
      </c>
      <c r="F234">
        <v>138.4</v>
      </c>
      <c r="G234">
        <v>143.9</v>
      </c>
      <c r="H234">
        <v>124.4</v>
      </c>
      <c r="I234">
        <v>146.4</v>
      </c>
      <c r="J234">
        <v>150.1</v>
      </c>
      <c r="K234">
        <v>130.6</v>
      </c>
      <c r="L234">
        <v>110.8</v>
      </c>
      <c r="M234">
        <v>141.69999999999999</v>
      </c>
      <c r="N234">
        <v>138.5</v>
      </c>
      <c r="O234">
        <v>156.69999999999999</v>
      </c>
      <c r="P234">
        <v>143</v>
      </c>
      <c r="Q234">
        <v>164.5</v>
      </c>
      <c r="R234">
        <v>151.6</v>
      </c>
      <c r="S234">
        <v>146.6</v>
      </c>
      <c r="T234">
        <v>150.9</v>
      </c>
      <c r="U234">
        <v>150.6</v>
      </c>
      <c r="V234">
        <v>146.80000000000001</v>
      </c>
      <c r="W234">
        <v>150</v>
      </c>
      <c r="X234">
        <v>152.19999999999999</v>
      </c>
      <c r="Y234">
        <v>131.19999999999999</v>
      </c>
      <c r="Z234">
        <v>147.5</v>
      </c>
      <c r="AA234">
        <v>159.1</v>
      </c>
      <c r="AB234">
        <v>136.1</v>
      </c>
      <c r="AC234">
        <v>144.19999999999999</v>
      </c>
      <c r="AD234">
        <v>144.9</v>
      </c>
      <c r="AE234">
        <f t="shared" si="15"/>
        <v>1826.8999999999999</v>
      </c>
      <c r="AF234">
        <f t="shared" si="16"/>
        <v>146.80000000000001</v>
      </c>
      <c r="AG234">
        <f t="shared" si="17"/>
        <v>131.19999999999999</v>
      </c>
      <c r="AH234">
        <f t="shared" si="18"/>
        <v>159.1</v>
      </c>
      <c r="AI234">
        <f t="shared" si="19"/>
        <v>1494.2</v>
      </c>
    </row>
    <row r="235" spans="1:35" x14ac:dyDescent="0.3">
      <c r="A235" t="s">
        <v>32</v>
      </c>
      <c r="B235">
        <v>2019</v>
      </c>
      <c r="C235" t="s">
        <v>39</v>
      </c>
      <c r="D235">
        <v>141.4</v>
      </c>
      <c r="E235">
        <v>160.19999999999999</v>
      </c>
      <c r="F235">
        <v>142.5</v>
      </c>
      <c r="G235">
        <v>144.1</v>
      </c>
      <c r="H235">
        <v>119.3</v>
      </c>
      <c r="I235">
        <v>154.69999999999999</v>
      </c>
      <c r="J235">
        <v>180.1</v>
      </c>
      <c r="K235">
        <v>128.9</v>
      </c>
      <c r="L235">
        <v>111.8</v>
      </c>
      <c r="M235">
        <v>141.6</v>
      </c>
      <c r="N235">
        <v>129.5</v>
      </c>
      <c r="O235">
        <v>155.6</v>
      </c>
      <c r="P235">
        <v>147.69999999999999</v>
      </c>
      <c r="Q235">
        <v>167.2</v>
      </c>
      <c r="R235">
        <v>144.69999999999999</v>
      </c>
      <c r="S235">
        <v>131.9</v>
      </c>
      <c r="T235">
        <v>142.69999999999999</v>
      </c>
      <c r="U235">
        <v>150.6</v>
      </c>
      <c r="V235">
        <v>127</v>
      </c>
      <c r="W235">
        <v>137.69999999999999</v>
      </c>
      <c r="X235">
        <v>140.80000000000001</v>
      </c>
      <c r="Y235">
        <v>120.6</v>
      </c>
      <c r="Z235">
        <v>135</v>
      </c>
      <c r="AA235">
        <v>150.4</v>
      </c>
      <c r="AB235">
        <v>135.1</v>
      </c>
      <c r="AC235">
        <v>134.5</v>
      </c>
      <c r="AD235">
        <v>143.30000000000001</v>
      </c>
      <c r="AE235">
        <f t="shared" si="15"/>
        <v>1857.3999999999999</v>
      </c>
      <c r="AF235">
        <f t="shared" si="16"/>
        <v>127</v>
      </c>
      <c r="AG235">
        <f t="shared" si="17"/>
        <v>120.6</v>
      </c>
      <c r="AH235">
        <f t="shared" si="18"/>
        <v>150.4</v>
      </c>
      <c r="AI235">
        <f t="shared" si="19"/>
        <v>1420.1999999999998</v>
      </c>
    </row>
    <row r="236" spans="1:35" x14ac:dyDescent="0.3">
      <c r="A236" t="s">
        <v>33</v>
      </c>
      <c r="B236">
        <v>2019</v>
      </c>
      <c r="C236" t="s">
        <v>39</v>
      </c>
      <c r="D236">
        <v>139.30000000000001</v>
      </c>
      <c r="E236">
        <v>162.69999999999999</v>
      </c>
      <c r="F236">
        <v>140</v>
      </c>
      <c r="G236">
        <v>144</v>
      </c>
      <c r="H236">
        <v>122.5</v>
      </c>
      <c r="I236">
        <v>150.30000000000001</v>
      </c>
      <c r="J236">
        <v>160.30000000000001</v>
      </c>
      <c r="K236">
        <v>130</v>
      </c>
      <c r="L236">
        <v>111.1</v>
      </c>
      <c r="M236">
        <v>141.69999999999999</v>
      </c>
      <c r="N236">
        <v>134.69999999999999</v>
      </c>
      <c r="O236">
        <v>156.19999999999999</v>
      </c>
      <c r="P236">
        <v>144.69999999999999</v>
      </c>
      <c r="Q236">
        <v>165.2</v>
      </c>
      <c r="R236">
        <v>148.9</v>
      </c>
      <c r="S236">
        <v>140.5</v>
      </c>
      <c r="T236">
        <v>147.6</v>
      </c>
      <c r="U236">
        <v>150.6</v>
      </c>
      <c r="V236">
        <v>139.30000000000001</v>
      </c>
      <c r="W236">
        <v>144.19999999999999</v>
      </c>
      <c r="X236">
        <v>147.9</v>
      </c>
      <c r="Y236">
        <v>125.6</v>
      </c>
      <c r="Z236">
        <v>140.5</v>
      </c>
      <c r="AA236">
        <v>154</v>
      </c>
      <c r="AB236">
        <v>135.69999999999999</v>
      </c>
      <c r="AC236">
        <v>139.5</v>
      </c>
      <c r="AD236">
        <v>144.19999999999999</v>
      </c>
      <c r="AE236">
        <f t="shared" si="15"/>
        <v>1837.5</v>
      </c>
      <c r="AF236">
        <f t="shared" si="16"/>
        <v>139.30000000000001</v>
      </c>
      <c r="AG236">
        <f t="shared" si="17"/>
        <v>125.6</v>
      </c>
      <c r="AH236">
        <f t="shared" si="18"/>
        <v>154</v>
      </c>
      <c r="AI236">
        <f t="shared" si="19"/>
        <v>1460.6000000000001</v>
      </c>
    </row>
    <row r="237" spans="1:35" x14ac:dyDescent="0.3">
      <c r="A237" t="s">
        <v>30</v>
      </c>
      <c r="B237">
        <v>2019</v>
      </c>
      <c r="C237" t="s">
        <v>40</v>
      </c>
      <c r="D237">
        <v>139.19999999999999</v>
      </c>
      <c r="E237">
        <v>161.9</v>
      </c>
      <c r="F237">
        <v>137.1</v>
      </c>
      <c r="G237">
        <v>144.6</v>
      </c>
      <c r="H237">
        <v>124.7</v>
      </c>
      <c r="I237">
        <v>145.5</v>
      </c>
      <c r="J237">
        <v>156.19999999999999</v>
      </c>
      <c r="K237">
        <v>131.5</v>
      </c>
      <c r="L237">
        <v>111.7</v>
      </c>
      <c r="M237">
        <v>142.69999999999999</v>
      </c>
      <c r="N237">
        <v>138.5</v>
      </c>
      <c r="O237">
        <v>156.9</v>
      </c>
      <c r="P237">
        <v>144</v>
      </c>
      <c r="Q237">
        <v>165.1</v>
      </c>
      <c r="R237">
        <v>151.80000000000001</v>
      </c>
      <c r="S237">
        <v>146.6</v>
      </c>
      <c r="T237">
        <v>151.1</v>
      </c>
      <c r="U237">
        <v>151.6</v>
      </c>
      <c r="V237">
        <v>146.4</v>
      </c>
      <c r="W237">
        <v>150.19999999999999</v>
      </c>
      <c r="X237">
        <v>152.69999999999999</v>
      </c>
      <c r="Y237">
        <v>131.4</v>
      </c>
      <c r="Z237">
        <v>148</v>
      </c>
      <c r="AA237">
        <v>159.69999999999999</v>
      </c>
      <c r="AB237">
        <v>138.80000000000001</v>
      </c>
      <c r="AC237">
        <v>144.9</v>
      </c>
      <c r="AD237">
        <v>145.69999999999999</v>
      </c>
      <c r="AE237">
        <f t="shared" si="15"/>
        <v>1834.5000000000002</v>
      </c>
      <c r="AF237">
        <f t="shared" si="16"/>
        <v>146.4</v>
      </c>
      <c r="AG237">
        <f t="shared" si="17"/>
        <v>131.4</v>
      </c>
      <c r="AH237">
        <f t="shared" si="18"/>
        <v>159.69999999999999</v>
      </c>
      <c r="AI237">
        <f t="shared" si="19"/>
        <v>1500.8000000000002</v>
      </c>
    </row>
    <row r="238" spans="1:35" x14ac:dyDescent="0.3">
      <c r="A238" t="s">
        <v>32</v>
      </c>
      <c r="B238">
        <v>2019</v>
      </c>
      <c r="C238" t="s">
        <v>40</v>
      </c>
      <c r="D238">
        <v>142.1</v>
      </c>
      <c r="E238">
        <v>158.30000000000001</v>
      </c>
      <c r="F238">
        <v>140.80000000000001</v>
      </c>
      <c r="G238">
        <v>144.9</v>
      </c>
      <c r="H238">
        <v>119.9</v>
      </c>
      <c r="I238">
        <v>153.9</v>
      </c>
      <c r="J238">
        <v>189.1</v>
      </c>
      <c r="K238">
        <v>129.80000000000001</v>
      </c>
      <c r="L238">
        <v>112.7</v>
      </c>
      <c r="M238">
        <v>142.5</v>
      </c>
      <c r="N238">
        <v>129.80000000000001</v>
      </c>
      <c r="O238">
        <v>156.19999999999999</v>
      </c>
      <c r="P238">
        <v>149.1</v>
      </c>
      <c r="Q238">
        <v>167.9</v>
      </c>
      <c r="R238">
        <v>145</v>
      </c>
      <c r="S238">
        <v>132.19999999999999</v>
      </c>
      <c r="T238">
        <v>143</v>
      </c>
      <c r="U238">
        <v>151.6</v>
      </c>
      <c r="V238">
        <v>125.5</v>
      </c>
      <c r="W238">
        <v>138.1</v>
      </c>
      <c r="X238">
        <v>141.5</v>
      </c>
      <c r="Y238">
        <v>120.8</v>
      </c>
      <c r="Z238">
        <v>135.4</v>
      </c>
      <c r="AA238">
        <v>151.5</v>
      </c>
      <c r="AB238">
        <v>137.80000000000001</v>
      </c>
      <c r="AC238">
        <v>135.30000000000001</v>
      </c>
      <c r="AD238">
        <v>144.19999999999999</v>
      </c>
      <c r="AE238">
        <f t="shared" si="15"/>
        <v>1869.1</v>
      </c>
      <c r="AF238">
        <f t="shared" si="16"/>
        <v>125.5</v>
      </c>
      <c r="AG238">
        <f t="shared" si="17"/>
        <v>120.8</v>
      </c>
      <c r="AH238">
        <f t="shared" si="18"/>
        <v>151.5</v>
      </c>
      <c r="AI238">
        <f t="shared" si="19"/>
        <v>1427.8</v>
      </c>
    </row>
    <row r="239" spans="1:35" x14ac:dyDescent="0.3">
      <c r="A239" t="s">
        <v>33</v>
      </c>
      <c r="B239">
        <v>2019</v>
      </c>
      <c r="C239" t="s">
        <v>40</v>
      </c>
      <c r="D239">
        <v>140.1</v>
      </c>
      <c r="E239">
        <v>160.6</v>
      </c>
      <c r="F239">
        <v>138.5</v>
      </c>
      <c r="G239">
        <v>144.69999999999999</v>
      </c>
      <c r="H239">
        <v>122.9</v>
      </c>
      <c r="I239">
        <v>149.4</v>
      </c>
      <c r="J239">
        <v>167.4</v>
      </c>
      <c r="K239">
        <v>130.9</v>
      </c>
      <c r="L239">
        <v>112</v>
      </c>
      <c r="M239">
        <v>142.6</v>
      </c>
      <c r="N239">
        <v>134.9</v>
      </c>
      <c r="O239">
        <v>156.6</v>
      </c>
      <c r="P239">
        <v>145.9</v>
      </c>
      <c r="Q239">
        <v>165.8</v>
      </c>
      <c r="R239">
        <v>149.1</v>
      </c>
      <c r="S239">
        <v>140.6</v>
      </c>
      <c r="T239">
        <v>147.9</v>
      </c>
      <c r="U239">
        <v>151.6</v>
      </c>
      <c r="V239">
        <v>138.5</v>
      </c>
      <c r="W239">
        <v>144.5</v>
      </c>
      <c r="X239">
        <v>148.5</v>
      </c>
      <c r="Y239">
        <v>125.8</v>
      </c>
      <c r="Z239">
        <v>140.9</v>
      </c>
      <c r="AA239">
        <v>154.9</v>
      </c>
      <c r="AB239">
        <v>138.4</v>
      </c>
      <c r="AC239">
        <v>140.19999999999999</v>
      </c>
      <c r="AD239">
        <v>145</v>
      </c>
      <c r="AE239">
        <f t="shared" si="15"/>
        <v>1846.5</v>
      </c>
      <c r="AF239">
        <f t="shared" si="16"/>
        <v>138.5</v>
      </c>
      <c r="AG239">
        <f t="shared" si="17"/>
        <v>125.8</v>
      </c>
      <c r="AH239">
        <f t="shared" si="18"/>
        <v>154.9</v>
      </c>
      <c r="AI239">
        <f t="shared" si="19"/>
        <v>1467.5000000000002</v>
      </c>
    </row>
    <row r="240" spans="1:35" x14ac:dyDescent="0.3">
      <c r="A240" t="s">
        <v>30</v>
      </c>
      <c r="B240">
        <v>2019</v>
      </c>
      <c r="C240" t="s">
        <v>41</v>
      </c>
      <c r="D240">
        <v>140.1</v>
      </c>
      <c r="E240">
        <v>161.9</v>
      </c>
      <c r="F240">
        <v>138.30000000000001</v>
      </c>
      <c r="G240">
        <v>145.69999999999999</v>
      </c>
      <c r="H240">
        <v>125.1</v>
      </c>
      <c r="I240">
        <v>143.80000000000001</v>
      </c>
      <c r="J240">
        <v>163.4</v>
      </c>
      <c r="K240">
        <v>132.19999999999999</v>
      </c>
      <c r="L240">
        <v>112.8</v>
      </c>
      <c r="M240">
        <v>144.19999999999999</v>
      </c>
      <c r="N240">
        <v>138.5</v>
      </c>
      <c r="O240">
        <v>157.19999999999999</v>
      </c>
      <c r="P240">
        <v>145.5</v>
      </c>
      <c r="Q240">
        <v>165.7</v>
      </c>
      <c r="R240">
        <v>151.69999999999999</v>
      </c>
      <c r="S240">
        <v>146.6</v>
      </c>
      <c r="T240">
        <v>151</v>
      </c>
      <c r="U240">
        <v>152.19999999999999</v>
      </c>
      <c r="V240">
        <v>146.9</v>
      </c>
      <c r="W240">
        <v>150.30000000000001</v>
      </c>
      <c r="X240">
        <v>153.4</v>
      </c>
      <c r="Y240">
        <v>131.6</v>
      </c>
      <c r="Z240">
        <v>148.30000000000001</v>
      </c>
      <c r="AA240">
        <v>160.19999999999999</v>
      </c>
      <c r="AB240">
        <v>140.19999999999999</v>
      </c>
      <c r="AC240">
        <v>145.4</v>
      </c>
      <c r="AD240">
        <v>146.69999999999999</v>
      </c>
      <c r="AE240">
        <f t="shared" si="15"/>
        <v>1848.7</v>
      </c>
      <c r="AF240">
        <f t="shared" si="16"/>
        <v>146.9</v>
      </c>
      <c r="AG240">
        <f t="shared" si="17"/>
        <v>131.6</v>
      </c>
      <c r="AH240">
        <f t="shared" si="18"/>
        <v>160.19999999999999</v>
      </c>
      <c r="AI240">
        <f t="shared" si="19"/>
        <v>1504.8000000000002</v>
      </c>
    </row>
    <row r="241" spans="1:35" x14ac:dyDescent="0.3">
      <c r="A241" t="s">
        <v>32</v>
      </c>
      <c r="B241">
        <v>2019</v>
      </c>
      <c r="C241" t="s">
        <v>41</v>
      </c>
      <c r="D241">
        <v>142.69999999999999</v>
      </c>
      <c r="E241">
        <v>158.69999999999999</v>
      </c>
      <c r="F241">
        <v>141.6</v>
      </c>
      <c r="G241">
        <v>144.9</v>
      </c>
      <c r="H241">
        <v>120.8</v>
      </c>
      <c r="I241">
        <v>149.80000000000001</v>
      </c>
      <c r="J241">
        <v>192.4</v>
      </c>
      <c r="K241">
        <v>130.30000000000001</v>
      </c>
      <c r="L241">
        <v>114</v>
      </c>
      <c r="M241">
        <v>143.80000000000001</v>
      </c>
      <c r="N241">
        <v>130</v>
      </c>
      <c r="O241">
        <v>156.4</v>
      </c>
      <c r="P241">
        <v>149.5</v>
      </c>
      <c r="Q241">
        <v>168.6</v>
      </c>
      <c r="R241">
        <v>145.30000000000001</v>
      </c>
      <c r="S241">
        <v>132.19999999999999</v>
      </c>
      <c r="T241">
        <v>143.30000000000001</v>
      </c>
      <c r="U241">
        <v>152.19999999999999</v>
      </c>
      <c r="V241">
        <v>126.6</v>
      </c>
      <c r="W241">
        <v>138.30000000000001</v>
      </c>
      <c r="X241">
        <v>141.9</v>
      </c>
      <c r="Y241">
        <v>121.2</v>
      </c>
      <c r="Z241">
        <v>135.9</v>
      </c>
      <c r="AA241">
        <v>151.6</v>
      </c>
      <c r="AB241">
        <v>139</v>
      </c>
      <c r="AC241">
        <v>135.69999999999999</v>
      </c>
      <c r="AD241">
        <v>144.69999999999999</v>
      </c>
      <c r="AE241">
        <f t="shared" si="15"/>
        <v>1874.9</v>
      </c>
      <c r="AF241">
        <f t="shared" si="16"/>
        <v>126.6</v>
      </c>
      <c r="AG241">
        <f t="shared" si="17"/>
        <v>121.2</v>
      </c>
      <c r="AH241">
        <f t="shared" si="18"/>
        <v>151.6</v>
      </c>
      <c r="AI241">
        <f t="shared" si="19"/>
        <v>1432.3999999999999</v>
      </c>
    </row>
    <row r="242" spans="1:35" x14ac:dyDescent="0.3">
      <c r="A242" t="s">
        <v>33</v>
      </c>
      <c r="B242">
        <v>2019</v>
      </c>
      <c r="C242" t="s">
        <v>41</v>
      </c>
      <c r="D242">
        <v>140.9</v>
      </c>
      <c r="E242">
        <v>160.80000000000001</v>
      </c>
      <c r="F242">
        <v>139.6</v>
      </c>
      <c r="G242">
        <v>145.4</v>
      </c>
      <c r="H242">
        <v>123.5</v>
      </c>
      <c r="I242">
        <v>146.6</v>
      </c>
      <c r="J242">
        <v>173.2</v>
      </c>
      <c r="K242">
        <v>131.6</v>
      </c>
      <c r="L242">
        <v>113.2</v>
      </c>
      <c r="M242">
        <v>144.1</v>
      </c>
      <c r="N242">
        <v>135</v>
      </c>
      <c r="O242">
        <v>156.80000000000001</v>
      </c>
      <c r="P242">
        <v>147</v>
      </c>
      <c r="Q242">
        <v>166.5</v>
      </c>
      <c r="R242">
        <v>149.19999999999999</v>
      </c>
      <c r="S242">
        <v>140.6</v>
      </c>
      <c r="T242">
        <v>147.9</v>
      </c>
      <c r="U242">
        <v>152.19999999999999</v>
      </c>
      <c r="V242">
        <v>139.19999999999999</v>
      </c>
      <c r="W242">
        <v>144.6</v>
      </c>
      <c r="X242">
        <v>149</v>
      </c>
      <c r="Y242">
        <v>126.1</v>
      </c>
      <c r="Z242">
        <v>141.30000000000001</v>
      </c>
      <c r="AA242">
        <v>155.19999999999999</v>
      </c>
      <c r="AB242">
        <v>139.69999999999999</v>
      </c>
      <c r="AC242">
        <v>140.69999999999999</v>
      </c>
      <c r="AD242">
        <v>145.80000000000001</v>
      </c>
      <c r="AE242">
        <f t="shared" si="15"/>
        <v>1857.6999999999998</v>
      </c>
      <c r="AF242">
        <f t="shared" si="16"/>
        <v>139.19999999999999</v>
      </c>
      <c r="AG242">
        <f t="shared" si="17"/>
        <v>126.1</v>
      </c>
      <c r="AH242">
        <f t="shared" si="18"/>
        <v>155.19999999999999</v>
      </c>
      <c r="AI242">
        <f t="shared" si="19"/>
        <v>1471.7</v>
      </c>
    </row>
    <row r="243" spans="1:35" x14ac:dyDescent="0.3">
      <c r="A243" t="s">
        <v>30</v>
      </c>
      <c r="B243">
        <v>2019</v>
      </c>
      <c r="C243" t="s">
        <v>42</v>
      </c>
      <c r="D243">
        <v>141</v>
      </c>
      <c r="E243">
        <v>161.6</v>
      </c>
      <c r="F243">
        <v>141.19999999999999</v>
      </c>
      <c r="G243">
        <v>146.5</v>
      </c>
      <c r="H243">
        <v>125.6</v>
      </c>
      <c r="I243">
        <v>145.69999999999999</v>
      </c>
      <c r="J243">
        <v>178.8</v>
      </c>
      <c r="K243">
        <v>133.1</v>
      </c>
      <c r="L243">
        <v>113.6</v>
      </c>
      <c r="M243">
        <v>145.5</v>
      </c>
      <c r="N243">
        <v>138.6</v>
      </c>
      <c r="O243">
        <v>157.4</v>
      </c>
      <c r="P243">
        <v>148.30000000000001</v>
      </c>
      <c r="Q243">
        <v>166.3</v>
      </c>
      <c r="R243">
        <v>151.69999999999999</v>
      </c>
      <c r="S243">
        <v>146.69999999999999</v>
      </c>
      <c r="T243">
        <v>151</v>
      </c>
      <c r="U243">
        <v>153</v>
      </c>
      <c r="V243">
        <v>147.69999999999999</v>
      </c>
      <c r="W243">
        <v>150.6</v>
      </c>
      <c r="X243">
        <v>153.69999999999999</v>
      </c>
      <c r="Y243">
        <v>131.69999999999999</v>
      </c>
      <c r="Z243">
        <v>148.69999999999999</v>
      </c>
      <c r="AA243">
        <v>160.69999999999999</v>
      </c>
      <c r="AB243">
        <v>140.30000000000001</v>
      </c>
      <c r="AC243">
        <v>145.69999999999999</v>
      </c>
      <c r="AD243">
        <v>148.30000000000001</v>
      </c>
      <c r="AE243">
        <f t="shared" si="15"/>
        <v>1876.8999999999996</v>
      </c>
      <c r="AF243">
        <f t="shared" si="16"/>
        <v>147.69999999999999</v>
      </c>
      <c r="AG243">
        <f t="shared" si="17"/>
        <v>131.69999999999999</v>
      </c>
      <c r="AH243">
        <f t="shared" si="18"/>
        <v>160.69999999999999</v>
      </c>
      <c r="AI243">
        <f t="shared" si="19"/>
        <v>1507.7</v>
      </c>
    </row>
    <row r="244" spans="1:35" x14ac:dyDescent="0.3">
      <c r="A244" t="s">
        <v>32</v>
      </c>
      <c r="B244">
        <v>2019</v>
      </c>
      <c r="C244" t="s">
        <v>42</v>
      </c>
      <c r="D244">
        <v>143.5</v>
      </c>
      <c r="E244">
        <v>159.80000000000001</v>
      </c>
      <c r="F244">
        <v>144.69999999999999</v>
      </c>
      <c r="G244">
        <v>145.6</v>
      </c>
      <c r="H244">
        <v>121.1</v>
      </c>
      <c r="I244">
        <v>150.6</v>
      </c>
      <c r="J244">
        <v>207.2</v>
      </c>
      <c r="K244">
        <v>131.19999999999999</v>
      </c>
      <c r="L244">
        <v>114.8</v>
      </c>
      <c r="M244">
        <v>145.19999999999999</v>
      </c>
      <c r="N244">
        <v>130.19999999999999</v>
      </c>
      <c r="O244">
        <v>156.80000000000001</v>
      </c>
      <c r="P244">
        <v>151.9</v>
      </c>
      <c r="Q244">
        <v>169.3</v>
      </c>
      <c r="R244">
        <v>145.9</v>
      </c>
      <c r="S244">
        <v>132.4</v>
      </c>
      <c r="T244">
        <v>143.9</v>
      </c>
      <c r="U244">
        <v>153</v>
      </c>
      <c r="V244">
        <v>128.9</v>
      </c>
      <c r="W244">
        <v>138.69999999999999</v>
      </c>
      <c r="X244">
        <v>142.4</v>
      </c>
      <c r="Y244">
        <v>121.5</v>
      </c>
      <c r="Z244">
        <v>136.19999999999999</v>
      </c>
      <c r="AA244">
        <v>151.69999999999999</v>
      </c>
      <c r="AB244">
        <v>139.5</v>
      </c>
      <c r="AC244">
        <v>136</v>
      </c>
      <c r="AD244">
        <v>146</v>
      </c>
      <c r="AE244">
        <f t="shared" si="15"/>
        <v>1902.6000000000001</v>
      </c>
      <c r="AF244">
        <f t="shared" si="16"/>
        <v>128.9</v>
      </c>
      <c r="AG244">
        <f t="shared" si="17"/>
        <v>121.5</v>
      </c>
      <c r="AH244">
        <f t="shared" si="18"/>
        <v>151.69999999999999</v>
      </c>
      <c r="AI244">
        <f t="shared" si="19"/>
        <v>1437.3000000000002</v>
      </c>
    </row>
    <row r="245" spans="1:35" x14ac:dyDescent="0.3">
      <c r="A245" t="s">
        <v>33</v>
      </c>
      <c r="B245">
        <v>2019</v>
      </c>
      <c r="C245" t="s">
        <v>42</v>
      </c>
      <c r="D245">
        <v>141.80000000000001</v>
      </c>
      <c r="E245">
        <v>161</v>
      </c>
      <c r="F245">
        <v>142.6</v>
      </c>
      <c r="G245">
        <v>146.19999999999999</v>
      </c>
      <c r="H245">
        <v>123.9</v>
      </c>
      <c r="I245">
        <v>148</v>
      </c>
      <c r="J245">
        <v>188.4</v>
      </c>
      <c r="K245">
        <v>132.5</v>
      </c>
      <c r="L245">
        <v>114</v>
      </c>
      <c r="M245">
        <v>145.4</v>
      </c>
      <c r="N245">
        <v>135.1</v>
      </c>
      <c r="O245">
        <v>157.1</v>
      </c>
      <c r="P245">
        <v>149.6</v>
      </c>
      <c r="Q245">
        <v>167.1</v>
      </c>
      <c r="R245">
        <v>149.4</v>
      </c>
      <c r="S245">
        <v>140.80000000000001</v>
      </c>
      <c r="T245">
        <v>148.19999999999999</v>
      </c>
      <c r="U245">
        <v>153</v>
      </c>
      <c r="V245">
        <v>140.6</v>
      </c>
      <c r="W245">
        <v>145</v>
      </c>
      <c r="X245">
        <v>149.4</v>
      </c>
      <c r="Y245">
        <v>126.3</v>
      </c>
      <c r="Z245">
        <v>141.69999999999999</v>
      </c>
      <c r="AA245">
        <v>155.4</v>
      </c>
      <c r="AB245">
        <v>140</v>
      </c>
      <c r="AC245">
        <v>141</v>
      </c>
      <c r="AD245">
        <v>147.19999999999999</v>
      </c>
      <c r="AE245">
        <f t="shared" si="15"/>
        <v>1885.5999999999997</v>
      </c>
      <c r="AF245">
        <f t="shared" si="16"/>
        <v>140.6</v>
      </c>
      <c r="AG245">
        <f t="shared" si="17"/>
        <v>126.3</v>
      </c>
      <c r="AH245">
        <f t="shared" si="18"/>
        <v>155.4</v>
      </c>
      <c r="AI245">
        <f t="shared" si="19"/>
        <v>1475.6000000000001</v>
      </c>
    </row>
    <row r="246" spans="1:35" x14ac:dyDescent="0.3">
      <c r="A246" t="s">
        <v>30</v>
      </c>
      <c r="B246">
        <v>2019</v>
      </c>
      <c r="C246" t="s">
        <v>44</v>
      </c>
      <c r="D246">
        <v>141.80000000000001</v>
      </c>
      <c r="E246">
        <v>163.69999999999999</v>
      </c>
      <c r="F246">
        <v>143.80000000000001</v>
      </c>
      <c r="G246">
        <v>147.1</v>
      </c>
      <c r="H246">
        <v>126</v>
      </c>
      <c r="I246">
        <v>146.19999999999999</v>
      </c>
      <c r="J246">
        <v>191.4</v>
      </c>
      <c r="K246">
        <v>136.19999999999999</v>
      </c>
      <c r="L246">
        <v>113.8</v>
      </c>
      <c r="M246">
        <v>147.30000000000001</v>
      </c>
      <c r="N246">
        <v>138.69999999999999</v>
      </c>
      <c r="O246">
        <v>157.69999999999999</v>
      </c>
      <c r="P246">
        <v>150.9</v>
      </c>
      <c r="Q246">
        <v>167.2</v>
      </c>
      <c r="R246">
        <v>152.30000000000001</v>
      </c>
      <c r="S246">
        <v>147</v>
      </c>
      <c r="T246">
        <v>151.5</v>
      </c>
      <c r="U246">
        <v>153.5</v>
      </c>
      <c r="V246">
        <v>148.4</v>
      </c>
      <c r="W246">
        <v>150.9</v>
      </c>
      <c r="X246">
        <v>154.30000000000001</v>
      </c>
      <c r="Y246">
        <v>132.1</v>
      </c>
      <c r="Z246">
        <v>149.1</v>
      </c>
      <c r="AA246">
        <v>160.80000000000001</v>
      </c>
      <c r="AB246">
        <v>140.6</v>
      </c>
      <c r="AC246">
        <v>146.1</v>
      </c>
      <c r="AD246">
        <v>149.9</v>
      </c>
      <c r="AE246">
        <f t="shared" si="15"/>
        <v>1904.6000000000001</v>
      </c>
      <c r="AF246">
        <f t="shared" si="16"/>
        <v>148.4</v>
      </c>
      <c r="AG246">
        <f t="shared" si="17"/>
        <v>132.1</v>
      </c>
      <c r="AH246">
        <f t="shared" si="18"/>
        <v>160.80000000000001</v>
      </c>
      <c r="AI246">
        <f t="shared" si="19"/>
        <v>1512.4999999999998</v>
      </c>
    </row>
    <row r="247" spans="1:35" x14ac:dyDescent="0.3">
      <c r="A247" t="s">
        <v>32</v>
      </c>
      <c r="B247">
        <v>2019</v>
      </c>
      <c r="C247" t="s">
        <v>44</v>
      </c>
      <c r="D247">
        <v>144.1</v>
      </c>
      <c r="E247">
        <v>162.4</v>
      </c>
      <c r="F247">
        <v>148.4</v>
      </c>
      <c r="G247">
        <v>145.9</v>
      </c>
      <c r="H247">
        <v>121.5</v>
      </c>
      <c r="I247">
        <v>148.80000000000001</v>
      </c>
      <c r="J247">
        <v>215.7</v>
      </c>
      <c r="K247">
        <v>134.6</v>
      </c>
      <c r="L247">
        <v>115</v>
      </c>
      <c r="M247">
        <v>146.30000000000001</v>
      </c>
      <c r="N247">
        <v>130.5</v>
      </c>
      <c r="O247">
        <v>157.19999999999999</v>
      </c>
      <c r="P247">
        <v>153.6</v>
      </c>
      <c r="Q247">
        <v>169.9</v>
      </c>
      <c r="R247">
        <v>146.30000000000001</v>
      </c>
      <c r="S247">
        <v>132.6</v>
      </c>
      <c r="T247">
        <v>144.19999999999999</v>
      </c>
      <c r="U247">
        <v>153.5</v>
      </c>
      <c r="V247">
        <v>132.19999999999999</v>
      </c>
      <c r="W247">
        <v>139.1</v>
      </c>
      <c r="X247">
        <v>142.80000000000001</v>
      </c>
      <c r="Y247">
        <v>121.7</v>
      </c>
      <c r="Z247">
        <v>136.69999999999999</v>
      </c>
      <c r="AA247">
        <v>151.80000000000001</v>
      </c>
      <c r="AB247">
        <v>139.80000000000001</v>
      </c>
      <c r="AC247">
        <v>136.30000000000001</v>
      </c>
      <c r="AD247">
        <v>147</v>
      </c>
      <c r="AE247">
        <f t="shared" si="15"/>
        <v>1923.9999999999998</v>
      </c>
      <c r="AF247">
        <f t="shared" si="16"/>
        <v>132.19999999999999</v>
      </c>
      <c r="AG247">
        <f t="shared" si="17"/>
        <v>121.7</v>
      </c>
      <c r="AH247">
        <f t="shared" si="18"/>
        <v>151.80000000000001</v>
      </c>
      <c r="AI247">
        <f t="shared" si="19"/>
        <v>1441.2</v>
      </c>
    </row>
    <row r="248" spans="1:35" x14ac:dyDescent="0.3">
      <c r="A248" t="s">
        <v>33</v>
      </c>
      <c r="B248">
        <v>2019</v>
      </c>
      <c r="C248" t="s">
        <v>44</v>
      </c>
      <c r="D248">
        <v>142.5</v>
      </c>
      <c r="E248">
        <v>163.19999999999999</v>
      </c>
      <c r="F248">
        <v>145.6</v>
      </c>
      <c r="G248">
        <v>146.69999999999999</v>
      </c>
      <c r="H248">
        <v>124.3</v>
      </c>
      <c r="I248">
        <v>147.4</v>
      </c>
      <c r="J248">
        <v>199.6</v>
      </c>
      <c r="K248">
        <v>135.69999999999999</v>
      </c>
      <c r="L248">
        <v>114.2</v>
      </c>
      <c r="M248">
        <v>147</v>
      </c>
      <c r="N248">
        <v>135.30000000000001</v>
      </c>
      <c r="O248">
        <v>157.5</v>
      </c>
      <c r="P248">
        <v>151.9</v>
      </c>
      <c r="Q248">
        <v>167.9</v>
      </c>
      <c r="R248">
        <v>149.9</v>
      </c>
      <c r="S248">
        <v>141</v>
      </c>
      <c r="T248">
        <v>148.6</v>
      </c>
      <c r="U248">
        <v>153.5</v>
      </c>
      <c r="V248">
        <v>142.30000000000001</v>
      </c>
      <c r="W248">
        <v>145.30000000000001</v>
      </c>
      <c r="X248">
        <v>149.9</v>
      </c>
      <c r="Y248">
        <v>126.6</v>
      </c>
      <c r="Z248">
        <v>142.1</v>
      </c>
      <c r="AA248">
        <v>155.5</v>
      </c>
      <c r="AB248">
        <v>140.30000000000001</v>
      </c>
      <c r="AC248">
        <v>141.30000000000001</v>
      </c>
      <c r="AD248">
        <v>148.6</v>
      </c>
      <c r="AE248">
        <f t="shared" si="15"/>
        <v>1910.9</v>
      </c>
      <c r="AF248">
        <f t="shared" si="16"/>
        <v>142.30000000000001</v>
      </c>
      <c r="AG248">
        <f t="shared" si="17"/>
        <v>126.6</v>
      </c>
      <c r="AH248">
        <f t="shared" si="18"/>
        <v>155.5</v>
      </c>
      <c r="AI248">
        <f t="shared" si="19"/>
        <v>1479.8</v>
      </c>
    </row>
    <row r="249" spans="1:35" x14ac:dyDescent="0.3">
      <c r="A249" t="s">
        <v>30</v>
      </c>
      <c r="B249">
        <v>2019</v>
      </c>
      <c r="C249" t="s">
        <v>45</v>
      </c>
      <c r="D249">
        <v>142.80000000000001</v>
      </c>
      <c r="E249">
        <v>165.3</v>
      </c>
      <c r="F249">
        <v>149.5</v>
      </c>
      <c r="G249">
        <v>148.69999999999999</v>
      </c>
      <c r="H249">
        <v>127.5</v>
      </c>
      <c r="I249">
        <v>144.30000000000001</v>
      </c>
      <c r="J249">
        <v>209.5</v>
      </c>
      <c r="K249">
        <v>138.80000000000001</v>
      </c>
      <c r="L249">
        <v>113.6</v>
      </c>
      <c r="M249">
        <v>149.1</v>
      </c>
      <c r="N249">
        <v>139.30000000000001</v>
      </c>
      <c r="O249">
        <v>158.30000000000001</v>
      </c>
      <c r="P249">
        <v>154.30000000000001</v>
      </c>
      <c r="Q249">
        <v>167.8</v>
      </c>
      <c r="R249">
        <v>152.6</v>
      </c>
      <c r="S249">
        <v>147.30000000000001</v>
      </c>
      <c r="T249">
        <v>151.9</v>
      </c>
      <c r="U249">
        <v>152.80000000000001</v>
      </c>
      <c r="V249">
        <v>149.9</v>
      </c>
      <c r="W249">
        <v>151.19999999999999</v>
      </c>
      <c r="X249">
        <v>154.80000000000001</v>
      </c>
      <c r="Y249">
        <v>135</v>
      </c>
      <c r="Z249">
        <v>149.5</v>
      </c>
      <c r="AA249">
        <v>161.1</v>
      </c>
      <c r="AB249">
        <v>140.6</v>
      </c>
      <c r="AC249">
        <v>147.1</v>
      </c>
      <c r="AD249">
        <v>152.30000000000001</v>
      </c>
      <c r="AE249">
        <f t="shared" si="15"/>
        <v>1940.9999999999995</v>
      </c>
      <c r="AF249">
        <f t="shared" si="16"/>
        <v>149.9</v>
      </c>
      <c r="AG249">
        <f t="shared" si="17"/>
        <v>135</v>
      </c>
      <c r="AH249">
        <f t="shared" si="18"/>
        <v>161.1</v>
      </c>
      <c r="AI249">
        <f t="shared" si="19"/>
        <v>1515.6</v>
      </c>
    </row>
    <row r="250" spans="1:35" x14ac:dyDescent="0.3">
      <c r="A250" t="s">
        <v>32</v>
      </c>
      <c r="B250">
        <v>2019</v>
      </c>
      <c r="C250" t="s">
        <v>45</v>
      </c>
      <c r="D250">
        <v>144.9</v>
      </c>
      <c r="E250">
        <v>164.5</v>
      </c>
      <c r="F250">
        <v>153.69999999999999</v>
      </c>
      <c r="G250">
        <v>147.5</v>
      </c>
      <c r="H250">
        <v>122.7</v>
      </c>
      <c r="I250">
        <v>147.19999999999999</v>
      </c>
      <c r="J250">
        <v>231.5</v>
      </c>
      <c r="K250">
        <v>137.19999999999999</v>
      </c>
      <c r="L250">
        <v>114.7</v>
      </c>
      <c r="M250">
        <v>148</v>
      </c>
      <c r="N250">
        <v>130.80000000000001</v>
      </c>
      <c r="O250">
        <v>157.69999999999999</v>
      </c>
      <c r="P250">
        <v>156.30000000000001</v>
      </c>
      <c r="Q250">
        <v>170.4</v>
      </c>
      <c r="R250">
        <v>146.80000000000001</v>
      </c>
      <c r="S250">
        <v>132.80000000000001</v>
      </c>
      <c r="T250">
        <v>144.6</v>
      </c>
      <c r="U250">
        <v>152.80000000000001</v>
      </c>
      <c r="V250">
        <v>133.6</v>
      </c>
      <c r="W250">
        <v>139.80000000000001</v>
      </c>
      <c r="X250">
        <v>143.19999999999999</v>
      </c>
      <c r="Y250">
        <v>125.2</v>
      </c>
      <c r="Z250">
        <v>136.80000000000001</v>
      </c>
      <c r="AA250">
        <v>151.9</v>
      </c>
      <c r="AB250">
        <v>140.19999999999999</v>
      </c>
      <c r="AC250">
        <v>137.69999999999999</v>
      </c>
      <c r="AD250">
        <v>148.30000000000001</v>
      </c>
      <c r="AE250">
        <f t="shared" si="15"/>
        <v>1956.7</v>
      </c>
      <c r="AF250">
        <f t="shared" si="16"/>
        <v>133.6</v>
      </c>
      <c r="AG250">
        <f t="shared" si="17"/>
        <v>125.2</v>
      </c>
      <c r="AH250">
        <f t="shared" si="18"/>
        <v>151.9</v>
      </c>
      <c r="AI250">
        <f t="shared" si="19"/>
        <v>1445.1000000000001</v>
      </c>
    </row>
    <row r="251" spans="1:35" x14ac:dyDescent="0.3">
      <c r="A251" t="s">
        <v>33</v>
      </c>
      <c r="B251">
        <v>2019</v>
      </c>
      <c r="C251" t="s">
        <v>45</v>
      </c>
      <c r="D251">
        <v>143.5</v>
      </c>
      <c r="E251">
        <v>165</v>
      </c>
      <c r="F251">
        <v>151.1</v>
      </c>
      <c r="G251">
        <v>148.30000000000001</v>
      </c>
      <c r="H251">
        <v>125.7</v>
      </c>
      <c r="I251">
        <v>145.69999999999999</v>
      </c>
      <c r="J251">
        <v>217</v>
      </c>
      <c r="K251">
        <v>138.30000000000001</v>
      </c>
      <c r="L251">
        <v>114</v>
      </c>
      <c r="M251">
        <v>148.69999999999999</v>
      </c>
      <c r="N251">
        <v>135.80000000000001</v>
      </c>
      <c r="O251">
        <v>158</v>
      </c>
      <c r="P251">
        <v>155</v>
      </c>
      <c r="Q251">
        <v>168.5</v>
      </c>
      <c r="R251">
        <v>150.30000000000001</v>
      </c>
      <c r="S251">
        <v>141.30000000000001</v>
      </c>
      <c r="T251">
        <v>149</v>
      </c>
      <c r="U251">
        <v>152.80000000000001</v>
      </c>
      <c r="V251">
        <v>143.69999999999999</v>
      </c>
      <c r="W251">
        <v>145.80000000000001</v>
      </c>
      <c r="X251">
        <v>150.4</v>
      </c>
      <c r="Y251">
        <v>129.80000000000001</v>
      </c>
      <c r="Z251">
        <v>142.30000000000001</v>
      </c>
      <c r="AA251">
        <v>155.69999999999999</v>
      </c>
      <c r="AB251">
        <v>140.4</v>
      </c>
      <c r="AC251">
        <v>142.5</v>
      </c>
      <c r="AD251">
        <v>150.4</v>
      </c>
      <c r="AE251">
        <f t="shared" si="15"/>
        <v>1946.1000000000001</v>
      </c>
      <c r="AF251">
        <f t="shared" si="16"/>
        <v>143.69999999999999</v>
      </c>
      <c r="AG251">
        <f t="shared" si="17"/>
        <v>129.80000000000001</v>
      </c>
      <c r="AH251">
        <f t="shared" si="18"/>
        <v>155.69999999999999</v>
      </c>
      <c r="AI251">
        <f t="shared" si="19"/>
        <v>1483.3000000000002</v>
      </c>
    </row>
    <row r="252" spans="1:35" x14ac:dyDescent="0.3">
      <c r="A252" t="s">
        <v>30</v>
      </c>
      <c r="B252">
        <v>2020</v>
      </c>
      <c r="C252" t="s">
        <v>31</v>
      </c>
      <c r="D252">
        <v>143.69999999999999</v>
      </c>
      <c r="E252">
        <v>167.3</v>
      </c>
      <c r="F252">
        <v>153.5</v>
      </c>
      <c r="G252">
        <v>150.5</v>
      </c>
      <c r="H252">
        <v>132</v>
      </c>
      <c r="I252">
        <v>142.19999999999999</v>
      </c>
      <c r="J252">
        <v>191.5</v>
      </c>
      <c r="K252">
        <v>141.1</v>
      </c>
      <c r="L252">
        <v>113.8</v>
      </c>
      <c r="M252">
        <v>151.6</v>
      </c>
      <c r="N252">
        <v>139.69999999999999</v>
      </c>
      <c r="O252">
        <v>158.69999999999999</v>
      </c>
      <c r="P252">
        <v>153</v>
      </c>
      <c r="Q252">
        <v>168.6</v>
      </c>
      <c r="R252">
        <v>152.80000000000001</v>
      </c>
      <c r="S252">
        <v>147.4</v>
      </c>
      <c r="T252">
        <v>152.1</v>
      </c>
      <c r="U252">
        <v>153.9</v>
      </c>
      <c r="V252">
        <v>150.4</v>
      </c>
      <c r="W252">
        <v>151.69999999999999</v>
      </c>
      <c r="X252">
        <v>155.69999999999999</v>
      </c>
      <c r="Y252">
        <v>136.30000000000001</v>
      </c>
      <c r="Z252">
        <v>150.1</v>
      </c>
      <c r="AA252">
        <v>161.69999999999999</v>
      </c>
      <c r="AB252">
        <v>142.5</v>
      </c>
      <c r="AC252">
        <v>148.1</v>
      </c>
      <c r="AD252">
        <v>151.9</v>
      </c>
      <c r="AE252">
        <f t="shared" si="15"/>
        <v>1938.6</v>
      </c>
      <c r="AF252">
        <f t="shared" si="16"/>
        <v>150.4</v>
      </c>
      <c r="AG252">
        <f t="shared" si="17"/>
        <v>136.30000000000001</v>
      </c>
      <c r="AH252">
        <f t="shared" si="18"/>
        <v>161.69999999999999</v>
      </c>
      <c r="AI252">
        <f t="shared" si="19"/>
        <v>1522.8999999999999</v>
      </c>
    </row>
    <row r="253" spans="1:35" x14ac:dyDescent="0.3">
      <c r="A253" t="s">
        <v>32</v>
      </c>
      <c r="B253">
        <v>2020</v>
      </c>
      <c r="C253" t="s">
        <v>31</v>
      </c>
      <c r="D253">
        <v>145.6</v>
      </c>
      <c r="E253">
        <v>167.6</v>
      </c>
      <c r="F253">
        <v>157</v>
      </c>
      <c r="G253">
        <v>149.30000000000001</v>
      </c>
      <c r="H253">
        <v>126.3</v>
      </c>
      <c r="I253">
        <v>144.4</v>
      </c>
      <c r="J253">
        <v>207.8</v>
      </c>
      <c r="K253">
        <v>139.1</v>
      </c>
      <c r="L253">
        <v>114.8</v>
      </c>
      <c r="M253">
        <v>149.5</v>
      </c>
      <c r="N253">
        <v>131.1</v>
      </c>
      <c r="O253">
        <v>158.5</v>
      </c>
      <c r="P253">
        <v>154.4</v>
      </c>
      <c r="Q253">
        <v>170.8</v>
      </c>
      <c r="R253">
        <v>147</v>
      </c>
      <c r="S253">
        <v>133.19999999999999</v>
      </c>
      <c r="T253">
        <v>144.9</v>
      </c>
      <c r="U253">
        <v>153.9</v>
      </c>
      <c r="V253">
        <v>135.1</v>
      </c>
      <c r="W253">
        <v>140.1</v>
      </c>
      <c r="X253">
        <v>143.80000000000001</v>
      </c>
      <c r="Y253">
        <v>126.1</v>
      </c>
      <c r="Z253">
        <v>137.19999999999999</v>
      </c>
      <c r="AA253">
        <v>152.1</v>
      </c>
      <c r="AB253">
        <v>142.1</v>
      </c>
      <c r="AC253">
        <v>138.4</v>
      </c>
      <c r="AD253">
        <v>148.19999999999999</v>
      </c>
      <c r="AE253">
        <f t="shared" si="15"/>
        <v>1945.3999999999999</v>
      </c>
      <c r="AF253">
        <f t="shared" si="16"/>
        <v>135.1</v>
      </c>
      <c r="AG253">
        <f t="shared" si="17"/>
        <v>126.1</v>
      </c>
      <c r="AH253">
        <f t="shared" si="18"/>
        <v>152.1</v>
      </c>
      <c r="AI253">
        <f t="shared" si="19"/>
        <v>1451.4</v>
      </c>
    </row>
    <row r="254" spans="1:35" x14ac:dyDescent="0.3">
      <c r="A254" t="s">
        <v>33</v>
      </c>
      <c r="B254">
        <v>2020</v>
      </c>
      <c r="C254" t="s">
        <v>31</v>
      </c>
      <c r="D254">
        <v>144.30000000000001</v>
      </c>
      <c r="E254">
        <v>167.4</v>
      </c>
      <c r="F254">
        <v>154.9</v>
      </c>
      <c r="G254">
        <v>150.1</v>
      </c>
      <c r="H254">
        <v>129.9</v>
      </c>
      <c r="I254">
        <v>143.19999999999999</v>
      </c>
      <c r="J254">
        <v>197</v>
      </c>
      <c r="K254">
        <v>140.4</v>
      </c>
      <c r="L254">
        <v>114.1</v>
      </c>
      <c r="M254">
        <v>150.9</v>
      </c>
      <c r="N254">
        <v>136.1</v>
      </c>
      <c r="O254">
        <v>158.6</v>
      </c>
      <c r="P254">
        <v>153.5</v>
      </c>
      <c r="Q254">
        <v>169.2</v>
      </c>
      <c r="R254">
        <v>150.5</v>
      </c>
      <c r="S254">
        <v>141.5</v>
      </c>
      <c r="T254">
        <v>149.19999999999999</v>
      </c>
      <c r="U254">
        <v>153.9</v>
      </c>
      <c r="V254">
        <v>144.6</v>
      </c>
      <c r="W254">
        <v>146.19999999999999</v>
      </c>
      <c r="X254">
        <v>151.19999999999999</v>
      </c>
      <c r="Y254">
        <v>130.9</v>
      </c>
      <c r="Z254">
        <v>142.80000000000001</v>
      </c>
      <c r="AA254">
        <v>156.1</v>
      </c>
      <c r="AB254">
        <v>142.30000000000001</v>
      </c>
      <c r="AC254">
        <v>143.4</v>
      </c>
      <c r="AD254">
        <v>150.19999999999999</v>
      </c>
      <c r="AE254">
        <f t="shared" si="15"/>
        <v>1940.3999999999999</v>
      </c>
      <c r="AF254">
        <f t="shared" si="16"/>
        <v>144.6</v>
      </c>
      <c r="AG254">
        <f t="shared" si="17"/>
        <v>130.9</v>
      </c>
      <c r="AH254">
        <f t="shared" si="18"/>
        <v>156.1</v>
      </c>
      <c r="AI254">
        <f t="shared" si="19"/>
        <v>1490.2</v>
      </c>
    </row>
    <row r="255" spans="1:35" x14ac:dyDescent="0.3">
      <c r="A255" t="s">
        <v>30</v>
      </c>
      <c r="B255">
        <v>2020</v>
      </c>
      <c r="C255" t="s">
        <v>34</v>
      </c>
      <c r="D255">
        <v>144.19999999999999</v>
      </c>
      <c r="E255">
        <v>167.5</v>
      </c>
      <c r="F255">
        <v>150.9</v>
      </c>
      <c r="G255">
        <v>150.9</v>
      </c>
      <c r="H255">
        <v>133.69999999999999</v>
      </c>
      <c r="I255">
        <v>140.69999999999999</v>
      </c>
      <c r="J255">
        <v>165.1</v>
      </c>
      <c r="K255">
        <v>141.80000000000001</v>
      </c>
      <c r="L255">
        <v>113.1</v>
      </c>
      <c r="M255">
        <v>152.80000000000001</v>
      </c>
      <c r="N255">
        <v>140.1</v>
      </c>
      <c r="O255">
        <v>159.19999999999999</v>
      </c>
      <c r="P255">
        <v>149.80000000000001</v>
      </c>
      <c r="Q255">
        <v>169.4</v>
      </c>
      <c r="R255">
        <v>153</v>
      </c>
      <c r="S255">
        <v>147.5</v>
      </c>
      <c r="T255">
        <v>152.30000000000001</v>
      </c>
      <c r="U255">
        <v>154.80000000000001</v>
      </c>
      <c r="V255">
        <v>152.30000000000001</v>
      </c>
      <c r="W255">
        <v>151.80000000000001</v>
      </c>
      <c r="X255">
        <v>156.19999999999999</v>
      </c>
      <c r="Y255">
        <v>136</v>
      </c>
      <c r="Z255">
        <v>150.4</v>
      </c>
      <c r="AA255">
        <v>161.9</v>
      </c>
      <c r="AB255">
        <v>143.4</v>
      </c>
      <c r="AC255">
        <v>148.4</v>
      </c>
      <c r="AD255">
        <v>150.4</v>
      </c>
      <c r="AE255">
        <f t="shared" si="15"/>
        <v>1909.7999999999997</v>
      </c>
      <c r="AF255">
        <f t="shared" si="16"/>
        <v>152.30000000000001</v>
      </c>
      <c r="AG255">
        <f t="shared" si="17"/>
        <v>136</v>
      </c>
      <c r="AH255">
        <f t="shared" si="18"/>
        <v>161.9</v>
      </c>
      <c r="AI255">
        <f t="shared" si="19"/>
        <v>1527.2000000000003</v>
      </c>
    </row>
    <row r="256" spans="1:35" x14ac:dyDescent="0.3">
      <c r="A256" t="s">
        <v>32</v>
      </c>
      <c r="B256">
        <v>2020</v>
      </c>
      <c r="C256" t="s">
        <v>34</v>
      </c>
      <c r="D256">
        <v>146.19999999999999</v>
      </c>
      <c r="E256">
        <v>167.6</v>
      </c>
      <c r="F256">
        <v>153.1</v>
      </c>
      <c r="G256">
        <v>150.69999999999999</v>
      </c>
      <c r="H256">
        <v>127.4</v>
      </c>
      <c r="I256">
        <v>143.1</v>
      </c>
      <c r="J256">
        <v>181.7</v>
      </c>
      <c r="K256">
        <v>139.6</v>
      </c>
      <c r="L256">
        <v>114.6</v>
      </c>
      <c r="M256">
        <v>150.4</v>
      </c>
      <c r="N256">
        <v>131.5</v>
      </c>
      <c r="O256">
        <v>159</v>
      </c>
      <c r="P256">
        <v>151.69999999999999</v>
      </c>
      <c r="Q256">
        <v>172</v>
      </c>
      <c r="R256">
        <v>147.30000000000001</v>
      </c>
      <c r="S256">
        <v>133.5</v>
      </c>
      <c r="T256">
        <v>145.19999999999999</v>
      </c>
      <c r="U256">
        <v>154.80000000000001</v>
      </c>
      <c r="V256">
        <v>138.9</v>
      </c>
      <c r="W256">
        <v>140.4</v>
      </c>
      <c r="X256">
        <v>144.4</v>
      </c>
      <c r="Y256">
        <v>125.2</v>
      </c>
      <c r="Z256">
        <v>137.69999999999999</v>
      </c>
      <c r="AA256">
        <v>152.19999999999999</v>
      </c>
      <c r="AB256">
        <v>143.5</v>
      </c>
      <c r="AC256">
        <v>138.4</v>
      </c>
      <c r="AD256">
        <v>147.69999999999999</v>
      </c>
      <c r="AE256">
        <f t="shared" si="15"/>
        <v>1916.6</v>
      </c>
      <c r="AF256">
        <f t="shared" si="16"/>
        <v>138.9</v>
      </c>
      <c r="AG256">
        <f t="shared" si="17"/>
        <v>125.2</v>
      </c>
      <c r="AH256">
        <f t="shared" si="18"/>
        <v>152.19999999999999</v>
      </c>
      <c r="AI256">
        <f t="shared" si="19"/>
        <v>1457.2</v>
      </c>
    </row>
    <row r="257" spans="1:35" x14ac:dyDescent="0.3">
      <c r="A257" t="s">
        <v>33</v>
      </c>
      <c r="B257">
        <v>2020</v>
      </c>
      <c r="C257" t="s">
        <v>34</v>
      </c>
      <c r="D257">
        <v>144.80000000000001</v>
      </c>
      <c r="E257">
        <v>167.5</v>
      </c>
      <c r="F257">
        <v>151.80000000000001</v>
      </c>
      <c r="G257">
        <v>150.80000000000001</v>
      </c>
      <c r="H257">
        <v>131.4</v>
      </c>
      <c r="I257">
        <v>141.80000000000001</v>
      </c>
      <c r="J257">
        <v>170.7</v>
      </c>
      <c r="K257">
        <v>141.1</v>
      </c>
      <c r="L257">
        <v>113.6</v>
      </c>
      <c r="M257">
        <v>152</v>
      </c>
      <c r="N257">
        <v>136.5</v>
      </c>
      <c r="O257">
        <v>159.1</v>
      </c>
      <c r="P257">
        <v>150.5</v>
      </c>
      <c r="Q257">
        <v>170.1</v>
      </c>
      <c r="R257">
        <v>150.80000000000001</v>
      </c>
      <c r="S257">
        <v>141.69999999999999</v>
      </c>
      <c r="T257">
        <v>149.5</v>
      </c>
      <c r="U257">
        <v>154.80000000000001</v>
      </c>
      <c r="V257">
        <v>147.19999999999999</v>
      </c>
      <c r="W257">
        <v>146.4</v>
      </c>
      <c r="X257">
        <v>151.69999999999999</v>
      </c>
      <c r="Y257">
        <v>130.30000000000001</v>
      </c>
      <c r="Z257">
        <v>143.19999999999999</v>
      </c>
      <c r="AA257">
        <v>156.19999999999999</v>
      </c>
      <c r="AB257">
        <v>143.4</v>
      </c>
      <c r="AC257">
        <v>143.6</v>
      </c>
      <c r="AD257">
        <v>149.1</v>
      </c>
      <c r="AE257">
        <f t="shared" si="15"/>
        <v>1911.6</v>
      </c>
      <c r="AF257">
        <f t="shared" si="16"/>
        <v>147.19999999999999</v>
      </c>
      <c r="AG257">
        <f t="shared" si="17"/>
        <v>130.30000000000001</v>
      </c>
      <c r="AH257">
        <f t="shared" si="18"/>
        <v>156.19999999999999</v>
      </c>
      <c r="AI257">
        <f t="shared" si="19"/>
        <v>1495.1999999999998</v>
      </c>
    </row>
    <row r="258" spans="1:35" x14ac:dyDescent="0.3">
      <c r="A258" t="s">
        <v>30</v>
      </c>
      <c r="B258">
        <v>2020</v>
      </c>
      <c r="C258" t="s">
        <v>35</v>
      </c>
      <c r="D258">
        <v>144.4</v>
      </c>
      <c r="E258">
        <v>166.8</v>
      </c>
      <c r="F258">
        <v>147.6</v>
      </c>
      <c r="G258">
        <v>151.69999999999999</v>
      </c>
      <c r="H258">
        <v>133.30000000000001</v>
      </c>
      <c r="I258">
        <v>141.80000000000001</v>
      </c>
      <c r="J258">
        <v>152.30000000000001</v>
      </c>
      <c r="K258">
        <v>141.80000000000001</v>
      </c>
      <c r="L258">
        <v>112.6</v>
      </c>
      <c r="M258">
        <v>154</v>
      </c>
      <c r="N258">
        <v>140.1</v>
      </c>
      <c r="O258">
        <v>160</v>
      </c>
      <c r="P258">
        <v>148.19999999999999</v>
      </c>
      <c r="Q258">
        <v>170.5</v>
      </c>
      <c r="R258">
        <v>153.4</v>
      </c>
      <c r="S258">
        <v>147.6</v>
      </c>
      <c r="T258">
        <v>152.5</v>
      </c>
      <c r="U258">
        <v>154.5</v>
      </c>
      <c r="V258">
        <v>153.4</v>
      </c>
      <c r="W258">
        <v>151.5</v>
      </c>
      <c r="X258">
        <v>156.69999999999999</v>
      </c>
      <c r="Y258">
        <v>135.80000000000001</v>
      </c>
      <c r="Z258">
        <v>151.19999999999999</v>
      </c>
      <c r="AA258">
        <v>161.19999999999999</v>
      </c>
      <c r="AB258">
        <v>145.1</v>
      </c>
      <c r="AC258">
        <v>148.6</v>
      </c>
      <c r="AD258">
        <v>149.80000000000001</v>
      </c>
      <c r="AE258">
        <f t="shared" si="15"/>
        <v>1894.5999999999997</v>
      </c>
      <c r="AF258">
        <f t="shared" si="16"/>
        <v>153.4</v>
      </c>
      <c r="AG258">
        <f t="shared" si="17"/>
        <v>135.80000000000001</v>
      </c>
      <c r="AH258">
        <f t="shared" si="18"/>
        <v>161.19999999999999</v>
      </c>
      <c r="AI258">
        <f t="shared" si="19"/>
        <v>1531.6</v>
      </c>
    </row>
    <row r="259" spans="1:35" x14ac:dyDescent="0.3">
      <c r="A259" t="s">
        <v>32</v>
      </c>
      <c r="B259">
        <v>2020</v>
      </c>
      <c r="C259" t="s">
        <v>35</v>
      </c>
      <c r="D259">
        <v>146.5</v>
      </c>
      <c r="E259">
        <v>167.5</v>
      </c>
      <c r="F259">
        <v>148.9</v>
      </c>
      <c r="G259">
        <v>151.1</v>
      </c>
      <c r="H259">
        <v>127.5</v>
      </c>
      <c r="I259">
        <v>143.30000000000001</v>
      </c>
      <c r="J259">
        <v>167</v>
      </c>
      <c r="K259">
        <v>139.69999999999999</v>
      </c>
      <c r="L259">
        <v>114.4</v>
      </c>
      <c r="M259">
        <v>151.5</v>
      </c>
      <c r="N259">
        <v>131.9</v>
      </c>
      <c r="O259">
        <v>159.1</v>
      </c>
      <c r="P259">
        <v>150.1</v>
      </c>
      <c r="Q259">
        <v>173.3</v>
      </c>
      <c r="R259">
        <v>147.69999999999999</v>
      </c>
      <c r="S259">
        <v>133.80000000000001</v>
      </c>
      <c r="T259">
        <v>145.6</v>
      </c>
      <c r="U259">
        <v>154.5</v>
      </c>
      <c r="V259">
        <v>141.4</v>
      </c>
      <c r="W259">
        <v>140.80000000000001</v>
      </c>
      <c r="X259">
        <v>145</v>
      </c>
      <c r="Y259">
        <v>124.6</v>
      </c>
      <c r="Z259">
        <v>137.9</v>
      </c>
      <c r="AA259">
        <v>152.5</v>
      </c>
      <c r="AB259">
        <v>145.30000000000001</v>
      </c>
      <c r="AC259">
        <v>138.69999999999999</v>
      </c>
      <c r="AD259">
        <v>147.30000000000001</v>
      </c>
      <c r="AE259">
        <f t="shared" si="15"/>
        <v>1898.5</v>
      </c>
      <c r="AF259">
        <f t="shared" si="16"/>
        <v>141.4</v>
      </c>
      <c r="AG259">
        <f t="shared" si="17"/>
        <v>124.6</v>
      </c>
      <c r="AH259">
        <f t="shared" si="18"/>
        <v>152.5</v>
      </c>
      <c r="AI259">
        <f t="shared" si="19"/>
        <v>1462.6000000000001</v>
      </c>
    </row>
    <row r="260" spans="1:35" x14ac:dyDescent="0.3">
      <c r="A260" t="s">
        <v>33</v>
      </c>
      <c r="B260">
        <v>2020</v>
      </c>
      <c r="C260" t="s">
        <v>35</v>
      </c>
      <c r="D260">
        <v>145.1</v>
      </c>
      <c r="E260">
        <v>167</v>
      </c>
      <c r="F260">
        <v>148.1</v>
      </c>
      <c r="G260">
        <v>151.5</v>
      </c>
      <c r="H260">
        <v>131.19999999999999</v>
      </c>
      <c r="I260">
        <v>142.5</v>
      </c>
      <c r="J260">
        <v>157.30000000000001</v>
      </c>
      <c r="K260">
        <v>141.1</v>
      </c>
      <c r="L260">
        <v>113.2</v>
      </c>
      <c r="M260">
        <v>153.19999999999999</v>
      </c>
      <c r="N260">
        <v>136.69999999999999</v>
      </c>
      <c r="O260">
        <v>159.6</v>
      </c>
      <c r="P260">
        <v>148.9</v>
      </c>
      <c r="Q260">
        <v>171.2</v>
      </c>
      <c r="R260">
        <v>151.19999999999999</v>
      </c>
      <c r="S260">
        <v>141.9</v>
      </c>
      <c r="T260">
        <v>149.80000000000001</v>
      </c>
      <c r="U260">
        <v>154.5</v>
      </c>
      <c r="V260">
        <v>148.9</v>
      </c>
      <c r="W260">
        <v>146.4</v>
      </c>
      <c r="X260">
        <v>152.30000000000001</v>
      </c>
      <c r="Y260">
        <v>129.9</v>
      </c>
      <c r="Z260">
        <v>143.69999999999999</v>
      </c>
      <c r="AA260">
        <v>156.1</v>
      </c>
      <c r="AB260">
        <v>145.19999999999999</v>
      </c>
      <c r="AC260">
        <v>143.80000000000001</v>
      </c>
      <c r="AD260">
        <v>148.6</v>
      </c>
      <c r="AE260">
        <f t="shared" ref="AE260:AE323" si="20">SUM(D260:P260)</f>
        <v>1895.4</v>
      </c>
      <c r="AF260">
        <f t="shared" ref="AF260:AF323" si="21">SUM(V260)</f>
        <v>148.9</v>
      </c>
      <c r="AG260">
        <f t="shared" ref="AG260:AG323" si="22">SUM(Y260)</f>
        <v>129.9</v>
      </c>
      <c r="AH260">
        <f t="shared" ref="AH260:AH323" si="23">SUM(AA260)</f>
        <v>156.1</v>
      </c>
      <c r="AI260">
        <f t="shared" ref="AI260:AI323" si="24">SUM(Q260:U260,W260:X260,Z260,AB260:AC260)</f>
        <v>1500</v>
      </c>
    </row>
    <row r="261" spans="1:35" x14ac:dyDescent="0.3">
      <c r="A261" t="s">
        <v>30</v>
      </c>
      <c r="B261">
        <v>2020</v>
      </c>
      <c r="C261" t="s">
        <v>36</v>
      </c>
      <c r="D261">
        <v>147.19999999999999</v>
      </c>
      <c r="E261">
        <v>167</v>
      </c>
      <c r="F261">
        <v>146.9</v>
      </c>
      <c r="G261">
        <v>155.6</v>
      </c>
      <c r="H261">
        <v>137.1</v>
      </c>
      <c r="I261">
        <v>147.30000000000001</v>
      </c>
      <c r="J261">
        <v>162.69999999999999</v>
      </c>
      <c r="K261">
        <v>150.19999999999999</v>
      </c>
      <c r="L261">
        <v>119.8</v>
      </c>
      <c r="M261">
        <v>158.69999999999999</v>
      </c>
      <c r="N261">
        <v>139.19999999999999</v>
      </c>
      <c r="O261">
        <v>159.6</v>
      </c>
      <c r="P261">
        <v>150.1</v>
      </c>
      <c r="Q261">
        <v>171.2</v>
      </c>
      <c r="R261">
        <v>151.19999999999999</v>
      </c>
      <c r="S261">
        <v>141.9</v>
      </c>
      <c r="T261">
        <v>149.80000000000001</v>
      </c>
      <c r="U261">
        <v>155.6</v>
      </c>
      <c r="V261">
        <v>148.4</v>
      </c>
      <c r="W261">
        <v>146.4</v>
      </c>
      <c r="X261">
        <v>154.30000000000001</v>
      </c>
      <c r="Y261">
        <v>129.9</v>
      </c>
      <c r="Z261">
        <v>143.69999999999999</v>
      </c>
      <c r="AA261">
        <v>156.1</v>
      </c>
      <c r="AB261">
        <v>145.19999999999999</v>
      </c>
      <c r="AC261">
        <v>143.80000000000001</v>
      </c>
      <c r="AD261">
        <v>148.6</v>
      </c>
      <c r="AE261">
        <f t="shared" si="20"/>
        <v>1941.4</v>
      </c>
      <c r="AF261">
        <f t="shared" si="21"/>
        <v>148.4</v>
      </c>
      <c r="AG261">
        <f t="shared" si="22"/>
        <v>129.9</v>
      </c>
      <c r="AH261">
        <f t="shared" si="23"/>
        <v>156.1</v>
      </c>
      <c r="AI261">
        <f t="shared" si="24"/>
        <v>1503.1</v>
      </c>
    </row>
    <row r="262" spans="1:35" x14ac:dyDescent="0.3">
      <c r="A262" t="s">
        <v>32</v>
      </c>
      <c r="B262">
        <v>2020</v>
      </c>
      <c r="C262" t="s">
        <v>36</v>
      </c>
      <c r="D262">
        <v>151.80000000000001</v>
      </c>
      <c r="E262">
        <v>167</v>
      </c>
      <c r="F262">
        <v>151.9</v>
      </c>
      <c r="G262">
        <v>155.5</v>
      </c>
      <c r="H262">
        <v>131.6</v>
      </c>
      <c r="I262">
        <v>152.9</v>
      </c>
      <c r="J262">
        <v>180</v>
      </c>
      <c r="K262">
        <v>150.80000000000001</v>
      </c>
      <c r="L262">
        <v>121.2</v>
      </c>
      <c r="M262">
        <v>154</v>
      </c>
      <c r="N262">
        <v>133.5</v>
      </c>
      <c r="O262">
        <v>159.6</v>
      </c>
      <c r="P262">
        <v>153.5</v>
      </c>
      <c r="Q262">
        <v>171.2</v>
      </c>
      <c r="R262">
        <v>151.19999999999999</v>
      </c>
      <c r="S262">
        <v>141.9</v>
      </c>
      <c r="T262">
        <v>149.80000000000001</v>
      </c>
      <c r="U262">
        <v>155.6</v>
      </c>
      <c r="V262">
        <v>137.1</v>
      </c>
      <c r="W262">
        <v>146.4</v>
      </c>
      <c r="X262">
        <v>144.80000000000001</v>
      </c>
      <c r="Y262">
        <v>129.9</v>
      </c>
      <c r="Z262">
        <v>143.69999999999999</v>
      </c>
      <c r="AA262">
        <v>156.1</v>
      </c>
      <c r="AB262">
        <v>145.19999999999999</v>
      </c>
      <c r="AC262">
        <v>143.80000000000001</v>
      </c>
      <c r="AD262">
        <v>148.6</v>
      </c>
      <c r="AE262">
        <f t="shared" si="20"/>
        <v>1963.3</v>
      </c>
      <c r="AF262">
        <f t="shared" si="21"/>
        <v>137.1</v>
      </c>
      <c r="AG262">
        <f t="shared" si="22"/>
        <v>129.9</v>
      </c>
      <c r="AH262">
        <f t="shared" si="23"/>
        <v>156.1</v>
      </c>
      <c r="AI262">
        <f t="shared" si="24"/>
        <v>1493.6</v>
      </c>
    </row>
    <row r="263" spans="1:35" x14ac:dyDescent="0.3">
      <c r="A263" t="s">
        <v>33</v>
      </c>
      <c r="B263">
        <v>2020</v>
      </c>
      <c r="C263" t="s">
        <v>36</v>
      </c>
      <c r="D263">
        <v>148.69999999999999</v>
      </c>
      <c r="E263">
        <v>167</v>
      </c>
      <c r="F263">
        <v>148.80000000000001</v>
      </c>
      <c r="G263">
        <v>155.6</v>
      </c>
      <c r="H263">
        <v>135.1</v>
      </c>
      <c r="I263">
        <v>149.9</v>
      </c>
      <c r="J263">
        <v>168.6</v>
      </c>
      <c r="K263">
        <v>150.4</v>
      </c>
      <c r="L263">
        <v>120.3</v>
      </c>
      <c r="M263">
        <v>157.1</v>
      </c>
      <c r="N263">
        <v>136.80000000000001</v>
      </c>
      <c r="O263">
        <v>159.6</v>
      </c>
      <c r="P263">
        <v>151.4</v>
      </c>
      <c r="Q263">
        <v>171.2</v>
      </c>
      <c r="R263">
        <v>151.19999999999999</v>
      </c>
      <c r="S263">
        <v>141.9</v>
      </c>
      <c r="T263">
        <v>149.80000000000001</v>
      </c>
      <c r="U263">
        <v>155.6</v>
      </c>
      <c r="V263">
        <v>144.1</v>
      </c>
      <c r="W263">
        <v>146.4</v>
      </c>
      <c r="X263">
        <v>150.69999999999999</v>
      </c>
      <c r="Y263">
        <v>129.9</v>
      </c>
      <c r="Z263">
        <v>143.69999999999999</v>
      </c>
      <c r="AA263">
        <v>156.1</v>
      </c>
      <c r="AB263">
        <v>145.19999999999999</v>
      </c>
      <c r="AC263">
        <v>143.80000000000001</v>
      </c>
      <c r="AD263">
        <v>148.6</v>
      </c>
      <c r="AE263">
        <f t="shared" si="20"/>
        <v>1949.3</v>
      </c>
      <c r="AF263">
        <f t="shared" si="21"/>
        <v>144.1</v>
      </c>
      <c r="AG263">
        <f t="shared" si="22"/>
        <v>129.9</v>
      </c>
      <c r="AH263">
        <f t="shared" si="23"/>
        <v>156.1</v>
      </c>
      <c r="AI263">
        <f t="shared" si="24"/>
        <v>1499.5</v>
      </c>
    </row>
    <row r="264" spans="1:35" x14ac:dyDescent="0.3">
      <c r="A264" t="s">
        <v>30</v>
      </c>
      <c r="B264">
        <v>2020</v>
      </c>
      <c r="C264" t="s">
        <v>37</v>
      </c>
      <c r="D264">
        <v>148.69999999999999</v>
      </c>
      <c r="E264">
        <v>167</v>
      </c>
      <c r="F264">
        <v>148.80000000000001</v>
      </c>
      <c r="G264">
        <v>155.6</v>
      </c>
      <c r="H264">
        <v>135.1</v>
      </c>
      <c r="I264">
        <v>149.9</v>
      </c>
      <c r="J264">
        <v>168.6</v>
      </c>
      <c r="K264">
        <v>150.4</v>
      </c>
      <c r="L264">
        <v>120.3</v>
      </c>
      <c r="M264">
        <v>157.1</v>
      </c>
      <c r="N264">
        <v>136.80000000000001</v>
      </c>
      <c r="O264">
        <v>159.6</v>
      </c>
      <c r="P264">
        <v>151.4</v>
      </c>
      <c r="Q264">
        <v>171.2</v>
      </c>
      <c r="R264">
        <v>151.19999999999999</v>
      </c>
      <c r="S264">
        <v>141.9</v>
      </c>
      <c r="T264">
        <v>149.80000000000001</v>
      </c>
      <c r="U264">
        <v>155.6</v>
      </c>
      <c r="V264">
        <v>144.1</v>
      </c>
      <c r="W264">
        <v>146.4</v>
      </c>
      <c r="X264">
        <v>150.69999999999999</v>
      </c>
      <c r="Y264">
        <v>129.9</v>
      </c>
      <c r="Z264">
        <v>143.69999999999999</v>
      </c>
      <c r="AA264">
        <v>156.1</v>
      </c>
      <c r="AB264">
        <v>145.19999999999999</v>
      </c>
      <c r="AC264">
        <v>143.80000000000001</v>
      </c>
      <c r="AD264">
        <v>148.6</v>
      </c>
      <c r="AE264">
        <f t="shared" si="20"/>
        <v>1949.3</v>
      </c>
      <c r="AF264">
        <f t="shared" si="21"/>
        <v>144.1</v>
      </c>
      <c r="AG264">
        <f t="shared" si="22"/>
        <v>129.9</v>
      </c>
      <c r="AH264">
        <f t="shared" si="23"/>
        <v>156.1</v>
      </c>
      <c r="AI264">
        <f t="shared" si="24"/>
        <v>1499.5</v>
      </c>
    </row>
    <row r="265" spans="1:35" x14ac:dyDescent="0.3">
      <c r="A265" t="s">
        <v>32</v>
      </c>
      <c r="B265">
        <v>2020</v>
      </c>
      <c r="C265" t="s">
        <v>37</v>
      </c>
      <c r="D265">
        <v>148.69999999999999</v>
      </c>
      <c r="E265">
        <v>167</v>
      </c>
      <c r="F265">
        <v>148.80000000000001</v>
      </c>
      <c r="G265">
        <v>155.6</v>
      </c>
      <c r="H265">
        <v>135.1</v>
      </c>
      <c r="I265">
        <v>149.9</v>
      </c>
      <c r="J265">
        <v>168.6</v>
      </c>
      <c r="K265">
        <v>150.4</v>
      </c>
      <c r="L265">
        <v>120.3</v>
      </c>
      <c r="M265">
        <v>157.1</v>
      </c>
      <c r="N265">
        <v>136.80000000000001</v>
      </c>
      <c r="O265">
        <v>159.6</v>
      </c>
      <c r="P265">
        <v>151.4</v>
      </c>
      <c r="Q265">
        <v>171.2</v>
      </c>
      <c r="R265">
        <v>151.19999999999999</v>
      </c>
      <c r="S265">
        <v>141.9</v>
      </c>
      <c r="T265">
        <v>149.80000000000001</v>
      </c>
      <c r="U265">
        <v>155.6</v>
      </c>
      <c r="V265">
        <v>144.1</v>
      </c>
      <c r="W265">
        <v>146.4</v>
      </c>
      <c r="X265">
        <v>150.69999999999999</v>
      </c>
      <c r="Y265">
        <v>129.9</v>
      </c>
      <c r="Z265">
        <v>143.69999999999999</v>
      </c>
      <c r="AA265">
        <v>156.1</v>
      </c>
      <c r="AB265">
        <v>145.19999999999999</v>
      </c>
      <c r="AC265">
        <v>143.80000000000001</v>
      </c>
      <c r="AD265">
        <v>148.6</v>
      </c>
      <c r="AE265">
        <f t="shared" si="20"/>
        <v>1949.3</v>
      </c>
      <c r="AF265">
        <f t="shared" si="21"/>
        <v>144.1</v>
      </c>
      <c r="AG265">
        <f t="shared" si="22"/>
        <v>129.9</v>
      </c>
      <c r="AH265">
        <f t="shared" si="23"/>
        <v>156.1</v>
      </c>
      <c r="AI265">
        <f t="shared" si="24"/>
        <v>1499.5</v>
      </c>
    </row>
    <row r="266" spans="1:35" x14ac:dyDescent="0.3">
      <c r="A266" t="s">
        <v>33</v>
      </c>
      <c r="B266">
        <v>2020</v>
      </c>
      <c r="C266" t="s">
        <v>37</v>
      </c>
      <c r="D266">
        <v>148.69999999999999</v>
      </c>
      <c r="E266">
        <v>167</v>
      </c>
      <c r="F266">
        <v>148.80000000000001</v>
      </c>
      <c r="G266">
        <v>155.6</v>
      </c>
      <c r="H266">
        <v>135.1</v>
      </c>
      <c r="I266">
        <v>149.9</v>
      </c>
      <c r="J266">
        <v>168.6</v>
      </c>
      <c r="K266">
        <v>150.4</v>
      </c>
      <c r="L266">
        <v>120.3</v>
      </c>
      <c r="M266">
        <v>157.1</v>
      </c>
      <c r="N266">
        <v>136.80000000000001</v>
      </c>
      <c r="O266">
        <v>159.6</v>
      </c>
      <c r="P266">
        <v>151.4</v>
      </c>
      <c r="Q266">
        <v>171.2</v>
      </c>
      <c r="R266">
        <v>151.19999999999999</v>
      </c>
      <c r="S266">
        <v>141.9</v>
      </c>
      <c r="T266">
        <v>149.80000000000001</v>
      </c>
      <c r="U266">
        <v>155.6</v>
      </c>
      <c r="V266">
        <v>144.1</v>
      </c>
      <c r="W266">
        <v>146.4</v>
      </c>
      <c r="X266">
        <v>150.69999999999999</v>
      </c>
      <c r="Y266">
        <v>129.9</v>
      </c>
      <c r="Z266">
        <v>143.69999999999999</v>
      </c>
      <c r="AA266">
        <v>156.1</v>
      </c>
      <c r="AB266">
        <v>145.19999999999999</v>
      </c>
      <c r="AC266">
        <v>143.80000000000001</v>
      </c>
      <c r="AD266">
        <v>148.6</v>
      </c>
      <c r="AE266">
        <f t="shared" si="20"/>
        <v>1949.3</v>
      </c>
      <c r="AF266">
        <f t="shared" si="21"/>
        <v>144.1</v>
      </c>
      <c r="AG266">
        <f t="shared" si="22"/>
        <v>129.9</v>
      </c>
      <c r="AH266">
        <f t="shared" si="23"/>
        <v>156.1</v>
      </c>
      <c r="AI266">
        <f t="shared" si="24"/>
        <v>1499.5</v>
      </c>
    </row>
    <row r="267" spans="1:35" x14ac:dyDescent="0.3">
      <c r="A267" t="s">
        <v>30</v>
      </c>
      <c r="B267">
        <v>2020</v>
      </c>
      <c r="C267" t="s">
        <v>38</v>
      </c>
      <c r="D267">
        <v>148.19999999999999</v>
      </c>
      <c r="E267">
        <v>190.3</v>
      </c>
      <c r="F267">
        <v>149.4</v>
      </c>
      <c r="G267">
        <v>153.30000000000001</v>
      </c>
      <c r="H267">
        <v>138.19999999999999</v>
      </c>
      <c r="I267">
        <v>143.19999999999999</v>
      </c>
      <c r="J267">
        <v>148.9</v>
      </c>
      <c r="K267">
        <v>150.30000000000001</v>
      </c>
      <c r="L267">
        <v>113.2</v>
      </c>
      <c r="M267">
        <v>159.80000000000001</v>
      </c>
      <c r="N267">
        <v>142.1</v>
      </c>
      <c r="O267">
        <v>161.80000000000001</v>
      </c>
      <c r="P267">
        <v>152.30000000000001</v>
      </c>
      <c r="Q267">
        <v>182.4</v>
      </c>
      <c r="R267">
        <v>154.69999999999999</v>
      </c>
      <c r="S267">
        <v>150</v>
      </c>
      <c r="T267">
        <v>154.1</v>
      </c>
      <c r="U267">
        <v>155.6</v>
      </c>
      <c r="V267">
        <v>144.9</v>
      </c>
      <c r="W267">
        <v>151.69999999999999</v>
      </c>
      <c r="X267">
        <v>158.19999999999999</v>
      </c>
      <c r="Y267">
        <v>141.4</v>
      </c>
      <c r="Z267">
        <v>153.19999999999999</v>
      </c>
      <c r="AA267">
        <v>161.80000000000001</v>
      </c>
      <c r="AB267">
        <v>151.19999999999999</v>
      </c>
      <c r="AC267">
        <v>151.69999999999999</v>
      </c>
      <c r="AD267">
        <v>152.69999999999999</v>
      </c>
      <c r="AE267">
        <f t="shared" si="20"/>
        <v>1951</v>
      </c>
      <c r="AF267">
        <f t="shared" si="21"/>
        <v>144.9</v>
      </c>
      <c r="AG267">
        <f t="shared" si="22"/>
        <v>141.4</v>
      </c>
      <c r="AH267">
        <f t="shared" si="23"/>
        <v>161.80000000000001</v>
      </c>
      <c r="AI267">
        <f t="shared" si="24"/>
        <v>1562.8000000000002</v>
      </c>
    </row>
    <row r="268" spans="1:35" x14ac:dyDescent="0.3">
      <c r="A268" t="s">
        <v>32</v>
      </c>
      <c r="B268">
        <v>2020</v>
      </c>
      <c r="C268" t="s">
        <v>38</v>
      </c>
      <c r="D268">
        <v>152.69999999999999</v>
      </c>
      <c r="E268">
        <v>197</v>
      </c>
      <c r="F268">
        <v>154.6</v>
      </c>
      <c r="G268">
        <v>153.4</v>
      </c>
      <c r="H268">
        <v>132.9</v>
      </c>
      <c r="I268">
        <v>151.80000000000001</v>
      </c>
      <c r="J268">
        <v>171.2</v>
      </c>
      <c r="K268">
        <v>152</v>
      </c>
      <c r="L268">
        <v>116.3</v>
      </c>
      <c r="M268">
        <v>158.80000000000001</v>
      </c>
      <c r="N268">
        <v>135.6</v>
      </c>
      <c r="O268">
        <v>161.69999999999999</v>
      </c>
      <c r="P268">
        <v>157</v>
      </c>
      <c r="Q268">
        <v>186.7</v>
      </c>
      <c r="R268">
        <v>149.1</v>
      </c>
      <c r="S268">
        <v>136.6</v>
      </c>
      <c r="T268">
        <v>147.19999999999999</v>
      </c>
      <c r="U268">
        <v>154.69999999999999</v>
      </c>
      <c r="V268">
        <v>137.1</v>
      </c>
      <c r="W268">
        <v>140.4</v>
      </c>
      <c r="X268">
        <v>148.1</v>
      </c>
      <c r="Y268">
        <v>129.30000000000001</v>
      </c>
      <c r="Z268">
        <v>144.5</v>
      </c>
      <c r="AA268">
        <v>152.5</v>
      </c>
      <c r="AB268">
        <v>152.19999999999999</v>
      </c>
      <c r="AC268">
        <v>142</v>
      </c>
      <c r="AD268">
        <v>150.80000000000001</v>
      </c>
      <c r="AE268">
        <f t="shared" si="20"/>
        <v>1994.9999999999998</v>
      </c>
      <c r="AF268">
        <f t="shared" si="21"/>
        <v>137.1</v>
      </c>
      <c r="AG268">
        <f t="shared" si="22"/>
        <v>129.30000000000001</v>
      </c>
      <c r="AH268">
        <f t="shared" si="23"/>
        <v>152.5</v>
      </c>
      <c r="AI268">
        <f t="shared" si="24"/>
        <v>1501.5</v>
      </c>
    </row>
    <row r="269" spans="1:35" x14ac:dyDescent="0.3">
      <c r="A269" t="s">
        <v>33</v>
      </c>
      <c r="B269">
        <v>2020</v>
      </c>
      <c r="C269" t="s">
        <v>38</v>
      </c>
      <c r="D269">
        <v>149.6</v>
      </c>
      <c r="E269">
        <v>192.7</v>
      </c>
      <c r="F269">
        <v>151.4</v>
      </c>
      <c r="G269">
        <v>153.30000000000001</v>
      </c>
      <c r="H269">
        <v>136.30000000000001</v>
      </c>
      <c r="I269">
        <v>147.19999999999999</v>
      </c>
      <c r="J269">
        <v>156.5</v>
      </c>
      <c r="K269">
        <v>150.9</v>
      </c>
      <c r="L269">
        <v>114.2</v>
      </c>
      <c r="M269">
        <v>159.5</v>
      </c>
      <c r="N269">
        <v>139.4</v>
      </c>
      <c r="O269">
        <v>161.80000000000001</v>
      </c>
      <c r="P269">
        <v>154</v>
      </c>
      <c r="Q269">
        <v>183.5</v>
      </c>
      <c r="R269">
        <v>152.5</v>
      </c>
      <c r="S269">
        <v>144.4</v>
      </c>
      <c r="T269">
        <v>151.4</v>
      </c>
      <c r="U269">
        <v>154.69999999999999</v>
      </c>
      <c r="V269">
        <v>141.9</v>
      </c>
      <c r="W269">
        <v>146.4</v>
      </c>
      <c r="X269">
        <v>154.4</v>
      </c>
      <c r="Y269">
        <v>135</v>
      </c>
      <c r="Z269">
        <v>148.30000000000001</v>
      </c>
      <c r="AA269">
        <v>156.4</v>
      </c>
      <c r="AB269">
        <v>151.6</v>
      </c>
      <c r="AC269">
        <v>147</v>
      </c>
      <c r="AD269">
        <v>151.80000000000001</v>
      </c>
      <c r="AE269">
        <f t="shared" si="20"/>
        <v>1966.8000000000002</v>
      </c>
      <c r="AF269">
        <f t="shared" si="21"/>
        <v>141.9</v>
      </c>
      <c r="AG269">
        <f t="shared" si="22"/>
        <v>135</v>
      </c>
      <c r="AH269">
        <f t="shared" si="23"/>
        <v>156.4</v>
      </c>
      <c r="AI269">
        <f t="shared" si="24"/>
        <v>1534.1999999999998</v>
      </c>
    </row>
    <row r="270" spans="1:35" x14ac:dyDescent="0.3">
      <c r="A270" t="s">
        <v>30</v>
      </c>
      <c r="B270">
        <v>2020</v>
      </c>
      <c r="C270" t="s">
        <v>39</v>
      </c>
      <c r="D270">
        <v>148.19999999999999</v>
      </c>
      <c r="E270">
        <v>190.3</v>
      </c>
      <c r="F270">
        <v>149.4</v>
      </c>
      <c r="G270">
        <v>153.30000000000001</v>
      </c>
      <c r="H270">
        <v>138.19999999999999</v>
      </c>
      <c r="I270">
        <v>143.19999999999999</v>
      </c>
      <c r="J270">
        <v>148.9</v>
      </c>
      <c r="K270">
        <v>150.30000000000001</v>
      </c>
      <c r="L270">
        <v>113.2</v>
      </c>
      <c r="M270">
        <v>159.80000000000001</v>
      </c>
      <c r="N270">
        <v>142.1</v>
      </c>
      <c r="O270">
        <v>161.80000000000001</v>
      </c>
      <c r="P270">
        <v>152.30000000000001</v>
      </c>
      <c r="Q270">
        <v>182.4</v>
      </c>
      <c r="R270">
        <v>154.69999999999999</v>
      </c>
      <c r="S270">
        <v>150</v>
      </c>
      <c r="T270">
        <v>154.1</v>
      </c>
      <c r="U270">
        <v>154.69999999999999</v>
      </c>
      <c r="V270">
        <v>144.9</v>
      </c>
      <c r="W270">
        <v>151.69999999999999</v>
      </c>
      <c r="X270">
        <v>158.19999999999999</v>
      </c>
      <c r="Y270">
        <v>141.4</v>
      </c>
      <c r="Z270">
        <v>153.19999999999999</v>
      </c>
      <c r="AA270">
        <v>161.80000000000001</v>
      </c>
      <c r="AB270">
        <v>151.19999999999999</v>
      </c>
      <c r="AC270">
        <v>151.69999999999999</v>
      </c>
      <c r="AD270">
        <v>152.69999999999999</v>
      </c>
      <c r="AE270">
        <f t="shared" si="20"/>
        <v>1951</v>
      </c>
      <c r="AF270">
        <f t="shared" si="21"/>
        <v>144.9</v>
      </c>
      <c r="AG270">
        <f t="shared" si="22"/>
        <v>141.4</v>
      </c>
      <c r="AH270">
        <f t="shared" si="23"/>
        <v>161.80000000000001</v>
      </c>
      <c r="AI270">
        <f t="shared" si="24"/>
        <v>1561.9000000000003</v>
      </c>
    </row>
    <row r="271" spans="1:35" x14ac:dyDescent="0.3">
      <c r="A271" t="s">
        <v>32</v>
      </c>
      <c r="B271">
        <v>2020</v>
      </c>
      <c r="C271" t="s">
        <v>39</v>
      </c>
      <c r="D271">
        <v>152.69999999999999</v>
      </c>
      <c r="E271">
        <v>197</v>
      </c>
      <c r="F271">
        <v>154.6</v>
      </c>
      <c r="G271">
        <v>153.4</v>
      </c>
      <c r="H271">
        <v>132.9</v>
      </c>
      <c r="I271">
        <v>151.80000000000001</v>
      </c>
      <c r="J271">
        <v>171.2</v>
      </c>
      <c r="K271">
        <v>152</v>
      </c>
      <c r="L271">
        <v>116.3</v>
      </c>
      <c r="M271">
        <v>158.80000000000001</v>
      </c>
      <c r="N271">
        <v>135.6</v>
      </c>
      <c r="O271">
        <v>161.69999999999999</v>
      </c>
      <c r="P271">
        <v>157</v>
      </c>
      <c r="Q271">
        <v>186.7</v>
      </c>
      <c r="R271">
        <v>149.1</v>
      </c>
      <c r="S271">
        <v>136.6</v>
      </c>
      <c r="T271">
        <v>147.19999999999999</v>
      </c>
      <c r="U271">
        <v>154.69999999999999</v>
      </c>
      <c r="V271">
        <v>137.1</v>
      </c>
      <c r="W271">
        <v>140.4</v>
      </c>
      <c r="X271">
        <v>148.1</v>
      </c>
      <c r="Y271">
        <v>129.30000000000001</v>
      </c>
      <c r="Z271">
        <v>144.5</v>
      </c>
      <c r="AA271">
        <v>152.5</v>
      </c>
      <c r="AB271">
        <v>152.19999999999999</v>
      </c>
      <c r="AC271">
        <v>142</v>
      </c>
      <c r="AD271">
        <v>150.80000000000001</v>
      </c>
      <c r="AE271">
        <f t="shared" si="20"/>
        <v>1994.9999999999998</v>
      </c>
      <c r="AF271">
        <f t="shared" si="21"/>
        <v>137.1</v>
      </c>
      <c r="AG271">
        <f t="shared" si="22"/>
        <v>129.30000000000001</v>
      </c>
      <c r="AH271">
        <f t="shared" si="23"/>
        <v>152.5</v>
      </c>
      <c r="AI271">
        <f t="shared" si="24"/>
        <v>1501.5</v>
      </c>
    </row>
    <row r="272" spans="1:35" x14ac:dyDescent="0.3">
      <c r="A272" t="s">
        <v>33</v>
      </c>
      <c r="B272">
        <v>2020</v>
      </c>
      <c r="C272" t="s">
        <v>39</v>
      </c>
      <c r="D272">
        <v>149.6</v>
      </c>
      <c r="E272">
        <v>192.7</v>
      </c>
      <c r="F272">
        <v>151.4</v>
      </c>
      <c r="G272">
        <v>153.30000000000001</v>
      </c>
      <c r="H272">
        <v>136.30000000000001</v>
      </c>
      <c r="I272">
        <v>147.19999999999999</v>
      </c>
      <c r="J272">
        <v>156.5</v>
      </c>
      <c r="K272">
        <v>150.9</v>
      </c>
      <c r="L272">
        <v>114.2</v>
      </c>
      <c r="M272">
        <v>159.5</v>
      </c>
      <c r="N272">
        <v>139.4</v>
      </c>
      <c r="O272">
        <v>161.80000000000001</v>
      </c>
      <c r="P272">
        <v>154</v>
      </c>
      <c r="Q272">
        <v>183.5</v>
      </c>
      <c r="R272">
        <v>152.5</v>
      </c>
      <c r="S272">
        <v>144.4</v>
      </c>
      <c r="T272">
        <v>151.4</v>
      </c>
      <c r="U272">
        <v>154.69999999999999</v>
      </c>
      <c r="V272">
        <v>141.9</v>
      </c>
      <c r="W272">
        <v>146.4</v>
      </c>
      <c r="X272">
        <v>154.4</v>
      </c>
      <c r="Y272">
        <v>135</v>
      </c>
      <c r="Z272">
        <v>148.30000000000001</v>
      </c>
      <c r="AA272">
        <v>156.4</v>
      </c>
      <c r="AB272">
        <v>151.6</v>
      </c>
      <c r="AC272">
        <v>147</v>
      </c>
      <c r="AD272">
        <v>151.80000000000001</v>
      </c>
      <c r="AE272">
        <f t="shared" si="20"/>
        <v>1966.8000000000002</v>
      </c>
      <c r="AF272">
        <f t="shared" si="21"/>
        <v>141.9</v>
      </c>
      <c r="AG272">
        <f t="shared" si="22"/>
        <v>135</v>
      </c>
      <c r="AH272">
        <f t="shared" si="23"/>
        <v>156.4</v>
      </c>
      <c r="AI272">
        <f t="shared" si="24"/>
        <v>1534.1999999999998</v>
      </c>
    </row>
    <row r="273" spans="1:35" x14ac:dyDescent="0.3">
      <c r="A273" t="s">
        <v>30</v>
      </c>
      <c r="B273">
        <v>2020</v>
      </c>
      <c r="C273" t="s">
        <v>40</v>
      </c>
      <c r="D273">
        <v>147.6</v>
      </c>
      <c r="E273">
        <v>187.2</v>
      </c>
      <c r="F273">
        <v>148.4</v>
      </c>
      <c r="G273">
        <v>153.30000000000001</v>
      </c>
      <c r="H273">
        <v>139.80000000000001</v>
      </c>
      <c r="I273">
        <v>146.9</v>
      </c>
      <c r="J273">
        <v>171</v>
      </c>
      <c r="K273">
        <v>149.9</v>
      </c>
      <c r="L273">
        <v>114.2</v>
      </c>
      <c r="M273">
        <v>160</v>
      </c>
      <c r="N273">
        <v>143.5</v>
      </c>
      <c r="O273">
        <v>161.5</v>
      </c>
      <c r="P273">
        <v>155.30000000000001</v>
      </c>
      <c r="Q273">
        <v>180.9</v>
      </c>
      <c r="R273">
        <v>155.1</v>
      </c>
      <c r="S273">
        <v>149.30000000000001</v>
      </c>
      <c r="T273">
        <v>154.30000000000001</v>
      </c>
      <c r="U273">
        <v>155.5</v>
      </c>
      <c r="V273">
        <v>145.80000000000001</v>
      </c>
      <c r="W273">
        <v>151.9</v>
      </c>
      <c r="X273">
        <v>158.80000000000001</v>
      </c>
      <c r="Y273">
        <v>143.6</v>
      </c>
      <c r="Z273">
        <v>152.19999999999999</v>
      </c>
      <c r="AA273">
        <v>162.69999999999999</v>
      </c>
      <c r="AB273">
        <v>153.6</v>
      </c>
      <c r="AC273">
        <v>153</v>
      </c>
      <c r="AD273">
        <v>154.69999999999999</v>
      </c>
      <c r="AE273">
        <f t="shared" si="20"/>
        <v>1978.6</v>
      </c>
      <c r="AF273">
        <f t="shared" si="21"/>
        <v>145.80000000000001</v>
      </c>
      <c r="AG273">
        <f t="shared" si="22"/>
        <v>143.6</v>
      </c>
      <c r="AH273">
        <f t="shared" si="23"/>
        <v>162.69999999999999</v>
      </c>
      <c r="AI273">
        <f t="shared" si="24"/>
        <v>1564.6</v>
      </c>
    </row>
    <row r="274" spans="1:35" x14ac:dyDescent="0.3">
      <c r="A274" t="s">
        <v>32</v>
      </c>
      <c r="B274">
        <v>2020</v>
      </c>
      <c r="C274" t="s">
        <v>40</v>
      </c>
      <c r="D274">
        <v>151.6</v>
      </c>
      <c r="E274">
        <v>197.8</v>
      </c>
      <c r="F274">
        <v>154.5</v>
      </c>
      <c r="G274">
        <v>153.4</v>
      </c>
      <c r="H274">
        <v>133.4</v>
      </c>
      <c r="I274">
        <v>154.5</v>
      </c>
      <c r="J274">
        <v>191.9</v>
      </c>
      <c r="K274">
        <v>151.30000000000001</v>
      </c>
      <c r="L274">
        <v>116.8</v>
      </c>
      <c r="M274">
        <v>160</v>
      </c>
      <c r="N274">
        <v>136.5</v>
      </c>
      <c r="O274">
        <v>163.30000000000001</v>
      </c>
      <c r="P274">
        <v>159.9</v>
      </c>
      <c r="Q274">
        <v>187.2</v>
      </c>
      <c r="R274">
        <v>150</v>
      </c>
      <c r="S274">
        <v>135.19999999999999</v>
      </c>
      <c r="T274">
        <v>147.80000000000001</v>
      </c>
      <c r="U274">
        <v>155.5</v>
      </c>
      <c r="V274">
        <v>138.30000000000001</v>
      </c>
      <c r="W274">
        <v>144.5</v>
      </c>
      <c r="X274">
        <v>148.69999999999999</v>
      </c>
      <c r="Y274">
        <v>133.9</v>
      </c>
      <c r="Z274">
        <v>141.19999999999999</v>
      </c>
      <c r="AA274">
        <v>155.5</v>
      </c>
      <c r="AB274">
        <v>155.19999999999999</v>
      </c>
      <c r="AC274">
        <v>144.80000000000001</v>
      </c>
      <c r="AD274">
        <v>152.9</v>
      </c>
      <c r="AE274">
        <f t="shared" si="20"/>
        <v>2024.8999999999999</v>
      </c>
      <c r="AF274">
        <f t="shared" si="21"/>
        <v>138.30000000000001</v>
      </c>
      <c r="AG274">
        <f t="shared" si="22"/>
        <v>133.9</v>
      </c>
      <c r="AH274">
        <f t="shared" si="23"/>
        <v>155.5</v>
      </c>
      <c r="AI274">
        <f t="shared" si="24"/>
        <v>1510.1000000000001</v>
      </c>
    </row>
    <row r="275" spans="1:35" x14ac:dyDescent="0.3">
      <c r="A275" t="s">
        <v>33</v>
      </c>
      <c r="B275">
        <v>2020</v>
      </c>
      <c r="C275" t="s">
        <v>40</v>
      </c>
      <c r="D275">
        <v>148.9</v>
      </c>
      <c r="E275">
        <v>190.9</v>
      </c>
      <c r="F275">
        <v>150.80000000000001</v>
      </c>
      <c r="G275">
        <v>153.30000000000001</v>
      </c>
      <c r="H275">
        <v>137.4</v>
      </c>
      <c r="I275">
        <v>150.4</v>
      </c>
      <c r="J275">
        <v>178.1</v>
      </c>
      <c r="K275">
        <v>150.4</v>
      </c>
      <c r="L275">
        <v>115.1</v>
      </c>
      <c r="M275">
        <v>160</v>
      </c>
      <c r="N275">
        <v>140.6</v>
      </c>
      <c r="O275">
        <v>162.30000000000001</v>
      </c>
      <c r="P275">
        <v>157</v>
      </c>
      <c r="Q275">
        <v>182.6</v>
      </c>
      <c r="R275">
        <v>153.1</v>
      </c>
      <c r="S275">
        <v>143.4</v>
      </c>
      <c r="T275">
        <v>151.69999999999999</v>
      </c>
      <c r="U275">
        <v>155.5</v>
      </c>
      <c r="V275">
        <v>143</v>
      </c>
      <c r="W275">
        <v>148.4</v>
      </c>
      <c r="X275">
        <v>155</v>
      </c>
      <c r="Y275">
        <v>138.5</v>
      </c>
      <c r="Z275">
        <v>146</v>
      </c>
      <c r="AA275">
        <v>158.5</v>
      </c>
      <c r="AB275">
        <v>154.30000000000001</v>
      </c>
      <c r="AC275">
        <v>149</v>
      </c>
      <c r="AD275">
        <v>153.9</v>
      </c>
      <c r="AE275">
        <f t="shared" si="20"/>
        <v>1995.1999999999998</v>
      </c>
      <c r="AF275">
        <f t="shared" si="21"/>
        <v>143</v>
      </c>
      <c r="AG275">
        <f t="shared" si="22"/>
        <v>138.5</v>
      </c>
      <c r="AH275">
        <f t="shared" si="23"/>
        <v>158.5</v>
      </c>
      <c r="AI275">
        <f t="shared" si="24"/>
        <v>1538.9999999999998</v>
      </c>
    </row>
    <row r="276" spans="1:35" x14ac:dyDescent="0.3">
      <c r="A276" t="s">
        <v>30</v>
      </c>
      <c r="B276">
        <v>2020</v>
      </c>
      <c r="C276" t="s">
        <v>41</v>
      </c>
      <c r="D276">
        <v>146.9</v>
      </c>
      <c r="E276">
        <v>183.9</v>
      </c>
      <c r="F276">
        <v>149.5</v>
      </c>
      <c r="G276">
        <v>153.4</v>
      </c>
      <c r="H276">
        <v>140.4</v>
      </c>
      <c r="I276">
        <v>147</v>
      </c>
      <c r="J276">
        <v>178.8</v>
      </c>
      <c r="K276">
        <v>149.30000000000001</v>
      </c>
      <c r="L276">
        <v>115.1</v>
      </c>
      <c r="M276">
        <v>160</v>
      </c>
      <c r="N276">
        <v>145.4</v>
      </c>
      <c r="O276">
        <v>161.6</v>
      </c>
      <c r="P276">
        <v>156.1</v>
      </c>
      <c r="Q276">
        <v>182.9</v>
      </c>
      <c r="R276">
        <v>155.4</v>
      </c>
      <c r="S276">
        <v>149.9</v>
      </c>
      <c r="T276">
        <v>154.6</v>
      </c>
      <c r="U276">
        <v>156.30000000000001</v>
      </c>
      <c r="V276">
        <v>146.4</v>
      </c>
      <c r="W276">
        <v>151.6</v>
      </c>
      <c r="X276">
        <v>159.1</v>
      </c>
      <c r="Y276">
        <v>144.6</v>
      </c>
      <c r="Z276">
        <v>152.80000000000001</v>
      </c>
      <c r="AA276">
        <v>161.1</v>
      </c>
      <c r="AB276">
        <v>157.4</v>
      </c>
      <c r="AC276">
        <v>153.69999999999999</v>
      </c>
      <c r="AD276">
        <v>155.4</v>
      </c>
      <c r="AE276">
        <f t="shared" si="20"/>
        <v>1987.3999999999999</v>
      </c>
      <c r="AF276">
        <f t="shared" si="21"/>
        <v>146.4</v>
      </c>
      <c r="AG276">
        <f t="shared" si="22"/>
        <v>144.6</v>
      </c>
      <c r="AH276">
        <f t="shared" si="23"/>
        <v>161.1</v>
      </c>
      <c r="AI276">
        <f t="shared" si="24"/>
        <v>1573.7000000000003</v>
      </c>
    </row>
    <row r="277" spans="1:35" x14ac:dyDescent="0.3">
      <c r="A277" t="s">
        <v>32</v>
      </c>
      <c r="B277">
        <v>2020</v>
      </c>
      <c r="C277" t="s">
        <v>41</v>
      </c>
      <c r="D277">
        <v>151.5</v>
      </c>
      <c r="E277">
        <v>193.1</v>
      </c>
      <c r="F277">
        <v>157.30000000000001</v>
      </c>
      <c r="G277">
        <v>153.9</v>
      </c>
      <c r="H277">
        <v>134.4</v>
      </c>
      <c r="I277">
        <v>155.4</v>
      </c>
      <c r="J277">
        <v>202</v>
      </c>
      <c r="K277">
        <v>150.80000000000001</v>
      </c>
      <c r="L277">
        <v>118.9</v>
      </c>
      <c r="M277">
        <v>160.9</v>
      </c>
      <c r="N277">
        <v>137.69999999999999</v>
      </c>
      <c r="O277">
        <v>164.4</v>
      </c>
      <c r="P277">
        <v>161.30000000000001</v>
      </c>
      <c r="Q277">
        <v>188.7</v>
      </c>
      <c r="R277">
        <v>150.19999999999999</v>
      </c>
      <c r="S277">
        <v>136.30000000000001</v>
      </c>
      <c r="T277">
        <v>148.1</v>
      </c>
      <c r="U277">
        <v>156.30000000000001</v>
      </c>
      <c r="V277">
        <v>137.19999999999999</v>
      </c>
      <c r="W277">
        <v>145.4</v>
      </c>
      <c r="X277">
        <v>150</v>
      </c>
      <c r="Y277">
        <v>135.1</v>
      </c>
      <c r="Z277">
        <v>141.80000000000001</v>
      </c>
      <c r="AA277">
        <v>154.9</v>
      </c>
      <c r="AB277">
        <v>159.80000000000001</v>
      </c>
      <c r="AC277">
        <v>146</v>
      </c>
      <c r="AD277">
        <v>154</v>
      </c>
      <c r="AE277">
        <f t="shared" si="20"/>
        <v>2041.6000000000001</v>
      </c>
      <c r="AF277">
        <f t="shared" si="21"/>
        <v>137.19999999999999</v>
      </c>
      <c r="AG277">
        <f t="shared" si="22"/>
        <v>135.1</v>
      </c>
      <c r="AH277">
        <f t="shared" si="23"/>
        <v>154.9</v>
      </c>
      <c r="AI277">
        <f t="shared" si="24"/>
        <v>1522.6</v>
      </c>
    </row>
    <row r="278" spans="1:35" x14ac:dyDescent="0.3">
      <c r="A278" t="s">
        <v>33</v>
      </c>
      <c r="B278">
        <v>2020</v>
      </c>
      <c r="C278" t="s">
        <v>41</v>
      </c>
      <c r="D278">
        <v>148.4</v>
      </c>
      <c r="E278">
        <v>187.1</v>
      </c>
      <c r="F278">
        <v>152.5</v>
      </c>
      <c r="G278">
        <v>153.6</v>
      </c>
      <c r="H278">
        <v>138.19999999999999</v>
      </c>
      <c r="I278">
        <v>150.9</v>
      </c>
      <c r="J278">
        <v>186.7</v>
      </c>
      <c r="K278">
        <v>149.80000000000001</v>
      </c>
      <c r="L278">
        <v>116.4</v>
      </c>
      <c r="M278">
        <v>160.30000000000001</v>
      </c>
      <c r="N278">
        <v>142.19999999999999</v>
      </c>
      <c r="O278">
        <v>162.9</v>
      </c>
      <c r="P278">
        <v>158</v>
      </c>
      <c r="Q278">
        <v>184.4</v>
      </c>
      <c r="R278">
        <v>153.4</v>
      </c>
      <c r="S278">
        <v>144.30000000000001</v>
      </c>
      <c r="T278">
        <v>152</v>
      </c>
      <c r="U278">
        <v>156.30000000000001</v>
      </c>
      <c r="V278">
        <v>142.9</v>
      </c>
      <c r="W278">
        <v>148.69999999999999</v>
      </c>
      <c r="X278">
        <v>155.6</v>
      </c>
      <c r="Y278">
        <v>139.6</v>
      </c>
      <c r="Z278">
        <v>146.6</v>
      </c>
      <c r="AA278">
        <v>157.5</v>
      </c>
      <c r="AB278">
        <v>158.4</v>
      </c>
      <c r="AC278">
        <v>150</v>
      </c>
      <c r="AD278">
        <v>154.69999999999999</v>
      </c>
      <c r="AE278">
        <f t="shared" si="20"/>
        <v>2007</v>
      </c>
      <c r="AF278">
        <f t="shared" si="21"/>
        <v>142.9</v>
      </c>
      <c r="AG278">
        <f t="shared" si="22"/>
        <v>139.6</v>
      </c>
      <c r="AH278">
        <f t="shared" si="23"/>
        <v>157.5</v>
      </c>
      <c r="AI278">
        <f t="shared" si="24"/>
        <v>1549.7</v>
      </c>
    </row>
    <row r="279" spans="1:35" x14ac:dyDescent="0.3">
      <c r="A279" t="s">
        <v>30</v>
      </c>
      <c r="B279">
        <v>2020</v>
      </c>
      <c r="C279" t="s">
        <v>42</v>
      </c>
      <c r="D279">
        <v>146</v>
      </c>
      <c r="E279">
        <v>186.3</v>
      </c>
      <c r="F279">
        <v>159.19999999999999</v>
      </c>
      <c r="G279">
        <v>153.6</v>
      </c>
      <c r="H279">
        <v>142.6</v>
      </c>
      <c r="I279">
        <v>147.19999999999999</v>
      </c>
      <c r="J279">
        <v>200.6</v>
      </c>
      <c r="K279">
        <v>150.30000000000001</v>
      </c>
      <c r="L279">
        <v>115.3</v>
      </c>
      <c r="M279">
        <v>160.9</v>
      </c>
      <c r="N279">
        <v>147.4</v>
      </c>
      <c r="O279">
        <v>161.9</v>
      </c>
      <c r="P279">
        <v>159.6</v>
      </c>
      <c r="Q279">
        <v>182.7</v>
      </c>
      <c r="R279">
        <v>155.69999999999999</v>
      </c>
      <c r="S279">
        <v>150.6</v>
      </c>
      <c r="T279">
        <v>155</v>
      </c>
      <c r="U279">
        <v>156.5</v>
      </c>
      <c r="V279">
        <v>146.80000000000001</v>
      </c>
      <c r="W279">
        <v>152</v>
      </c>
      <c r="X279">
        <v>159.5</v>
      </c>
      <c r="Y279">
        <v>146.4</v>
      </c>
      <c r="Z279">
        <v>152.4</v>
      </c>
      <c r="AA279">
        <v>162.5</v>
      </c>
      <c r="AB279">
        <v>156.19999999999999</v>
      </c>
      <c r="AC279">
        <v>154.30000000000001</v>
      </c>
      <c r="AD279">
        <v>157.5</v>
      </c>
      <c r="AE279">
        <f t="shared" si="20"/>
        <v>2030.9</v>
      </c>
      <c r="AF279">
        <f t="shared" si="21"/>
        <v>146.80000000000001</v>
      </c>
      <c r="AG279">
        <f t="shared" si="22"/>
        <v>146.4</v>
      </c>
      <c r="AH279">
        <f t="shared" si="23"/>
        <v>162.5</v>
      </c>
      <c r="AI279">
        <f t="shared" si="24"/>
        <v>1574.9</v>
      </c>
    </row>
    <row r="280" spans="1:35" x14ac:dyDescent="0.3">
      <c r="A280" t="s">
        <v>32</v>
      </c>
      <c r="B280">
        <v>2020</v>
      </c>
      <c r="C280" t="s">
        <v>42</v>
      </c>
      <c r="D280">
        <v>150.6</v>
      </c>
      <c r="E280">
        <v>193.7</v>
      </c>
      <c r="F280">
        <v>164.8</v>
      </c>
      <c r="G280">
        <v>153.69999999999999</v>
      </c>
      <c r="H280">
        <v>135.69999999999999</v>
      </c>
      <c r="I280">
        <v>155.69999999999999</v>
      </c>
      <c r="J280">
        <v>226</v>
      </c>
      <c r="K280">
        <v>152.19999999999999</v>
      </c>
      <c r="L280">
        <v>118.1</v>
      </c>
      <c r="M280">
        <v>161.30000000000001</v>
      </c>
      <c r="N280">
        <v>139.19999999999999</v>
      </c>
      <c r="O280">
        <v>164.8</v>
      </c>
      <c r="P280">
        <v>164.4</v>
      </c>
      <c r="Q280">
        <v>188.7</v>
      </c>
      <c r="R280">
        <v>150.5</v>
      </c>
      <c r="S280">
        <v>136.1</v>
      </c>
      <c r="T280">
        <v>148.30000000000001</v>
      </c>
      <c r="U280">
        <v>156.5</v>
      </c>
      <c r="V280">
        <v>137.1</v>
      </c>
      <c r="W280">
        <v>145.1</v>
      </c>
      <c r="X280">
        <v>151</v>
      </c>
      <c r="Y280">
        <v>135.4</v>
      </c>
      <c r="Z280">
        <v>142</v>
      </c>
      <c r="AA280">
        <v>155.69999999999999</v>
      </c>
      <c r="AB280">
        <v>158.1</v>
      </c>
      <c r="AC280">
        <v>146.19999999999999</v>
      </c>
      <c r="AD280">
        <v>155.19999999999999</v>
      </c>
      <c r="AE280">
        <f t="shared" si="20"/>
        <v>2080.1999999999998</v>
      </c>
      <c r="AF280">
        <f t="shared" si="21"/>
        <v>137.1</v>
      </c>
      <c r="AG280">
        <f t="shared" si="22"/>
        <v>135.4</v>
      </c>
      <c r="AH280">
        <f t="shared" si="23"/>
        <v>155.69999999999999</v>
      </c>
      <c r="AI280">
        <f t="shared" si="24"/>
        <v>1522.4999999999998</v>
      </c>
    </row>
    <row r="281" spans="1:35" x14ac:dyDescent="0.3">
      <c r="A281" t="s">
        <v>33</v>
      </c>
      <c r="B281">
        <v>2020</v>
      </c>
      <c r="C281" t="s">
        <v>42</v>
      </c>
      <c r="D281">
        <v>147.5</v>
      </c>
      <c r="E281">
        <v>188.9</v>
      </c>
      <c r="F281">
        <v>161.4</v>
      </c>
      <c r="G281">
        <v>153.6</v>
      </c>
      <c r="H281">
        <v>140.1</v>
      </c>
      <c r="I281">
        <v>151.19999999999999</v>
      </c>
      <c r="J281">
        <v>209.2</v>
      </c>
      <c r="K281">
        <v>150.9</v>
      </c>
      <c r="L281">
        <v>116.2</v>
      </c>
      <c r="M281">
        <v>161</v>
      </c>
      <c r="N281">
        <v>144</v>
      </c>
      <c r="O281">
        <v>163.19999999999999</v>
      </c>
      <c r="P281">
        <v>161.4</v>
      </c>
      <c r="Q281">
        <v>184.3</v>
      </c>
      <c r="R281">
        <v>153.69999999999999</v>
      </c>
      <c r="S281">
        <v>144.6</v>
      </c>
      <c r="T281">
        <v>152.30000000000001</v>
      </c>
      <c r="U281">
        <v>156.5</v>
      </c>
      <c r="V281">
        <v>143.1</v>
      </c>
      <c r="W281">
        <v>148.69999999999999</v>
      </c>
      <c r="X281">
        <v>156.30000000000001</v>
      </c>
      <c r="Y281">
        <v>140.6</v>
      </c>
      <c r="Z281">
        <v>146.5</v>
      </c>
      <c r="AA281">
        <v>158.5</v>
      </c>
      <c r="AB281">
        <v>157</v>
      </c>
      <c r="AC281">
        <v>150.4</v>
      </c>
      <c r="AD281">
        <v>156.4</v>
      </c>
      <c r="AE281">
        <f t="shared" si="20"/>
        <v>2048.6000000000004</v>
      </c>
      <c r="AF281">
        <f t="shared" si="21"/>
        <v>143.1</v>
      </c>
      <c r="AG281">
        <f t="shared" si="22"/>
        <v>140.6</v>
      </c>
      <c r="AH281">
        <f t="shared" si="23"/>
        <v>158.5</v>
      </c>
      <c r="AI281">
        <f t="shared" si="24"/>
        <v>1550.3000000000002</v>
      </c>
    </row>
    <row r="282" spans="1:35" x14ac:dyDescent="0.3">
      <c r="A282" t="s">
        <v>30</v>
      </c>
      <c r="B282">
        <v>2020</v>
      </c>
      <c r="C282" t="s">
        <v>44</v>
      </c>
      <c r="D282">
        <v>145.4</v>
      </c>
      <c r="E282">
        <v>188.6</v>
      </c>
      <c r="F282">
        <v>171.6</v>
      </c>
      <c r="G282">
        <v>153.80000000000001</v>
      </c>
      <c r="H282">
        <v>145.4</v>
      </c>
      <c r="I282">
        <v>146.5</v>
      </c>
      <c r="J282">
        <v>222.2</v>
      </c>
      <c r="K282">
        <v>155.9</v>
      </c>
      <c r="L282">
        <v>114.9</v>
      </c>
      <c r="M282">
        <v>162</v>
      </c>
      <c r="N282">
        <v>150</v>
      </c>
      <c r="O282">
        <v>162.69999999999999</v>
      </c>
      <c r="P282">
        <v>163.4</v>
      </c>
      <c r="Q282">
        <v>183.4</v>
      </c>
      <c r="R282">
        <v>156.30000000000001</v>
      </c>
      <c r="S282">
        <v>151</v>
      </c>
      <c r="T282">
        <v>155.5</v>
      </c>
      <c r="U282">
        <v>158</v>
      </c>
      <c r="V282">
        <v>147.5</v>
      </c>
      <c r="W282">
        <v>152.80000000000001</v>
      </c>
      <c r="X282">
        <v>160.4</v>
      </c>
      <c r="Y282">
        <v>146.1</v>
      </c>
      <c r="Z282">
        <v>153.6</v>
      </c>
      <c r="AA282">
        <v>161.6</v>
      </c>
      <c r="AB282">
        <v>156.19999999999999</v>
      </c>
      <c r="AC282">
        <v>154.5</v>
      </c>
      <c r="AD282">
        <v>159.80000000000001</v>
      </c>
      <c r="AE282">
        <f t="shared" si="20"/>
        <v>2082.4</v>
      </c>
      <c r="AF282">
        <f t="shared" si="21"/>
        <v>147.5</v>
      </c>
      <c r="AG282">
        <f t="shared" si="22"/>
        <v>146.1</v>
      </c>
      <c r="AH282">
        <f t="shared" si="23"/>
        <v>161.6</v>
      </c>
      <c r="AI282">
        <f t="shared" si="24"/>
        <v>1581.7</v>
      </c>
    </row>
    <row r="283" spans="1:35" x14ac:dyDescent="0.3">
      <c r="A283" t="s">
        <v>32</v>
      </c>
      <c r="B283">
        <v>2020</v>
      </c>
      <c r="C283" t="s">
        <v>44</v>
      </c>
      <c r="D283">
        <v>149.69999999999999</v>
      </c>
      <c r="E283">
        <v>195.5</v>
      </c>
      <c r="F283">
        <v>176.9</v>
      </c>
      <c r="G283">
        <v>153.9</v>
      </c>
      <c r="H283">
        <v>138</v>
      </c>
      <c r="I283">
        <v>150.5</v>
      </c>
      <c r="J283">
        <v>245.3</v>
      </c>
      <c r="K283">
        <v>158.69999999999999</v>
      </c>
      <c r="L283">
        <v>117.2</v>
      </c>
      <c r="M283">
        <v>161.4</v>
      </c>
      <c r="N283">
        <v>141.5</v>
      </c>
      <c r="O283">
        <v>165.1</v>
      </c>
      <c r="P283">
        <v>167</v>
      </c>
      <c r="Q283">
        <v>188.8</v>
      </c>
      <c r="R283">
        <v>151.1</v>
      </c>
      <c r="S283">
        <v>136.4</v>
      </c>
      <c r="T283">
        <v>148.80000000000001</v>
      </c>
      <c r="U283">
        <v>158</v>
      </c>
      <c r="V283">
        <v>137.30000000000001</v>
      </c>
      <c r="W283">
        <v>145.1</v>
      </c>
      <c r="X283">
        <v>152</v>
      </c>
      <c r="Y283">
        <v>135.19999999999999</v>
      </c>
      <c r="Z283">
        <v>144.4</v>
      </c>
      <c r="AA283">
        <v>156.4</v>
      </c>
      <c r="AB283">
        <v>157.9</v>
      </c>
      <c r="AC283">
        <v>146.6</v>
      </c>
      <c r="AD283">
        <v>156.69999999999999</v>
      </c>
      <c r="AE283">
        <f t="shared" si="20"/>
        <v>2120.6999999999998</v>
      </c>
      <c r="AF283">
        <f t="shared" si="21"/>
        <v>137.30000000000001</v>
      </c>
      <c r="AG283">
        <f t="shared" si="22"/>
        <v>135.19999999999999</v>
      </c>
      <c r="AH283">
        <f t="shared" si="23"/>
        <v>156.4</v>
      </c>
      <c r="AI283">
        <f t="shared" si="24"/>
        <v>1529.1</v>
      </c>
    </row>
    <row r="284" spans="1:35" x14ac:dyDescent="0.3">
      <c r="A284" t="s">
        <v>33</v>
      </c>
      <c r="B284">
        <v>2020</v>
      </c>
      <c r="C284" t="s">
        <v>44</v>
      </c>
      <c r="D284">
        <v>146.80000000000001</v>
      </c>
      <c r="E284">
        <v>191</v>
      </c>
      <c r="F284">
        <v>173.6</v>
      </c>
      <c r="G284">
        <v>153.80000000000001</v>
      </c>
      <c r="H284">
        <v>142.69999999999999</v>
      </c>
      <c r="I284">
        <v>148.4</v>
      </c>
      <c r="J284">
        <v>230</v>
      </c>
      <c r="K284">
        <v>156.80000000000001</v>
      </c>
      <c r="L284">
        <v>115.7</v>
      </c>
      <c r="M284">
        <v>161.80000000000001</v>
      </c>
      <c r="N284">
        <v>146.5</v>
      </c>
      <c r="O284">
        <v>163.80000000000001</v>
      </c>
      <c r="P284">
        <v>164.7</v>
      </c>
      <c r="Q284">
        <v>184.8</v>
      </c>
      <c r="R284">
        <v>154.30000000000001</v>
      </c>
      <c r="S284">
        <v>144.9</v>
      </c>
      <c r="T284">
        <v>152.80000000000001</v>
      </c>
      <c r="U284">
        <v>158</v>
      </c>
      <c r="V284">
        <v>143.6</v>
      </c>
      <c r="W284">
        <v>149.19999999999999</v>
      </c>
      <c r="X284">
        <v>157.19999999999999</v>
      </c>
      <c r="Y284">
        <v>140.4</v>
      </c>
      <c r="Z284">
        <v>148.4</v>
      </c>
      <c r="AA284">
        <v>158.6</v>
      </c>
      <c r="AB284">
        <v>156.9</v>
      </c>
      <c r="AC284">
        <v>150.69999999999999</v>
      </c>
      <c r="AD284">
        <v>158.4</v>
      </c>
      <c r="AE284">
        <f t="shared" si="20"/>
        <v>2095.6</v>
      </c>
      <c r="AF284">
        <f t="shared" si="21"/>
        <v>143.6</v>
      </c>
      <c r="AG284">
        <f t="shared" si="22"/>
        <v>140.4</v>
      </c>
      <c r="AH284">
        <f t="shared" si="23"/>
        <v>158.6</v>
      </c>
      <c r="AI284">
        <f t="shared" si="24"/>
        <v>1557.2000000000003</v>
      </c>
    </row>
    <row r="285" spans="1:35" x14ac:dyDescent="0.3">
      <c r="A285" t="s">
        <v>30</v>
      </c>
      <c r="B285">
        <v>2020</v>
      </c>
      <c r="C285" t="s">
        <v>45</v>
      </c>
      <c r="D285">
        <v>144.6</v>
      </c>
      <c r="E285">
        <v>188.5</v>
      </c>
      <c r="F285">
        <v>173.4</v>
      </c>
      <c r="G285">
        <v>154</v>
      </c>
      <c r="H285">
        <v>150</v>
      </c>
      <c r="I285">
        <v>145.9</v>
      </c>
      <c r="J285">
        <v>225.2</v>
      </c>
      <c r="K285">
        <v>159.5</v>
      </c>
      <c r="L285">
        <v>114.4</v>
      </c>
      <c r="M285">
        <v>163.5</v>
      </c>
      <c r="N285">
        <v>153.4</v>
      </c>
      <c r="O285">
        <v>163.6</v>
      </c>
      <c r="P285">
        <v>164.5</v>
      </c>
      <c r="Q285">
        <v>183.6</v>
      </c>
      <c r="R285">
        <v>157</v>
      </c>
      <c r="S285">
        <v>151.6</v>
      </c>
      <c r="T285">
        <v>156.30000000000001</v>
      </c>
      <c r="U285">
        <v>158.4</v>
      </c>
      <c r="V285">
        <v>148.69999999999999</v>
      </c>
      <c r="W285">
        <v>153.4</v>
      </c>
      <c r="X285">
        <v>161.6</v>
      </c>
      <c r="Y285">
        <v>146.4</v>
      </c>
      <c r="Z285">
        <v>153.9</v>
      </c>
      <c r="AA285">
        <v>162.9</v>
      </c>
      <c r="AB285">
        <v>156.6</v>
      </c>
      <c r="AC285">
        <v>155.19999999999999</v>
      </c>
      <c r="AD285">
        <v>160.69999999999999</v>
      </c>
      <c r="AE285">
        <f t="shared" si="20"/>
        <v>2100.5</v>
      </c>
      <c r="AF285">
        <f t="shared" si="21"/>
        <v>148.69999999999999</v>
      </c>
      <c r="AG285">
        <f t="shared" si="22"/>
        <v>146.4</v>
      </c>
      <c r="AH285">
        <f t="shared" si="23"/>
        <v>162.9</v>
      </c>
      <c r="AI285">
        <f t="shared" si="24"/>
        <v>1587.6</v>
      </c>
    </row>
    <row r="286" spans="1:35" x14ac:dyDescent="0.3">
      <c r="A286" t="s">
        <v>32</v>
      </c>
      <c r="B286">
        <v>2020</v>
      </c>
      <c r="C286" t="s">
        <v>45</v>
      </c>
      <c r="D286">
        <v>149</v>
      </c>
      <c r="E286">
        <v>195.7</v>
      </c>
      <c r="F286">
        <v>178.3</v>
      </c>
      <c r="G286">
        <v>154.19999999999999</v>
      </c>
      <c r="H286">
        <v>140.69999999999999</v>
      </c>
      <c r="I286">
        <v>149.69999999999999</v>
      </c>
      <c r="J286">
        <v>240.9</v>
      </c>
      <c r="K286">
        <v>161.5</v>
      </c>
      <c r="L286">
        <v>117.1</v>
      </c>
      <c r="M286">
        <v>161.9</v>
      </c>
      <c r="N286">
        <v>143.30000000000001</v>
      </c>
      <c r="O286">
        <v>166.1</v>
      </c>
      <c r="P286">
        <v>167</v>
      </c>
      <c r="Q286">
        <v>190.2</v>
      </c>
      <c r="R286">
        <v>151.9</v>
      </c>
      <c r="S286">
        <v>136.69999999999999</v>
      </c>
      <c r="T286">
        <v>149.6</v>
      </c>
      <c r="U286">
        <v>158.4</v>
      </c>
      <c r="V286">
        <v>137.9</v>
      </c>
      <c r="W286">
        <v>145.5</v>
      </c>
      <c r="X286">
        <v>152.9</v>
      </c>
      <c r="Y286">
        <v>135.5</v>
      </c>
      <c r="Z286">
        <v>144.30000000000001</v>
      </c>
      <c r="AA286">
        <v>156.9</v>
      </c>
      <c r="AB286">
        <v>157.9</v>
      </c>
      <c r="AC286">
        <v>146.9</v>
      </c>
      <c r="AD286">
        <v>156.9</v>
      </c>
      <c r="AE286">
        <f t="shared" si="20"/>
        <v>2125.4</v>
      </c>
      <c r="AF286">
        <f t="shared" si="21"/>
        <v>137.9</v>
      </c>
      <c r="AG286">
        <f t="shared" si="22"/>
        <v>135.5</v>
      </c>
      <c r="AH286">
        <f t="shared" si="23"/>
        <v>156.9</v>
      </c>
      <c r="AI286">
        <f t="shared" si="24"/>
        <v>1534.3000000000002</v>
      </c>
    </row>
    <row r="287" spans="1:35" x14ac:dyDescent="0.3">
      <c r="A287" t="s">
        <v>33</v>
      </c>
      <c r="B287">
        <v>2020</v>
      </c>
      <c r="C287" t="s">
        <v>45</v>
      </c>
      <c r="D287">
        <v>146</v>
      </c>
      <c r="E287">
        <v>191</v>
      </c>
      <c r="F287">
        <v>175.3</v>
      </c>
      <c r="G287">
        <v>154.1</v>
      </c>
      <c r="H287">
        <v>146.6</v>
      </c>
      <c r="I287">
        <v>147.69999999999999</v>
      </c>
      <c r="J287">
        <v>230.5</v>
      </c>
      <c r="K287">
        <v>160.19999999999999</v>
      </c>
      <c r="L287">
        <v>115.3</v>
      </c>
      <c r="M287">
        <v>163</v>
      </c>
      <c r="N287">
        <v>149.19999999999999</v>
      </c>
      <c r="O287">
        <v>164.8</v>
      </c>
      <c r="P287">
        <v>165.4</v>
      </c>
      <c r="Q287">
        <v>185.4</v>
      </c>
      <c r="R287">
        <v>155</v>
      </c>
      <c r="S287">
        <v>145.4</v>
      </c>
      <c r="T287">
        <v>153.6</v>
      </c>
      <c r="U287">
        <v>158.4</v>
      </c>
      <c r="V287">
        <v>144.6</v>
      </c>
      <c r="W287">
        <v>149.69999999999999</v>
      </c>
      <c r="X287">
        <v>158.30000000000001</v>
      </c>
      <c r="Y287">
        <v>140.69999999999999</v>
      </c>
      <c r="Z287">
        <v>148.5</v>
      </c>
      <c r="AA287">
        <v>159.4</v>
      </c>
      <c r="AB287">
        <v>157.1</v>
      </c>
      <c r="AC287">
        <v>151.19999999999999</v>
      </c>
      <c r="AD287">
        <v>158.9</v>
      </c>
      <c r="AE287">
        <f t="shared" si="20"/>
        <v>2109.1</v>
      </c>
      <c r="AF287">
        <f t="shared" si="21"/>
        <v>144.6</v>
      </c>
      <c r="AG287">
        <f t="shared" si="22"/>
        <v>140.69999999999999</v>
      </c>
      <c r="AH287">
        <f t="shared" si="23"/>
        <v>159.4</v>
      </c>
      <c r="AI287">
        <f t="shared" si="24"/>
        <v>1562.6</v>
      </c>
    </row>
    <row r="288" spans="1:35" x14ac:dyDescent="0.3">
      <c r="A288" t="s">
        <v>30</v>
      </c>
      <c r="B288">
        <v>2021</v>
      </c>
      <c r="C288" t="s">
        <v>31</v>
      </c>
      <c r="D288">
        <v>143.4</v>
      </c>
      <c r="E288">
        <v>187.5</v>
      </c>
      <c r="F288">
        <v>173.4</v>
      </c>
      <c r="G288">
        <v>154</v>
      </c>
      <c r="H288">
        <v>154.80000000000001</v>
      </c>
      <c r="I288">
        <v>147</v>
      </c>
      <c r="J288">
        <v>187.8</v>
      </c>
      <c r="K288">
        <v>159.5</v>
      </c>
      <c r="L288">
        <v>113.8</v>
      </c>
      <c r="M288">
        <v>164.5</v>
      </c>
      <c r="N288">
        <v>156.1</v>
      </c>
      <c r="O288">
        <v>164.3</v>
      </c>
      <c r="P288">
        <v>159.6</v>
      </c>
      <c r="Q288">
        <v>184.6</v>
      </c>
      <c r="R288">
        <v>157.5</v>
      </c>
      <c r="S288">
        <v>152.4</v>
      </c>
      <c r="T288">
        <v>156.80000000000001</v>
      </c>
      <c r="U288">
        <v>157.69999999999999</v>
      </c>
      <c r="V288">
        <v>150.9</v>
      </c>
      <c r="W288">
        <v>153.9</v>
      </c>
      <c r="X288">
        <v>162.5</v>
      </c>
      <c r="Y288">
        <v>147.5</v>
      </c>
      <c r="Z288">
        <v>155.1</v>
      </c>
      <c r="AA288">
        <v>163.5</v>
      </c>
      <c r="AB288">
        <v>156.19999999999999</v>
      </c>
      <c r="AC288">
        <v>155.9</v>
      </c>
      <c r="AD288">
        <v>158.5</v>
      </c>
      <c r="AE288">
        <f t="shared" si="20"/>
        <v>2065.6999999999998</v>
      </c>
      <c r="AF288">
        <f t="shared" si="21"/>
        <v>150.9</v>
      </c>
      <c r="AG288">
        <f t="shared" si="22"/>
        <v>147.5</v>
      </c>
      <c r="AH288">
        <f t="shared" si="23"/>
        <v>163.5</v>
      </c>
      <c r="AI288">
        <f t="shared" si="24"/>
        <v>1592.6000000000001</v>
      </c>
    </row>
    <row r="289" spans="1:35" x14ac:dyDescent="0.3">
      <c r="A289" t="s">
        <v>32</v>
      </c>
      <c r="B289">
        <v>2021</v>
      </c>
      <c r="C289" t="s">
        <v>31</v>
      </c>
      <c r="D289">
        <v>148</v>
      </c>
      <c r="E289">
        <v>194.8</v>
      </c>
      <c r="F289">
        <v>178.4</v>
      </c>
      <c r="G289">
        <v>154.4</v>
      </c>
      <c r="H289">
        <v>144.1</v>
      </c>
      <c r="I289">
        <v>152.6</v>
      </c>
      <c r="J289">
        <v>206.8</v>
      </c>
      <c r="K289">
        <v>162.1</v>
      </c>
      <c r="L289">
        <v>116.3</v>
      </c>
      <c r="M289">
        <v>163</v>
      </c>
      <c r="N289">
        <v>145.9</v>
      </c>
      <c r="O289">
        <v>167.2</v>
      </c>
      <c r="P289">
        <v>163.4</v>
      </c>
      <c r="Q289">
        <v>191.8</v>
      </c>
      <c r="R289">
        <v>152.5</v>
      </c>
      <c r="S289">
        <v>137.30000000000001</v>
      </c>
      <c r="T289">
        <v>150.19999999999999</v>
      </c>
      <c r="U289">
        <v>157.69999999999999</v>
      </c>
      <c r="V289">
        <v>142.9</v>
      </c>
      <c r="W289">
        <v>145.69999999999999</v>
      </c>
      <c r="X289">
        <v>154.1</v>
      </c>
      <c r="Y289">
        <v>136.9</v>
      </c>
      <c r="Z289">
        <v>145.4</v>
      </c>
      <c r="AA289">
        <v>156.1</v>
      </c>
      <c r="AB289">
        <v>157.69999999999999</v>
      </c>
      <c r="AC289">
        <v>147.6</v>
      </c>
      <c r="AD289">
        <v>156</v>
      </c>
      <c r="AE289">
        <f t="shared" si="20"/>
        <v>2097</v>
      </c>
      <c r="AF289">
        <f t="shared" si="21"/>
        <v>142.9</v>
      </c>
      <c r="AG289">
        <f t="shared" si="22"/>
        <v>136.9</v>
      </c>
      <c r="AH289">
        <f t="shared" si="23"/>
        <v>156.1</v>
      </c>
      <c r="AI289">
        <f t="shared" si="24"/>
        <v>1540</v>
      </c>
    </row>
    <row r="290" spans="1:35" x14ac:dyDescent="0.3">
      <c r="A290" t="s">
        <v>33</v>
      </c>
      <c r="B290">
        <v>2021</v>
      </c>
      <c r="C290" t="s">
        <v>31</v>
      </c>
      <c r="D290">
        <v>144.9</v>
      </c>
      <c r="E290">
        <v>190.1</v>
      </c>
      <c r="F290">
        <v>175.3</v>
      </c>
      <c r="G290">
        <v>154.1</v>
      </c>
      <c r="H290">
        <v>150.9</v>
      </c>
      <c r="I290">
        <v>149.6</v>
      </c>
      <c r="J290">
        <v>194.2</v>
      </c>
      <c r="K290">
        <v>160.4</v>
      </c>
      <c r="L290">
        <v>114.6</v>
      </c>
      <c r="M290">
        <v>164</v>
      </c>
      <c r="N290">
        <v>151.80000000000001</v>
      </c>
      <c r="O290">
        <v>165.6</v>
      </c>
      <c r="P290">
        <v>161</v>
      </c>
      <c r="Q290">
        <v>186.5</v>
      </c>
      <c r="R290">
        <v>155.5</v>
      </c>
      <c r="S290">
        <v>146.1</v>
      </c>
      <c r="T290">
        <v>154.19999999999999</v>
      </c>
      <c r="U290">
        <v>157.69999999999999</v>
      </c>
      <c r="V290">
        <v>147.9</v>
      </c>
      <c r="W290">
        <v>150</v>
      </c>
      <c r="X290">
        <v>159.30000000000001</v>
      </c>
      <c r="Y290">
        <v>141.9</v>
      </c>
      <c r="Z290">
        <v>149.6</v>
      </c>
      <c r="AA290">
        <v>159.19999999999999</v>
      </c>
      <c r="AB290">
        <v>156.80000000000001</v>
      </c>
      <c r="AC290">
        <v>151.9</v>
      </c>
      <c r="AD290">
        <v>157.30000000000001</v>
      </c>
      <c r="AE290">
        <f t="shared" si="20"/>
        <v>2076.5</v>
      </c>
      <c r="AF290">
        <f t="shared" si="21"/>
        <v>147.9</v>
      </c>
      <c r="AG290">
        <f t="shared" si="22"/>
        <v>141.9</v>
      </c>
      <c r="AH290">
        <f t="shared" si="23"/>
        <v>159.19999999999999</v>
      </c>
      <c r="AI290">
        <f t="shared" si="24"/>
        <v>1567.6</v>
      </c>
    </row>
    <row r="291" spans="1:35" x14ac:dyDescent="0.3">
      <c r="A291" t="s">
        <v>30</v>
      </c>
      <c r="B291">
        <v>2021</v>
      </c>
      <c r="C291" t="s">
        <v>34</v>
      </c>
      <c r="D291">
        <v>142.80000000000001</v>
      </c>
      <c r="E291">
        <v>184</v>
      </c>
      <c r="F291">
        <v>168</v>
      </c>
      <c r="G291">
        <v>154.4</v>
      </c>
      <c r="H291">
        <v>163</v>
      </c>
      <c r="I291">
        <v>147.80000000000001</v>
      </c>
      <c r="J291">
        <v>149.69999999999999</v>
      </c>
      <c r="K291">
        <v>158.30000000000001</v>
      </c>
      <c r="L291">
        <v>111.8</v>
      </c>
      <c r="M291">
        <v>165</v>
      </c>
      <c r="N291">
        <v>160</v>
      </c>
      <c r="O291">
        <v>165.8</v>
      </c>
      <c r="P291">
        <v>154.69999999999999</v>
      </c>
      <c r="Q291">
        <v>186.5</v>
      </c>
      <c r="R291">
        <v>159.1</v>
      </c>
      <c r="S291">
        <v>153.9</v>
      </c>
      <c r="T291">
        <v>158.4</v>
      </c>
      <c r="U291">
        <v>159.80000000000001</v>
      </c>
      <c r="V291">
        <v>154.4</v>
      </c>
      <c r="W291">
        <v>154.80000000000001</v>
      </c>
      <c r="X291">
        <v>164.3</v>
      </c>
      <c r="Y291">
        <v>150.19999999999999</v>
      </c>
      <c r="Z291">
        <v>157</v>
      </c>
      <c r="AA291">
        <v>163.6</v>
      </c>
      <c r="AB291">
        <v>155.19999999999999</v>
      </c>
      <c r="AC291">
        <v>157.19999999999999</v>
      </c>
      <c r="AD291">
        <v>156.69999999999999</v>
      </c>
      <c r="AE291">
        <f t="shared" si="20"/>
        <v>2025.3</v>
      </c>
      <c r="AF291">
        <f t="shared" si="21"/>
        <v>154.4</v>
      </c>
      <c r="AG291">
        <f t="shared" si="22"/>
        <v>150.19999999999999</v>
      </c>
      <c r="AH291">
        <f t="shared" si="23"/>
        <v>163.6</v>
      </c>
      <c r="AI291">
        <f t="shared" si="24"/>
        <v>1606.2</v>
      </c>
    </row>
    <row r="292" spans="1:35" x14ac:dyDescent="0.3">
      <c r="A292" t="s">
        <v>32</v>
      </c>
      <c r="B292">
        <v>2021</v>
      </c>
      <c r="C292" t="s">
        <v>34</v>
      </c>
      <c r="D292">
        <v>147.6</v>
      </c>
      <c r="E292">
        <v>191.2</v>
      </c>
      <c r="F292">
        <v>169.9</v>
      </c>
      <c r="G292">
        <v>155.1</v>
      </c>
      <c r="H292">
        <v>151.4</v>
      </c>
      <c r="I292">
        <v>154</v>
      </c>
      <c r="J292">
        <v>180.2</v>
      </c>
      <c r="K292">
        <v>159.80000000000001</v>
      </c>
      <c r="L292">
        <v>114.9</v>
      </c>
      <c r="M292">
        <v>162.5</v>
      </c>
      <c r="N292">
        <v>149.19999999999999</v>
      </c>
      <c r="O292">
        <v>169.4</v>
      </c>
      <c r="P292">
        <v>160.80000000000001</v>
      </c>
      <c r="Q292">
        <v>193.3</v>
      </c>
      <c r="R292">
        <v>154.19999999999999</v>
      </c>
      <c r="S292">
        <v>138.19999999999999</v>
      </c>
      <c r="T292">
        <v>151.80000000000001</v>
      </c>
      <c r="U292">
        <v>159.80000000000001</v>
      </c>
      <c r="V292">
        <v>149.1</v>
      </c>
      <c r="W292">
        <v>146.5</v>
      </c>
      <c r="X292">
        <v>156.30000000000001</v>
      </c>
      <c r="Y292">
        <v>140.5</v>
      </c>
      <c r="Z292">
        <v>147.30000000000001</v>
      </c>
      <c r="AA292">
        <v>156.6</v>
      </c>
      <c r="AB292">
        <v>156.69999999999999</v>
      </c>
      <c r="AC292">
        <v>149.30000000000001</v>
      </c>
      <c r="AD292">
        <v>156.5</v>
      </c>
      <c r="AE292">
        <f t="shared" si="20"/>
        <v>2066</v>
      </c>
      <c r="AF292">
        <f t="shared" si="21"/>
        <v>149.1</v>
      </c>
      <c r="AG292">
        <f t="shared" si="22"/>
        <v>140.5</v>
      </c>
      <c r="AH292">
        <f t="shared" si="23"/>
        <v>156.6</v>
      </c>
      <c r="AI292">
        <f t="shared" si="24"/>
        <v>1553.3999999999999</v>
      </c>
    </row>
    <row r="293" spans="1:35" x14ac:dyDescent="0.3">
      <c r="A293" t="s">
        <v>33</v>
      </c>
      <c r="B293">
        <v>2021</v>
      </c>
      <c r="C293" t="s">
        <v>34</v>
      </c>
      <c r="D293">
        <v>144.30000000000001</v>
      </c>
      <c r="E293">
        <v>186.5</v>
      </c>
      <c r="F293">
        <v>168.7</v>
      </c>
      <c r="G293">
        <v>154.69999999999999</v>
      </c>
      <c r="H293">
        <v>158.69999999999999</v>
      </c>
      <c r="I293">
        <v>150.69999999999999</v>
      </c>
      <c r="J293">
        <v>160</v>
      </c>
      <c r="K293">
        <v>158.80000000000001</v>
      </c>
      <c r="L293">
        <v>112.8</v>
      </c>
      <c r="M293">
        <v>164.2</v>
      </c>
      <c r="N293">
        <v>155.5</v>
      </c>
      <c r="O293">
        <v>167.5</v>
      </c>
      <c r="P293">
        <v>156.9</v>
      </c>
      <c r="Q293">
        <v>188.3</v>
      </c>
      <c r="R293">
        <v>157.19999999999999</v>
      </c>
      <c r="S293">
        <v>147.4</v>
      </c>
      <c r="T293">
        <v>155.80000000000001</v>
      </c>
      <c r="U293">
        <v>159.80000000000001</v>
      </c>
      <c r="V293">
        <v>152.4</v>
      </c>
      <c r="W293">
        <v>150.9</v>
      </c>
      <c r="X293">
        <v>161.30000000000001</v>
      </c>
      <c r="Y293">
        <v>145.1</v>
      </c>
      <c r="Z293">
        <v>151.5</v>
      </c>
      <c r="AA293">
        <v>159.5</v>
      </c>
      <c r="AB293">
        <v>155.80000000000001</v>
      </c>
      <c r="AC293">
        <v>153.4</v>
      </c>
      <c r="AD293">
        <v>156.6</v>
      </c>
      <c r="AE293">
        <f t="shared" si="20"/>
        <v>2039.3000000000002</v>
      </c>
      <c r="AF293">
        <f t="shared" si="21"/>
        <v>152.4</v>
      </c>
      <c r="AG293">
        <f t="shared" si="22"/>
        <v>145.1</v>
      </c>
      <c r="AH293">
        <f t="shared" si="23"/>
        <v>159.5</v>
      </c>
      <c r="AI293">
        <f t="shared" si="24"/>
        <v>1581.4</v>
      </c>
    </row>
    <row r="294" spans="1:35" x14ac:dyDescent="0.3">
      <c r="A294" t="s">
        <v>30</v>
      </c>
      <c r="B294">
        <v>2021</v>
      </c>
      <c r="C294" t="s">
        <v>35</v>
      </c>
      <c r="D294">
        <v>142.5</v>
      </c>
      <c r="E294">
        <v>189.4</v>
      </c>
      <c r="F294">
        <v>163.19999999999999</v>
      </c>
      <c r="G294">
        <v>154.5</v>
      </c>
      <c r="H294">
        <v>168.2</v>
      </c>
      <c r="I294">
        <v>150.5</v>
      </c>
      <c r="J294">
        <v>141</v>
      </c>
      <c r="K294">
        <v>159.19999999999999</v>
      </c>
      <c r="L294">
        <v>111.7</v>
      </c>
      <c r="M294">
        <v>164</v>
      </c>
      <c r="N294">
        <v>160.6</v>
      </c>
      <c r="O294">
        <v>166.4</v>
      </c>
      <c r="P294">
        <v>154.5</v>
      </c>
      <c r="Q294">
        <v>186.1</v>
      </c>
      <c r="R294">
        <v>159.6</v>
      </c>
      <c r="S294">
        <v>154.4</v>
      </c>
      <c r="T294">
        <v>158.9</v>
      </c>
      <c r="U294">
        <v>159.9</v>
      </c>
      <c r="V294">
        <v>156</v>
      </c>
      <c r="W294">
        <v>154.80000000000001</v>
      </c>
      <c r="X294">
        <v>164.6</v>
      </c>
      <c r="Y294">
        <v>151.30000000000001</v>
      </c>
      <c r="Z294">
        <v>157.80000000000001</v>
      </c>
      <c r="AA294">
        <v>163.80000000000001</v>
      </c>
      <c r="AB294">
        <v>153.1</v>
      </c>
      <c r="AC294">
        <v>157.30000000000001</v>
      </c>
      <c r="AD294">
        <v>156.69999999999999</v>
      </c>
      <c r="AE294">
        <f t="shared" si="20"/>
        <v>2025.7</v>
      </c>
      <c r="AF294">
        <f t="shared" si="21"/>
        <v>156</v>
      </c>
      <c r="AG294">
        <f t="shared" si="22"/>
        <v>151.30000000000001</v>
      </c>
      <c r="AH294">
        <f t="shared" si="23"/>
        <v>163.80000000000001</v>
      </c>
      <c r="AI294">
        <f t="shared" si="24"/>
        <v>1606.4999999999998</v>
      </c>
    </row>
    <row r="295" spans="1:35" x14ac:dyDescent="0.3">
      <c r="A295" t="s">
        <v>32</v>
      </c>
      <c r="B295">
        <v>2021</v>
      </c>
      <c r="C295" t="s">
        <v>35</v>
      </c>
      <c r="D295">
        <v>147.5</v>
      </c>
      <c r="E295">
        <v>197.5</v>
      </c>
      <c r="F295">
        <v>164.7</v>
      </c>
      <c r="G295">
        <v>155.6</v>
      </c>
      <c r="H295">
        <v>156.4</v>
      </c>
      <c r="I295">
        <v>157.30000000000001</v>
      </c>
      <c r="J295">
        <v>166.1</v>
      </c>
      <c r="K295">
        <v>161.1</v>
      </c>
      <c r="L295">
        <v>114.3</v>
      </c>
      <c r="M295">
        <v>162.6</v>
      </c>
      <c r="N295">
        <v>150.69999999999999</v>
      </c>
      <c r="O295">
        <v>170.3</v>
      </c>
      <c r="P295">
        <v>160.4</v>
      </c>
      <c r="Q295">
        <v>193.5</v>
      </c>
      <c r="R295">
        <v>155.1</v>
      </c>
      <c r="S295">
        <v>138.69999999999999</v>
      </c>
      <c r="T295">
        <v>152.6</v>
      </c>
      <c r="U295">
        <v>159.9</v>
      </c>
      <c r="V295">
        <v>154.80000000000001</v>
      </c>
      <c r="W295">
        <v>147.19999999999999</v>
      </c>
      <c r="X295">
        <v>156.9</v>
      </c>
      <c r="Y295">
        <v>141.69999999999999</v>
      </c>
      <c r="Z295">
        <v>148.6</v>
      </c>
      <c r="AA295">
        <v>157.6</v>
      </c>
      <c r="AB295">
        <v>154.9</v>
      </c>
      <c r="AC295">
        <v>150</v>
      </c>
      <c r="AD295">
        <v>156.9</v>
      </c>
      <c r="AE295">
        <f t="shared" si="20"/>
        <v>2064.4999999999995</v>
      </c>
      <c r="AF295">
        <f t="shared" si="21"/>
        <v>154.80000000000001</v>
      </c>
      <c r="AG295">
        <f t="shared" si="22"/>
        <v>141.69999999999999</v>
      </c>
      <c r="AH295">
        <f t="shared" si="23"/>
        <v>157.6</v>
      </c>
      <c r="AI295">
        <f t="shared" si="24"/>
        <v>1557.4</v>
      </c>
    </row>
    <row r="296" spans="1:35" x14ac:dyDescent="0.3">
      <c r="A296" t="s">
        <v>33</v>
      </c>
      <c r="B296">
        <v>2021</v>
      </c>
      <c r="C296" t="s">
        <v>35</v>
      </c>
      <c r="D296">
        <v>144.1</v>
      </c>
      <c r="E296">
        <v>192.2</v>
      </c>
      <c r="F296">
        <v>163.80000000000001</v>
      </c>
      <c r="G296">
        <v>154.9</v>
      </c>
      <c r="H296">
        <v>163.9</v>
      </c>
      <c r="I296">
        <v>153.69999999999999</v>
      </c>
      <c r="J296">
        <v>149.5</v>
      </c>
      <c r="K296">
        <v>159.80000000000001</v>
      </c>
      <c r="L296">
        <v>112.6</v>
      </c>
      <c r="M296">
        <v>163.5</v>
      </c>
      <c r="N296">
        <v>156.5</v>
      </c>
      <c r="O296">
        <v>168.2</v>
      </c>
      <c r="P296">
        <v>156.69999999999999</v>
      </c>
      <c r="Q296">
        <v>188.1</v>
      </c>
      <c r="R296">
        <v>157.80000000000001</v>
      </c>
      <c r="S296">
        <v>147.9</v>
      </c>
      <c r="T296">
        <v>156.4</v>
      </c>
      <c r="U296">
        <v>159.9</v>
      </c>
      <c r="V296">
        <v>155.5</v>
      </c>
      <c r="W296">
        <v>151.19999999999999</v>
      </c>
      <c r="X296">
        <v>161.69999999999999</v>
      </c>
      <c r="Y296">
        <v>146.19999999999999</v>
      </c>
      <c r="Z296">
        <v>152.6</v>
      </c>
      <c r="AA296">
        <v>160.19999999999999</v>
      </c>
      <c r="AB296">
        <v>153.80000000000001</v>
      </c>
      <c r="AC296">
        <v>153.80000000000001</v>
      </c>
      <c r="AD296">
        <v>156.80000000000001</v>
      </c>
      <c r="AE296">
        <f t="shared" si="20"/>
        <v>2039.3999999999999</v>
      </c>
      <c r="AF296">
        <f t="shared" si="21"/>
        <v>155.5</v>
      </c>
      <c r="AG296">
        <f t="shared" si="22"/>
        <v>146.19999999999999</v>
      </c>
      <c r="AH296">
        <f t="shared" si="23"/>
        <v>160.19999999999999</v>
      </c>
      <c r="AI296">
        <f t="shared" si="24"/>
        <v>1583.1999999999998</v>
      </c>
    </row>
    <row r="297" spans="1:35" x14ac:dyDescent="0.3">
      <c r="A297" t="s">
        <v>30</v>
      </c>
      <c r="B297">
        <v>2021</v>
      </c>
      <c r="C297" t="s">
        <v>36</v>
      </c>
      <c r="D297">
        <v>142.69999999999999</v>
      </c>
      <c r="E297">
        <v>195.5</v>
      </c>
      <c r="F297">
        <v>163.4</v>
      </c>
      <c r="G297">
        <v>155</v>
      </c>
      <c r="H297">
        <v>175.2</v>
      </c>
      <c r="I297">
        <v>160.6</v>
      </c>
      <c r="J297">
        <v>135.1</v>
      </c>
      <c r="K297">
        <v>161.1</v>
      </c>
      <c r="L297">
        <v>112.2</v>
      </c>
      <c r="M297">
        <v>164.4</v>
      </c>
      <c r="N297">
        <v>161.9</v>
      </c>
      <c r="O297">
        <v>166.8</v>
      </c>
      <c r="P297">
        <v>155.6</v>
      </c>
      <c r="Q297">
        <v>186.8</v>
      </c>
      <c r="R297">
        <v>160.69999999999999</v>
      </c>
      <c r="S297">
        <v>155.1</v>
      </c>
      <c r="T297">
        <v>159.9</v>
      </c>
      <c r="U297">
        <v>161.4</v>
      </c>
      <c r="V297">
        <v>156</v>
      </c>
      <c r="W297">
        <v>155.5</v>
      </c>
      <c r="X297">
        <v>165.3</v>
      </c>
      <c r="Y297">
        <v>151.69999999999999</v>
      </c>
      <c r="Z297">
        <v>158.6</v>
      </c>
      <c r="AA297">
        <v>164.1</v>
      </c>
      <c r="AB297">
        <v>154.6</v>
      </c>
      <c r="AC297">
        <v>158</v>
      </c>
      <c r="AD297">
        <v>157.6</v>
      </c>
      <c r="AE297">
        <f t="shared" si="20"/>
        <v>2049.5</v>
      </c>
      <c r="AF297">
        <f t="shared" si="21"/>
        <v>156</v>
      </c>
      <c r="AG297">
        <f t="shared" si="22"/>
        <v>151.69999999999999</v>
      </c>
      <c r="AH297">
        <f t="shared" si="23"/>
        <v>164.1</v>
      </c>
      <c r="AI297">
        <f t="shared" si="24"/>
        <v>1615.8999999999999</v>
      </c>
    </row>
    <row r="298" spans="1:35" x14ac:dyDescent="0.3">
      <c r="A298" t="s">
        <v>32</v>
      </c>
      <c r="B298">
        <v>2021</v>
      </c>
      <c r="C298" t="s">
        <v>36</v>
      </c>
      <c r="D298">
        <v>147.6</v>
      </c>
      <c r="E298">
        <v>202.5</v>
      </c>
      <c r="F298">
        <v>166.4</v>
      </c>
      <c r="G298">
        <v>156</v>
      </c>
      <c r="H298">
        <v>161.4</v>
      </c>
      <c r="I298">
        <v>168.8</v>
      </c>
      <c r="J298">
        <v>161.6</v>
      </c>
      <c r="K298">
        <v>162.80000000000001</v>
      </c>
      <c r="L298">
        <v>114.8</v>
      </c>
      <c r="M298">
        <v>162.80000000000001</v>
      </c>
      <c r="N298">
        <v>151.5</v>
      </c>
      <c r="O298">
        <v>171.4</v>
      </c>
      <c r="P298">
        <v>162</v>
      </c>
      <c r="Q298">
        <v>194.4</v>
      </c>
      <c r="R298">
        <v>155.9</v>
      </c>
      <c r="S298">
        <v>139.30000000000001</v>
      </c>
      <c r="T298">
        <v>153.4</v>
      </c>
      <c r="U298">
        <v>161.4</v>
      </c>
      <c r="V298">
        <v>154.9</v>
      </c>
      <c r="W298">
        <v>147.6</v>
      </c>
      <c r="X298">
        <v>157.5</v>
      </c>
      <c r="Y298">
        <v>142.1</v>
      </c>
      <c r="Z298">
        <v>149.1</v>
      </c>
      <c r="AA298">
        <v>157.6</v>
      </c>
      <c r="AB298">
        <v>156.6</v>
      </c>
      <c r="AC298">
        <v>150.5</v>
      </c>
      <c r="AD298">
        <v>158</v>
      </c>
      <c r="AE298">
        <f t="shared" si="20"/>
        <v>2089.6</v>
      </c>
      <c r="AF298">
        <f t="shared" si="21"/>
        <v>154.9</v>
      </c>
      <c r="AG298">
        <f t="shared" si="22"/>
        <v>142.1</v>
      </c>
      <c r="AH298">
        <f t="shared" si="23"/>
        <v>157.6</v>
      </c>
      <c r="AI298">
        <f t="shared" si="24"/>
        <v>1565.6999999999998</v>
      </c>
    </row>
    <row r="299" spans="1:35" x14ac:dyDescent="0.3">
      <c r="A299" t="s">
        <v>33</v>
      </c>
      <c r="B299">
        <v>2021</v>
      </c>
      <c r="C299" t="s">
        <v>36</v>
      </c>
      <c r="D299">
        <v>144.30000000000001</v>
      </c>
      <c r="E299">
        <v>198</v>
      </c>
      <c r="F299">
        <v>164.6</v>
      </c>
      <c r="G299">
        <v>155.4</v>
      </c>
      <c r="H299">
        <v>170.1</v>
      </c>
      <c r="I299">
        <v>164.4</v>
      </c>
      <c r="J299">
        <v>144.1</v>
      </c>
      <c r="K299">
        <v>161.69999999999999</v>
      </c>
      <c r="L299">
        <v>113.1</v>
      </c>
      <c r="M299">
        <v>163.9</v>
      </c>
      <c r="N299">
        <v>157.6</v>
      </c>
      <c r="O299">
        <v>168.9</v>
      </c>
      <c r="P299">
        <v>158</v>
      </c>
      <c r="Q299">
        <v>188.8</v>
      </c>
      <c r="R299">
        <v>158.80000000000001</v>
      </c>
      <c r="S299">
        <v>148.5</v>
      </c>
      <c r="T299">
        <v>157.30000000000001</v>
      </c>
      <c r="U299">
        <v>161.4</v>
      </c>
      <c r="V299">
        <v>155.6</v>
      </c>
      <c r="W299">
        <v>151.80000000000001</v>
      </c>
      <c r="X299">
        <v>162.30000000000001</v>
      </c>
      <c r="Y299">
        <v>146.6</v>
      </c>
      <c r="Z299">
        <v>153.19999999999999</v>
      </c>
      <c r="AA299">
        <v>160.30000000000001</v>
      </c>
      <c r="AB299">
        <v>155.4</v>
      </c>
      <c r="AC299">
        <v>154.4</v>
      </c>
      <c r="AD299">
        <v>157.80000000000001</v>
      </c>
      <c r="AE299">
        <f t="shared" si="20"/>
        <v>2064.1</v>
      </c>
      <c r="AF299">
        <f t="shared" si="21"/>
        <v>155.6</v>
      </c>
      <c r="AG299">
        <f t="shared" si="22"/>
        <v>146.6</v>
      </c>
      <c r="AH299">
        <f t="shared" si="23"/>
        <v>160.30000000000001</v>
      </c>
      <c r="AI299">
        <f t="shared" si="24"/>
        <v>1591.9000000000003</v>
      </c>
    </row>
    <row r="300" spans="1:35" x14ac:dyDescent="0.3">
      <c r="A300" t="s">
        <v>30</v>
      </c>
      <c r="B300">
        <v>2021</v>
      </c>
      <c r="C300" t="s">
        <v>37</v>
      </c>
      <c r="D300">
        <v>145.1</v>
      </c>
      <c r="E300">
        <v>198.5</v>
      </c>
      <c r="F300">
        <v>168.6</v>
      </c>
      <c r="G300">
        <v>155.80000000000001</v>
      </c>
      <c r="H300">
        <v>184.4</v>
      </c>
      <c r="I300">
        <v>162.30000000000001</v>
      </c>
      <c r="J300">
        <v>138.4</v>
      </c>
      <c r="K300">
        <v>165.1</v>
      </c>
      <c r="L300">
        <v>114.3</v>
      </c>
      <c r="M300">
        <v>169.7</v>
      </c>
      <c r="N300">
        <v>164.6</v>
      </c>
      <c r="O300">
        <v>169.8</v>
      </c>
      <c r="P300">
        <v>158.69999999999999</v>
      </c>
      <c r="Q300">
        <v>189.6</v>
      </c>
      <c r="R300">
        <v>165.3</v>
      </c>
      <c r="S300">
        <v>160.6</v>
      </c>
      <c r="T300">
        <v>164.5</v>
      </c>
      <c r="U300">
        <v>161.6</v>
      </c>
      <c r="V300">
        <v>161.69999999999999</v>
      </c>
      <c r="W300">
        <v>158.80000000000001</v>
      </c>
      <c r="X300">
        <v>169.1</v>
      </c>
      <c r="Y300">
        <v>153.19999999999999</v>
      </c>
      <c r="Z300">
        <v>160</v>
      </c>
      <c r="AA300">
        <v>167.6</v>
      </c>
      <c r="AB300">
        <v>159.30000000000001</v>
      </c>
      <c r="AC300">
        <v>161.1</v>
      </c>
      <c r="AD300">
        <v>161.1</v>
      </c>
      <c r="AE300">
        <f t="shared" si="20"/>
        <v>2095.2999999999997</v>
      </c>
      <c r="AF300">
        <f t="shared" si="21"/>
        <v>161.69999999999999</v>
      </c>
      <c r="AG300">
        <f t="shared" si="22"/>
        <v>153.19999999999999</v>
      </c>
      <c r="AH300">
        <f t="shared" si="23"/>
        <v>167.6</v>
      </c>
      <c r="AI300">
        <f t="shared" si="24"/>
        <v>1649.8999999999999</v>
      </c>
    </row>
    <row r="301" spans="1:35" x14ac:dyDescent="0.3">
      <c r="A301" t="s">
        <v>32</v>
      </c>
      <c r="B301">
        <v>2021</v>
      </c>
      <c r="C301" t="s">
        <v>37</v>
      </c>
      <c r="D301">
        <v>148.80000000000001</v>
      </c>
      <c r="E301">
        <v>204.3</v>
      </c>
      <c r="F301">
        <v>173</v>
      </c>
      <c r="G301">
        <v>156.5</v>
      </c>
      <c r="H301">
        <v>168.8</v>
      </c>
      <c r="I301">
        <v>172.5</v>
      </c>
      <c r="J301">
        <v>166.5</v>
      </c>
      <c r="K301">
        <v>165.9</v>
      </c>
      <c r="L301">
        <v>115.9</v>
      </c>
      <c r="M301">
        <v>165.2</v>
      </c>
      <c r="N301">
        <v>152</v>
      </c>
      <c r="O301">
        <v>171.1</v>
      </c>
      <c r="P301">
        <v>164.2</v>
      </c>
      <c r="Q301">
        <v>198.2</v>
      </c>
      <c r="R301">
        <v>156.5</v>
      </c>
      <c r="S301">
        <v>140.19999999999999</v>
      </c>
      <c r="T301">
        <v>154.1</v>
      </c>
      <c r="U301">
        <v>161.6</v>
      </c>
      <c r="V301">
        <v>155.5</v>
      </c>
      <c r="W301">
        <v>150.1</v>
      </c>
      <c r="X301">
        <v>160.4</v>
      </c>
      <c r="Y301">
        <v>145</v>
      </c>
      <c r="Z301">
        <v>152.6</v>
      </c>
      <c r="AA301">
        <v>156.6</v>
      </c>
      <c r="AB301">
        <v>157.5</v>
      </c>
      <c r="AC301">
        <v>152.30000000000001</v>
      </c>
      <c r="AD301">
        <v>159.5</v>
      </c>
      <c r="AE301">
        <f t="shared" si="20"/>
        <v>2124.7000000000003</v>
      </c>
      <c r="AF301">
        <f t="shared" si="21"/>
        <v>155.5</v>
      </c>
      <c r="AG301">
        <f t="shared" si="22"/>
        <v>145</v>
      </c>
      <c r="AH301">
        <f t="shared" si="23"/>
        <v>156.6</v>
      </c>
      <c r="AI301">
        <f t="shared" si="24"/>
        <v>1583.5</v>
      </c>
    </row>
    <row r="302" spans="1:35" x14ac:dyDescent="0.3">
      <c r="A302" t="s">
        <v>33</v>
      </c>
      <c r="B302">
        <v>2021</v>
      </c>
      <c r="C302" t="s">
        <v>37</v>
      </c>
      <c r="D302">
        <v>146.30000000000001</v>
      </c>
      <c r="E302">
        <v>200.5</v>
      </c>
      <c r="F302">
        <v>170.3</v>
      </c>
      <c r="G302">
        <v>156.1</v>
      </c>
      <c r="H302">
        <v>178.7</v>
      </c>
      <c r="I302">
        <v>167.1</v>
      </c>
      <c r="J302">
        <v>147.9</v>
      </c>
      <c r="K302">
        <v>165.4</v>
      </c>
      <c r="L302">
        <v>114.8</v>
      </c>
      <c r="M302">
        <v>168.2</v>
      </c>
      <c r="N302">
        <v>159.30000000000001</v>
      </c>
      <c r="O302">
        <v>170.4</v>
      </c>
      <c r="P302">
        <v>160.69999999999999</v>
      </c>
      <c r="Q302">
        <v>191.9</v>
      </c>
      <c r="R302">
        <v>161.80000000000001</v>
      </c>
      <c r="S302">
        <v>152.1</v>
      </c>
      <c r="T302">
        <v>160.4</v>
      </c>
      <c r="U302">
        <v>161.6</v>
      </c>
      <c r="V302">
        <v>159.4</v>
      </c>
      <c r="W302">
        <v>154.69999999999999</v>
      </c>
      <c r="X302">
        <v>165.8</v>
      </c>
      <c r="Y302">
        <v>148.9</v>
      </c>
      <c r="Z302">
        <v>155.80000000000001</v>
      </c>
      <c r="AA302">
        <v>161.19999999999999</v>
      </c>
      <c r="AB302">
        <v>158.6</v>
      </c>
      <c r="AC302">
        <v>156.80000000000001</v>
      </c>
      <c r="AD302">
        <v>160.4</v>
      </c>
      <c r="AE302">
        <f t="shared" si="20"/>
        <v>2105.7000000000003</v>
      </c>
      <c r="AF302">
        <f t="shared" si="21"/>
        <v>159.4</v>
      </c>
      <c r="AG302">
        <f t="shared" si="22"/>
        <v>148.9</v>
      </c>
      <c r="AH302">
        <f t="shared" si="23"/>
        <v>161.19999999999999</v>
      </c>
      <c r="AI302">
        <f t="shared" si="24"/>
        <v>1619.4999999999998</v>
      </c>
    </row>
    <row r="303" spans="1:35" x14ac:dyDescent="0.3">
      <c r="A303" t="s">
        <v>30</v>
      </c>
      <c r="B303">
        <v>2021</v>
      </c>
      <c r="C303" t="s">
        <v>38</v>
      </c>
      <c r="D303">
        <v>145.6</v>
      </c>
      <c r="E303">
        <v>200.1</v>
      </c>
      <c r="F303">
        <v>179.3</v>
      </c>
      <c r="G303">
        <v>156.1</v>
      </c>
      <c r="H303">
        <v>190.4</v>
      </c>
      <c r="I303">
        <v>158.6</v>
      </c>
      <c r="J303">
        <v>144.69999999999999</v>
      </c>
      <c r="K303">
        <v>165.5</v>
      </c>
      <c r="L303">
        <v>114.6</v>
      </c>
      <c r="M303">
        <v>170</v>
      </c>
      <c r="N303">
        <v>165.5</v>
      </c>
      <c r="O303">
        <v>171.7</v>
      </c>
      <c r="P303">
        <v>160.5</v>
      </c>
      <c r="Q303">
        <v>189.1</v>
      </c>
      <c r="R303">
        <v>165.3</v>
      </c>
      <c r="S303">
        <v>159.9</v>
      </c>
      <c r="T303">
        <v>164.6</v>
      </c>
      <c r="U303">
        <v>160.5</v>
      </c>
      <c r="V303">
        <v>162.1</v>
      </c>
      <c r="W303">
        <v>159.19999999999999</v>
      </c>
      <c r="X303">
        <v>169.7</v>
      </c>
      <c r="Y303">
        <v>154.19999999999999</v>
      </c>
      <c r="Z303">
        <v>160.4</v>
      </c>
      <c r="AA303">
        <v>166.8</v>
      </c>
      <c r="AB303">
        <v>159.4</v>
      </c>
      <c r="AC303">
        <v>161.5</v>
      </c>
      <c r="AD303">
        <v>162.1</v>
      </c>
      <c r="AE303">
        <f t="shared" si="20"/>
        <v>2122.6</v>
      </c>
      <c r="AF303">
        <f t="shared" si="21"/>
        <v>162.1</v>
      </c>
      <c r="AG303">
        <f t="shared" si="22"/>
        <v>154.19999999999999</v>
      </c>
      <c r="AH303">
        <f t="shared" si="23"/>
        <v>166.8</v>
      </c>
      <c r="AI303">
        <f t="shared" si="24"/>
        <v>1649.6000000000001</v>
      </c>
    </row>
    <row r="304" spans="1:35" x14ac:dyDescent="0.3">
      <c r="A304" t="s">
        <v>32</v>
      </c>
      <c r="B304">
        <v>2021</v>
      </c>
      <c r="C304" t="s">
        <v>38</v>
      </c>
      <c r="D304">
        <v>149.19999999999999</v>
      </c>
      <c r="E304">
        <v>205.5</v>
      </c>
      <c r="F304">
        <v>182.8</v>
      </c>
      <c r="G304">
        <v>156.5</v>
      </c>
      <c r="H304">
        <v>172.2</v>
      </c>
      <c r="I304">
        <v>171.5</v>
      </c>
      <c r="J304">
        <v>176.2</v>
      </c>
      <c r="K304">
        <v>166.9</v>
      </c>
      <c r="L304">
        <v>116.1</v>
      </c>
      <c r="M304">
        <v>165.5</v>
      </c>
      <c r="N304">
        <v>152.30000000000001</v>
      </c>
      <c r="O304">
        <v>173.3</v>
      </c>
      <c r="P304">
        <v>166.2</v>
      </c>
      <c r="Q304">
        <v>195.6</v>
      </c>
      <c r="R304">
        <v>157.30000000000001</v>
      </c>
      <c r="S304">
        <v>140.5</v>
      </c>
      <c r="T304">
        <v>154.80000000000001</v>
      </c>
      <c r="U304">
        <v>160.5</v>
      </c>
      <c r="V304">
        <v>156.1</v>
      </c>
      <c r="W304">
        <v>149.80000000000001</v>
      </c>
      <c r="X304">
        <v>160.80000000000001</v>
      </c>
      <c r="Y304">
        <v>147.5</v>
      </c>
      <c r="Z304">
        <v>150.69999999999999</v>
      </c>
      <c r="AA304">
        <v>158.1</v>
      </c>
      <c r="AB304">
        <v>158</v>
      </c>
      <c r="AC304">
        <v>153.4</v>
      </c>
      <c r="AD304">
        <v>160.4</v>
      </c>
      <c r="AE304">
        <f t="shared" si="20"/>
        <v>2154.1999999999998</v>
      </c>
      <c r="AF304">
        <f t="shared" si="21"/>
        <v>156.1</v>
      </c>
      <c r="AG304">
        <f t="shared" si="22"/>
        <v>147.5</v>
      </c>
      <c r="AH304">
        <f t="shared" si="23"/>
        <v>158.1</v>
      </c>
      <c r="AI304">
        <f t="shared" si="24"/>
        <v>1581.4</v>
      </c>
    </row>
    <row r="305" spans="1:35" x14ac:dyDescent="0.3">
      <c r="A305" t="s">
        <v>33</v>
      </c>
      <c r="B305">
        <v>2021</v>
      </c>
      <c r="C305" t="s">
        <v>38</v>
      </c>
      <c r="D305">
        <v>146.69999999999999</v>
      </c>
      <c r="E305">
        <v>202</v>
      </c>
      <c r="F305">
        <v>180.7</v>
      </c>
      <c r="G305">
        <v>156.19999999999999</v>
      </c>
      <c r="H305">
        <v>183.7</v>
      </c>
      <c r="I305">
        <v>164.6</v>
      </c>
      <c r="J305">
        <v>155.4</v>
      </c>
      <c r="K305">
        <v>166</v>
      </c>
      <c r="L305">
        <v>115.1</v>
      </c>
      <c r="M305">
        <v>168.5</v>
      </c>
      <c r="N305">
        <v>160</v>
      </c>
      <c r="O305">
        <v>172.4</v>
      </c>
      <c r="P305">
        <v>162.6</v>
      </c>
      <c r="Q305">
        <v>190.8</v>
      </c>
      <c r="R305">
        <v>162.19999999999999</v>
      </c>
      <c r="S305">
        <v>151.80000000000001</v>
      </c>
      <c r="T305">
        <v>160.69999999999999</v>
      </c>
      <c r="U305">
        <v>160.5</v>
      </c>
      <c r="V305">
        <v>159.80000000000001</v>
      </c>
      <c r="W305">
        <v>154.80000000000001</v>
      </c>
      <c r="X305">
        <v>166.3</v>
      </c>
      <c r="Y305">
        <v>150.69999999999999</v>
      </c>
      <c r="Z305">
        <v>154.9</v>
      </c>
      <c r="AA305">
        <v>161.69999999999999</v>
      </c>
      <c r="AB305">
        <v>158.80000000000001</v>
      </c>
      <c r="AC305">
        <v>157.6</v>
      </c>
      <c r="AD305">
        <v>161.30000000000001</v>
      </c>
      <c r="AE305">
        <f t="shared" si="20"/>
        <v>2133.9</v>
      </c>
      <c r="AF305">
        <f t="shared" si="21"/>
        <v>159.80000000000001</v>
      </c>
      <c r="AG305">
        <f t="shared" si="22"/>
        <v>150.69999999999999</v>
      </c>
      <c r="AH305">
        <f t="shared" si="23"/>
        <v>161.69999999999999</v>
      </c>
      <c r="AI305">
        <f t="shared" si="24"/>
        <v>1618.3999999999999</v>
      </c>
    </row>
    <row r="306" spans="1:35" x14ac:dyDescent="0.3">
      <c r="A306" t="s">
        <v>30</v>
      </c>
      <c r="B306">
        <v>2021</v>
      </c>
      <c r="C306" t="s">
        <v>39</v>
      </c>
      <c r="D306">
        <v>145.1</v>
      </c>
      <c r="E306">
        <v>204.5</v>
      </c>
      <c r="F306">
        <v>180.4</v>
      </c>
      <c r="G306">
        <v>157.1</v>
      </c>
      <c r="H306">
        <v>188.7</v>
      </c>
      <c r="I306">
        <v>157.69999999999999</v>
      </c>
      <c r="J306">
        <v>152.80000000000001</v>
      </c>
      <c r="K306">
        <v>163.6</v>
      </c>
      <c r="L306">
        <v>113.9</v>
      </c>
      <c r="M306">
        <v>169.7</v>
      </c>
      <c r="N306">
        <v>166.2</v>
      </c>
      <c r="O306">
        <v>171</v>
      </c>
      <c r="P306">
        <v>161.69999999999999</v>
      </c>
      <c r="Q306">
        <v>189.7</v>
      </c>
      <c r="R306">
        <v>166</v>
      </c>
      <c r="S306">
        <v>161.1</v>
      </c>
      <c r="T306">
        <v>165.3</v>
      </c>
      <c r="U306">
        <v>161.5</v>
      </c>
      <c r="V306">
        <v>162.5</v>
      </c>
      <c r="W306">
        <v>160.30000000000001</v>
      </c>
      <c r="X306">
        <v>170.4</v>
      </c>
      <c r="Y306">
        <v>157.1</v>
      </c>
      <c r="Z306">
        <v>160.69999999999999</v>
      </c>
      <c r="AA306">
        <v>167.2</v>
      </c>
      <c r="AB306">
        <v>160.4</v>
      </c>
      <c r="AC306">
        <v>162.80000000000001</v>
      </c>
      <c r="AD306">
        <v>163.19999999999999</v>
      </c>
      <c r="AE306">
        <f t="shared" si="20"/>
        <v>2132.4</v>
      </c>
      <c r="AF306">
        <f t="shared" si="21"/>
        <v>162.5</v>
      </c>
      <c r="AG306">
        <f t="shared" si="22"/>
        <v>157.1</v>
      </c>
      <c r="AH306">
        <f t="shared" si="23"/>
        <v>167.2</v>
      </c>
      <c r="AI306">
        <f t="shared" si="24"/>
        <v>1658.2</v>
      </c>
    </row>
    <row r="307" spans="1:35" x14ac:dyDescent="0.3">
      <c r="A307" t="s">
        <v>32</v>
      </c>
      <c r="B307">
        <v>2021</v>
      </c>
      <c r="C307" t="s">
        <v>39</v>
      </c>
      <c r="D307">
        <v>149.1</v>
      </c>
      <c r="E307">
        <v>210.9</v>
      </c>
      <c r="F307">
        <v>185</v>
      </c>
      <c r="G307">
        <v>158.19999999999999</v>
      </c>
      <c r="H307">
        <v>170.6</v>
      </c>
      <c r="I307">
        <v>170.9</v>
      </c>
      <c r="J307">
        <v>186.4</v>
      </c>
      <c r="K307">
        <v>164.7</v>
      </c>
      <c r="L307">
        <v>115.7</v>
      </c>
      <c r="M307">
        <v>165.5</v>
      </c>
      <c r="N307">
        <v>153.4</v>
      </c>
      <c r="O307">
        <v>173.5</v>
      </c>
      <c r="P307">
        <v>167.9</v>
      </c>
      <c r="Q307">
        <v>195.5</v>
      </c>
      <c r="R307">
        <v>157.9</v>
      </c>
      <c r="S307">
        <v>141.9</v>
      </c>
      <c r="T307">
        <v>155.5</v>
      </c>
      <c r="U307">
        <v>161.5</v>
      </c>
      <c r="V307">
        <v>157.69999999999999</v>
      </c>
      <c r="W307">
        <v>150.69999999999999</v>
      </c>
      <c r="X307">
        <v>161.5</v>
      </c>
      <c r="Y307">
        <v>149.5</v>
      </c>
      <c r="Z307">
        <v>151.19999999999999</v>
      </c>
      <c r="AA307">
        <v>160.30000000000001</v>
      </c>
      <c r="AB307">
        <v>159.6</v>
      </c>
      <c r="AC307">
        <v>155</v>
      </c>
      <c r="AD307">
        <v>161.80000000000001</v>
      </c>
      <c r="AE307">
        <f t="shared" si="20"/>
        <v>2171.8000000000002</v>
      </c>
      <c r="AF307">
        <f t="shared" si="21"/>
        <v>157.69999999999999</v>
      </c>
      <c r="AG307">
        <f t="shared" si="22"/>
        <v>149.5</v>
      </c>
      <c r="AH307">
        <f t="shared" si="23"/>
        <v>160.30000000000001</v>
      </c>
      <c r="AI307">
        <f t="shared" si="24"/>
        <v>1590.3</v>
      </c>
    </row>
    <row r="308" spans="1:35" x14ac:dyDescent="0.3">
      <c r="A308" t="s">
        <v>33</v>
      </c>
      <c r="B308">
        <v>2021</v>
      </c>
      <c r="C308" t="s">
        <v>39</v>
      </c>
      <c r="D308">
        <v>146.4</v>
      </c>
      <c r="E308">
        <v>206.8</v>
      </c>
      <c r="F308">
        <v>182.2</v>
      </c>
      <c r="G308">
        <v>157.5</v>
      </c>
      <c r="H308">
        <v>182.1</v>
      </c>
      <c r="I308">
        <v>163.9</v>
      </c>
      <c r="J308">
        <v>164.2</v>
      </c>
      <c r="K308">
        <v>164</v>
      </c>
      <c r="L308">
        <v>114.5</v>
      </c>
      <c r="M308">
        <v>168.3</v>
      </c>
      <c r="N308">
        <v>160.9</v>
      </c>
      <c r="O308">
        <v>172.2</v>
      </c>
      <c r="P308">
        <v>164</v>
      </c>
      <c r="Q308">
        <v>191.2</v>
      </c>
      <c r="R308">
        <v>162.80000000000001</v>
      </c>
      <c r="S308">
        <v>153.1</v>
      </c>
      <c r="T308">
        <v>161.4</v>
      </c>
      <c r="U308">
        <v>161.5</v>
      </c>
      <c r="V308">
        <v>160.69999999999999</v>
      </c>
      <c r="W308">
        <v>155.80000000000001</v>
      </c>
      <c r="X308">
        <v>167</v>
      </c>
      <c r="Y308">
        <v>153.1</v>
      </c>
      <c r="Z308">
        <v>155.30000000000001</v>
      </c>
      <c r="AA308">
        <v>163.19999999999999</v>
      </c>
      <c r="AB308">
        <v>160.1</v>
      </c>
      <c r="AC308">
        <v>159</v>
      </c>
      <c r="AD308">
        <v>162.5</v>
      </c>
      <c r="AE308">
        <f t="shared" si="20"/>
        <v>2147</v>
      </c>
      <c r="AF308">
        <f t="shared" si="21"/>
        <v>160.69999999999999</v>
      </c>
      <c r="AG308">
        <f t="shared" si="22"/>
        <v>153.1</v>
      </c>
      <c r="AH308">
        <f t="shared" si="23"/>
        <v>163.19999999999999</v>
      </c>
      <c r="AI308">
        <f t="shared" si="24"/>
        <v>1627.1999999999998</v>
      </c>
    </row>
    <row r="309" spans="1:35" x14ac:dyDescent="0.3">
      <c r="A309" t="s">
        <v>30</v>
      </c>
      <c r="B309">
        <v>2021</v>
      </c>
      <c r="C309" t="s">
        <v>40</v>
      </c>
      <c r="D309">
        <v>144.9</v>
      </c>
      <c r="E309">
        <v>202.3</v>
      </c>
      <c r="F309">
        <v>176.5</v>
      </c>
      <c r="G309">
        <v>157.5</v>
      </c>
      <c r="H309">
        <v>190.9</v>
      </c>
      <c r="I309">
        <v>155.69999999999999</v>
      </c>
      <c r="J309">
        <v>153.9</v>
      </c>
      <c r="K309">
        <v>162.80000000000001</v>
      </c>
      <c r="L309">
        <v>115.2</v>
      </c>
      <c r="M309">
        <v>169.8</v>
      </c>
      <c r="N309">
        <v>167.6</v>
      </c>
      <c r="O309">
        <v>171.9</v>
      </c>
      <c r="P309">
        <v>161.80000000000001</v>
      </c>
      <c r="Q309">
        <v>190.2</v>
      </c>
      <c r="R309">
        <v>167</v>
      </c>
      <c r="S309">
        <v>162.6</v>
      </c>
      <c r="T309">
        <v>166.3</v>
      </c>
      <c r="U309">
        <v>162.1</v>
      </c>
      <c r="V309">
        <v>163.1</v>
      </c>
      <c r="W309">
        <v>160.9</v>
      </c>
      <c r="X309">
        <v>171.1</v>
      </c>
      <c r="Y309">
        <v>157.69999999999999</v>
      </c>
      <c r="Z309">
        <v>161.1</v>
      </c>
      <c r="AA309">
        <v>167.5</v>
      </c>
      <c r="AB309">
        <v>160.30000000000001</v>
      </c>
      <c r="AC309">
        <v>163.30000000000001</v>
      </c>
      <c r="AD309">
        <v>163.6</v>
      </c>
      <c r="AE309">
        <f t="shared" si="20"/>
        <v>2130.8000000000002</v>
      </c>
      <c r="AF309">
        <f t="shared" si="21"/>
        <v>163.1</v>
      </c>
      <c r="AG309">
        <f t="shared" si="22"/>
        <v>157.69999999999999</v>
      </c>
      <c r="AH309">
        <f t="shared" si="23"/>
        <v>167.5</v>
      </c>
      <c r="AI309">
        <f t="shared" si="24"/>
        <v>1664.8999999999996</v>
      </c>
    </row>
    <row r="310" spans="1:35" x14ac:dyDescent="0.3">
      <c r="A310" t="s">
        <v>32</v>
      </c>
      <c r="B310">
        <v>2021</v>
      </c>
      <c r="C310" t="s">
        <v>40</v>
      </c>
      <c r="D310">
        <v>149.30000000000001</v>
      </c>
      <c r="E310">
        <v>207.4</v>
      </c>
      <c r="F310">
        <v>174.1</v>
      </c>
      <c r="G310">
        <v>159.19999999999999</v>
      </c>
      <c r="H310">
        <v>175</v>
      </c>
      <c r="I310">
        <v>161.30000000000001</v>
      </c>
      <c r="J310">
        <v>183.3</v>
      </c>
      <c r="K310">
        <v>164.5</v>
      </c>
      <c r="L310">
        <v>120.4</v>
      </c>
      <c r="M310">
        <v>166.2</v>
      </c>
      <c r="N310">
        <v>154.80000000000001</v>
      </c>
      <c r="O310">
        <v>175.1</v>
      </c>
      <c r="P310">
        <v>167.3</v>
      </c>
      <c r="Q310">
        <v>196.5</v>
      </c>
      <c r="R310">
        <v>159.80000000000001</v>
      </c>
      <c r="S310">
        <v>143.6</v>
      </c>
      <c r="T310">
        <v>157.30000000000001</v>
      </c>
      <c r="U310">
        <v>162.1</v>
      </c>
      <c r="V310">
        <v>160.69999999999999</v>
      </c>
      <c r="W310">
        <v>153.19999999999999</v>
      </c>
      <c r="X310">
        <v>162.80000000000001</v>
      </c>
      <c r="Y310">
        <v>150.4</v>
      </c>
      <c r="Z310">
        <v>153.69999999999999</v>
      </c>
      <c r="AA310">
        <v>160.4</v>
      </c>
      <c r="AB310">
        <v>159.6</v>
      </c>
      <c r="AC310">
        <v>156</v>
      </c>
      <c r="AD310">
        <v>162.30000000000001</v>
      </c>
      <c r="AE310">
        <f t="shared" si="20"/>
        <v>2157.9</v>
      </c>
      <c r="AF310">
        <f t="shared" si="21"/>
        <v>160.69999999999999</v>
      </c>
      <c r="AG310">
        <f t="shared" si="22"/>
        <v>150.4</v>
      </c>
      <c r="AH310">
        <f t="shared" si="23"/>
        <v>160.4</v>
      </c>
      <c r="AI310">
        <f t="shared" si="24"/>
        <v>1604.6</v>
      </c>
    </row>
    <row r="311" spans="1:35" x14ac:dyDescent="0.3">
      <c r="A311" t="s">
        <v>33</v>
      </c>
      <c r="B311">
        <v>2021</v>
      </c>
      <c r="C311" t="s">
        <v>40</v>
      </c>
      <c r="D311">
        <v>146.6</v>
      </c>
      <c r="E311">
        <v>204</v>
      </c>
      <c r="F311">
        <v>172.8</v>
      </c>
      <c r="G311">
        <v>158.4</v>
      </c>
      <c r="H311">
        <v>188</v>
      </c>
      <c r="I311">
        <v>156.80000000000001</v>
      </c>
      <c r="J311">
        <v>162.19999999999999</v>
      </c>
      <c r="K311">
        <v>164.1</v>
      </c>
      <c r="L311">
        <v>119.7</v>
      </c>
      <c r="M311">
        <v>168.8</v>
      </c>
      <c r="N311">
        <v>162.69999999999999</v>
      </c>
      <c r="O311">
        <v>173.9</v>
      </c>
      <c r="P311">
        <v>164</v>
      </c>
      <c r="Q311">
        <v>192.1</v>
      </c>
      <c r="R311">
        <v>164.5</v>
      </c>
      <c r="S311">
        <v>155.30000000000001</v>
      </c>
      <c r="T311">
        <v>163.19999999999999</v>
      </c>
      <c r="U311">
        <v>162.1</v>
      </c>
      <c r="V311">
        <v>162.6</v>
      </c>
      <c r="W311">
        <v>157.5</v>
      </c>
      <c r="X311">
        <v>168.4</v>
      </c>
      <c r="Y311">
        <v>154</v>
      </c>
      <c r="Z311">
        <v>157.6</v>
      </c>
      <c r="AA311">
        <v>163.80000000000001</v>
      </c>
      <c r="AB311">
        <v>160</v>
      </c>
      <c r="AC311">
        <v>160</v>
      </c>
      <c r="AD311">
        <v>163.19999999999999</v>
      </c>
      <c r="AE311">
        <f t="shared" si="20"/>
        <v>2142</v>
      </c>
      <c r="AF311">
        <f t="shared" si="21"/>
        <v>162.6</v>
      </c>
      <c r="AG311">
        <f t="shared" si="22"/>
        <v>154</v>
      </c>
      <c r="AH311">
        <f t="shared" si="23"/>
        <v>163.80000000000001</v>
      </c>
      <c r="AI311">
        <f t="shared" si="24"/>
        <v>1640.7</v>
      </c>
    </row>
    <row r="312" spans="1:35" x14ac:dyDescent="0.3">
      <c r="A312" t="s">
        <v>30</v>
      </c>
      <c r="B312">
        <v>2021</v>
      </c>
      <c r="C312" t="s">
        <v>41</v>
      </c>
      <c r="D312">
        <v>145.4</v>
      </c>
      <c r="E312">
        <v>202.1</v>
      </c>
      <c r="F312">
        <v>172</v>
      </c>
      <c r="G312">
        <v>158</v>
      </c>
      <c r="H312">
        <v>195.5</v>
      </c>
      <c r="I312">
        <v>152.69999999999999</v>
      </c>
      <c r="J312">
        <v>151.4</v>
      </c>
      <c r="K312">
        <v>163.9</v>
      </c>
      <c r="L312">
        <v>119.3</v>
      </c>
      <c r="M312">
        <v>170.1</v>
      </c>
      <c r="N312">
        <v>168.3</v>
      </c>
      <c r="O312">
        <v>172.8</v>
      </c>
      <c r="P312">
        <v>162.1</v>
      </c>
      <c r="Q312">
        <v>190.5</v>
      </c>
      <c r="R312">
        <v>167.7</v>
      </c>
      <c r="S312">
        <v>163.6</v>
      </c>
      <c r="T312">
        <v>167.1</v>
      </c>
      <c r="U312">
        <v>162.1</v>
      </c>
      <c r="V312">
        <v>163.69999999999999</v>
      </c>
      <c r="W312">
        <v>161.30000000000001</v>
      </c>
      <c r="X312">
        <v>171.9</v>
      </c>
      <c r="Y312">
        <v>157.80000000000001</v>
      </c>
      <c r="Z312">
        <v>162.69999999999999</v>
      </c>
      <c r="AA312">
        <v>168.5</v>
      </c>
      <c r="AB312">
        <v>160.19999999999999</v>
      </c>
      <c r="AC312">
        <v>163.80000000000001</v>
      </c>
      <c r="AD312">
        <v>164</v>
      </c>
      <c r="AE312">
        <f t="shared" si="20"/>
        <v>2133.6</v>
      </c>
      <c r="AF312">
        <f t="shared" si="21"/>
        <v>163.69999999999999</v>
      </c>
      <c r="AG312">
        <f t="shared" si="22"/>
        <v>157.80000000000001</v>
      </c>
      <c r="AH312">
        <f t="shared" si="23"/>
        <v>168.5</v>
      </c>
      <c r="AI312">
        <f t="shared" si="24"/>
        <v>1670.9</v>
      </c>
    </row>
    <row r="313" spans="1:35" x14ac:dyDescent="0.3">
      <c r="A313" t="s">
        <v>32</v>
      </c>
      <c r="B313">
        <v>2021</v>
      </c>
      <c r="C313" t="s">
        <v>41</v>
      </c>
      <c r="D313">
        <v>149.30000000000001</v>
      </c>
      <c r="E313">
        <v>207.4</v>
      </c>
      <c r="F313">
        <v>174.1</v>
      </c>
      <c r="G313">
        <v>159.1</v>
      </c>
      <c r="H313">
        <v>175</v>
      </c>
      <c r="I313">
        <v>161.19999999999999</v>
      </c>
      <c r="J313">
        <v>183.5</v>
      </c>
      <c r="K313">
        <v>164.5</v>
      </c>
      <c r="L313">
        <v>120.4</v>
      </c>
      <c r="M313">
        <v>166.2</v>
      </c>
      <c r="N313">
        <v>154.80000000000001</v>
      </c>
      <c r="O313">
        <v>175.1</v>
      </c>
      <c r="P313">
        <v>167.3</v>
      </c>
      <c r="Q313">
        <v>196.5</v>
      </c>
      <c r="R313">
        <v>159.80000000000001</v>
      </c>
      <c r="S313">
        <v>143.6</v>
      </c>
      <c r="T313">
        <v>157.4</v>
      </c>
      <c r="U313">
        <v>162.1</v>
      </c>
      <c r="V313">
        <v>160.80000000000001</v>
      </c>
      <c r="W313">
        <v>153.30000000000001</v>
      </c>
      <c r="X313">
        <v>162.80000000000001</v>
      </c>
      <c r="Y313">
        <v>150.5</v>
      </c>
      <c r="Z313">
        <v>153.9</v>
      </c>
      <c r="AA313">
        <v>160.30000000000001</v>
      </c>
      <c r="AB313">
        <v>159.6</v>
      </c>
      <c r="AC313">
        <v>156</v>
      </c>
      <c r="AD313">
        <v>162.30000000000001</v>
      </c>
      <c r="AE313">
        <f t="shared" si="20"/>
        <v>2157.9</v>
      </c>
      <c r="AF313">
        <f t="shared" si="21"/>
        <v>160.80000000000001</v>
      </c>
      <c r="AG313">
        <f t="shared" si="22"/>
        <v>150.5</v>
      </c>
      <c r="AH313">
        <f t="shared" si="23"/>
        <v>160.30000000000001</v>
      </c>
      <c r="AI313">
        <f t="shared" si="24"/>
        <v>1605</v>
      </c>
    </row>
    <row r="314" spans="1:35" x14ac:dyDescent="0.3">
      <c r="A314" t="s">
        <v>33</v>
      </c>
      <c r="B314">
        <v>2021</v>
      </c>
      <c r="C314" t="s">
        <v>41</v>
      </c>
      <c r="D314">
        <v>146.6</v>
      </c>
      <c r="E314">
        <v>204</v>
      </c>
      <c r="F314">
        <v>172.8</v>
      </c>
      <c r="G314">
        <v>158.4</v>
      </c>
      <c r="H314">
        <v>188</v>
      </c>
      <c r="I314">
        <v>156.69999999999999</v>
      </c>
      <c r="J314">
        <v>162.30000000000001</v>
      </c>
      <c r="K314">
        <v>164.1</v>
      </c>
      <c r="L314">
        <v>119.7</v>
      </c>
      <c r="M314">
        <v>168.8</v>
      </c>
      <c r="N314">
        <v>162.69999999999999</v>
      </c>
      <c r="O314">
        <v>173.9</v>
      </c>
      <c r="P314">
        <v>164</v>
      </c>
      <c r="Q314">
        <v>192.1</v>
      </c>
      <c r="R314">
        <v>164.6</v>
      </c>
      <c r="S314">
        <v>155.30000000000001</v>
      </c>
      <c r="T314">
        <v>163.30000000000001</v>
      </c>
      <c r="U314">
        <v>162.1</v>
      </c>
      <c r="V314">
        <v>162.6</v>
      </c>
      <c r="W314">
        <v>157.5</v>
      </c>
      <c r="X314">
        <v>168.4</v>
      </c>
      <c r="Y314">
        <v>154</v>
      </c>
      <c r="Z314">
        <v>157.69999999999999</v>
      </c>
      <c r="AA314">
        <v>163.69999999999999</v>
      </c>
      <c r="AB314">
        <v>160</v>
      </c>
      <c r="AC314">
        <v>160</v>
      </c>
      <c r="AD314">
        <v>163.19999999999999</v>
      </c>
      <c r="AE314">
        <f t="shared" si="20"/>
        <v>2142</v>
      </c>
      <c r="AF314">
        <f t="shared" si="21"/>
        <v>162.6</v>
      </c>
      <c r="AG314">
        <f t="shared" si="22"/>
        <v>154</v>
      </c>
      <c r="AH314">
        <f t="shared" si="23"/>
        <v>163.69999999999999</v>
      </c>
      <c r="AI314">
        <f t="shared" si="24"/>
        <v>1641</v>
      </c>
    </row>
    <row r="315" spans="1:35" x14ac:dyDescent="0.3">
      <c r="A315" t="s">
        <v>30</v>
      </c>
      <c r="B315">
        <v>2021</v>
      </c>
      <c r="C315" t="s">
        <v>42</v>
      </c>
      <c r="D315">
        <v>146.1</v>
      </c>
      <c r="E315">
        <v>202.5</v>
      </c>
      <c r="F315">
        <v>170.1</v>
      </c>
      <c r="G315">
        <v>158.4</v>
      </c>
      <c r="H315">
        <v>198.8</v>
      </c>
      <c r="I315">
        <v>152.6</v>
      </c>
      <c r="J315">
        <v>170.4</v>
      </c>
      <c r="K315">
        <v>165.2</v>
      </c>
      <c r="L315">
        <v>121.6</v>
      </c>
      <c r="M315">
        <v>170.6</v>
      </c>
      <c r="N315">
        <v>168.8</v>
      </c>
      <c r="O315">
        <v>173.6</v>
      </c>
      <c r="P315">
        <v>165.5</v>
      </c>
      <c r="Q315">
        <v>191.2</v>
      </c>
      <c r="R315">
        <v>168.9</v>
      </c>
      <c r="S315">
        <v>164.8</v>
      </c>
      <c r="T315">
        <v>168.3</v>
      </c>
      <c r="U315">
        <v>163.6</v>
      </c>
      <c r="V315">
        <v>165.5</v>
      </c>
      <c r="W315">
        <v>162</v>
      </c>
      <c r="X315">
        <v>172.5</v>
      </c>
      <c r="Y315">
        <v>159.5</v>
      </c>
      <c r="Z315">
        <v>163.19999999999999</v>
      </c>
      <c r="AA315">
        <v>169</v>
      </c>
      <c r="AB315">
        <v>161.1</v>
      </c>
      <c r="AC315">
        <v>164.7</v>
      </c>
      <c r="AD315">
        <v>166.3</v>
      </c>
      <c r="AE315">
        <f t="shared" si="20"/>
        <v>2164.1999999999998</v>
      </c>
      <c r="AF315">
        <f t="shared" si="21"/>
        <v>165.5</v>
      </c>
      <c r="AG315">
        <f t="shared" si="22"/>
        <v>159.5</v>
      </c>
      <c r="AH315">
        <f t="shared" si="23"/>
        <v>169</v>
      </c>
      <c r="AI315">
        <f t="shared" si="24"/>
        <v>1680.3000000000002</v>
      </c>
    </row>
    <row r="316" spans="1:35" x14ac:dyDescent="0.3">
      <c r="A316" t="s">
        <v>32</v>
      </c>
      <c r="B316">
        <v>2021</v>
      </c>
      <c r="C316" t="s">
        <v>42</v>
      </c>
      <c r="D316">
        <v>150.1</v>
      </c>
      <c r="E316">
        <v>208.4</v>
      </c>
      <c r="F316">
        <v>173</v>
      </c>
      <c r="G316">
        <v>159.19999999999999</v>
      </c>
      <c r="H316">
        <v>176.6</v>
      </c>
      <c r="I316">
        <v>159.30000000000001</v>
      </c>
      <c r="J316">
        <v>214.4</v>
      </c>
      <c r="K316">
        <v>165.3</v>
      </c>
      <c r="L316">
        <v>122.5</v>
      </c>
      <c r="M316">
        <v>166.8</v>
      </c>
      <c r="N316">
        <v>155.4</v>
      </c>
      <c r="O316">
        <v>175.9</v>
      </c>
      <c r="P316">
        <v>171.5</v>
      </c>
      <c r="Q316">
        <v>197</v>
      </c>
      <c r="R316">
        <v>160.80000000000001</v>
      </c>
      <c r="S316">
        <v>144.4</v>
      </c>
      <c r="T316">
        <v>158.30000000000001</v>
      </c>
      <c r="U316">
        <v>163.6</v>
      </c>
      <c r="V316">
        <v>162.19999999999999</v>
      </c>
      <c r="W316">
        <v>154.30000000000001</v>
      </c>
      <c r="X316">
        <v>163.5</v>
      </c>
      <c r="Y316">
        <v>152.19999999999999</v>
      </c>
      <c r="Z316">
        <v>155.1</v>
      </c>
      <c r="AA316">
        <v>160.30000000000001</v>
      </c>
      <c r="AB316">
        <v>160.30000000000001</v>
      </c>
      <c r="AC316">
        <v>157</v>
      </c>
      <c r="AD316">
        <v>164.6</v>
      </c>
      <c r="AE316">
        <f t="shared" si="20"/>
        <v>2198.4000000000005</v>
      </c>
      <c r="AF316">
        <f t="shared" si="21"/>
        <v>162.19999999999999</v>
      </c>
      <c r="AG316">
        <f t="shared" si="22"/>
        <v>152.19999999999999</v>
      </c>
      <c r="AH316">
        <f t="shared" si="23"/>
        <v>160.30000000000001</v>
      </c>
      <c r="AI316">
        <f t="shared" si="24"/>
        <v>1614.3</v>
      </c>
    </row>
    <row r="317" spans="1:35" x14ac:dyDescent="0.3">
      <c r="A317" t="s">
        <v>33</v>
      </c>
      <c r="B317">
        <v>2021</v>
      </c>
      <c r="C317" t="s">
        <v>42</v>
      </c>
      <c r="D317">
        <v>147.4</v>
      </c>
      <c r="E317">
        <v>204.6</v>
      </c>
      <c r="F317">
        <v>171.2</v>
      </c>
      <c r="G317">
        <v>158.69999999999999</v>
      </c>
      <c r="H317">
        <v>190.6</v>
      </c>
      <c r="I317">
        <v>155.69999999999999</v>
      </c>
      <c r="J317">
        <v>185.3</v>
      </c>
      <c r="K317">
        <v>165.2</v>
      </c>
      <c r="L317">
        <v>121.9</v>
      </c>
      <c r="M317">
        <v>169.3</v>
      </c>
      <c r="N317">
        <v>163.19999999999999</v>
      </c>
      <c r="O317">
        <v>174.7</v>
      </c>
      <c r="P317">
        <v>167.7</v>
      </c>
      <c r="Q317">
        <v>192.7</v>
      </c>
      <c r="R317">
        <v>165.7</v>
      </c>
      <c r="S317">
        <v>156.30000000000001</v>
      </c>
      <c r="T317">
        <v>164.3</v>
      </c>
      <c r="U317">
        <v>163.6</v>
      </c>
      <c r="V317">
        <v>164.2</v>
      </c>
      <c r="W317">
        <v>158.4</v>
      </c>
      <c r="X317">
        <v>169.1</v>
      </c>
      <c r="Y317">
        <v>155.69999999999999</v>
      </c>
      <c r="Z317">
        <v>158.6</v>
      </c>
      <c r="AA317">
        <v>163.9</v>
      </c>
      <c r="AB317">
        <v>160.80000000000001</v>
      </c>
      <c r="AC317">
        <v>161</v>
      </c>
      <c r="AD317">
        <v>165.5</v>
      </c>
      <c r="AE317">
        <f t="shared" si="20"/>
        <v>2175.5</v>
      </c>
      <c r="AF317">
        <f t="shared" si="21"/>
        <v>164.2</v>
      </c>
      <c r="AG317">
        <f t="shared" si="22"/>
        <v>155.69999999999999</v>
      </c>
      <c r="AH317">
        <f t="shared" si="23"/>
        <v>163.9</v>
      </c>
      <c r="AI317">
        <f t="shared" si="24"/>
        <v>1650.4999999999998</v>
      </c>
    </row>
    <row r="318" spans="1:35" x14ac:dyDescent="0.3">
      <c r="A318" t="s">
        <v>30</v>
      </c>
      <c r="B318">
        <v>2021</v>
      </c>
      <c r="C318" t="s">
        <v>44</v>
      </c>
      <c r="D318">
        <v>146.9</v>
      </c>
      <c r="E318">
        <v>199.8</v>
      </c>
      <c r="F318">
        <v>171.5</v>
      </c>
      <c r="G318">
        <v>159.1</v>
      </c>
      <c r="H318">
        <v>198.4</v>
      </c>
      <c r="I318">
        <v>153.19999999999999</v>
      </c>
      <c r="J318">
        <v>183.9</v>
      </c>
      <c r="K318">
        <v>165.4</v>
      </c>
      <c r="L318">
        <v>122.1</v>
      </c>
      <c r="M318">
        <v>170.8</v>
      </c>
      <c r="N318">
        <v>169.1</v>
      </c>
      <c r="O318">
        <v>174.3</v>
      </c>
      <c r="P318">
        <v>167.5</v>
      </c>
      <c r="Q318">
        <v>191.4</v>
      </c>
      <c r="R318">
        <v>170.4</v>
      </c>
      <c r="S318">
        <v>166</v>
      </c>
      <c r="T318">
        <v>169.8</v>
      </c>
      <c r="U318">
        <v>164.2</v>
      </c>
      <c r="V318">
        <v>165.3</v>
      </c>
      <c r="W318">
        <v>162.9</v>
      </c>
      <c r="X318">
        <v>173.4</v>
      </c>
      <c r="Y318">
        <v>158.9</v>
      </c>
      <c r="Z318">
        <v>163.80000000000001</v>
      </c>
      <c r="AA318">
        <v>169.3</v>
      </c>
      <c r="AB318">
        <v>162.4</v>
      </c>
      <c r="AC318">
        <v>165.2</v>
      </c>
      <c r="AD318">
        <v>167.6</v>
      </c>
      <c r="AE318">
        <f t="shared" si="20"/>
        <v>2182</v>
      </c>
      <c r="AF318">
        <f t="shared" si="21"/>
        <v>165.3</v>
      </c>
      <c r="AG318">
        <f t="shared" si="22"/>
        <v>158.9</v>
      </c>
      <c r="AH318">
        <f t="shared" si="23"/>
        <v>169.3</v>
      </c>
      <c r="AI318">
        <f t="shared" si="24"/>
        <v>1689.5000000000002</v>
      </c>
    </row>
    <row r="319" spans="1:35" x14ac:dyDescent="0.3">
      <c r="A319" t="s">
        <v>32</v>
      </c>
      <c r="B319">
        <v>2021</v>
      </c>
      <c r="C319" t="s">
        <v>44</v>
      </c>
      <c r="D319">
        <v>151</v>
      </c>
      <c r="E319">
        <v>204.9</v>
      </c>
      <c r="F319">
        <v>175.4</v>
      </c>
      <c r="G319">
        <v>159.6</v>
      </c>
      <c r="H319">
        <v>175.8</v>
      </c>
      <c r="I319">
        <v>160.30000000000001</v>
      </c>
      <c r="J319">
        <v>229.1</v>
      </c>
      <c r="K319">
        <v>165.1</v>
      </c>
      <c r="L319">
        <v>123.1</v>
      </c>
      <c r="M319">
        <v>167.2</v>
      </c>
      <c r="N319">
        <v>156.1</v>
      </c>
      <c r="O319">
        <v>176.8</v>
      </c>
      <c r="P319">
        <v>173.5</v>
      </c>
      <c r="Q319">
        <v>197</v>
      </c>
      <c r="R319">
        <v>162.30000000000001</v>
      </c>
      <c r="S319">
        <v>145.30000000000001</v>
      </c>
      <c r="T319">
        <v>159.69999999999999</v>
      </c>
      <c r="U319">
        <v>164.2</v>
      </c>
      <c r="V319">
        <v>161.6</v>
      </c>
      <c r="W319">
        <v>155.19999999999999</v>
      </c>
      <c r="X319">
        <v>164.2</v>
      </c>
      <c r="Y319">
        <v>151.19999999999999</v>
      </c>
      <c r="Z319">
        <v>156.69999999999999</v>
      </c>
      <c r="AA319">
        <v>160.80000000000001</v>
      </c>
      <c r="AB319">
        <v>161.80000000000001</v>
      </c>
      <c r="AC319">
        <v>157.30000000000001</v>
      </c>
      <c r="AD319">
        <v>165.6</v>
      </c>
      <c r="AE319">
        <f t="shared" si="20"/>
        <v>2217.8999999999996</v>
      </c>
      <c r="AF319">
        <f t="shared" si="21"/>
        <v>161.6</v>
      </c>
      <c r="AG319">
        <f t="shared" si="22"/>
        <v>151.19999999999999</v>
      </c>
      <c r="AH319">
        <f t="shared" si="23"/>
        <v>160.80000000000001</v>
      </c>
      <c r="AI319">
        <f t="shared" si="24"/>
        <v>1623.7</v>
      </c>
    </row>
    <row r="320" spans="1:35" x14ac:dyDescent="0.3">
      <c r="A320" t="s">
        <v>33</v>
      </c>
      <c r="B320">
        <v>2021</v>
      </c>
      <c r="C320" t="s">
        <v>44</v>
      </c>
      <c r="D320">
        <v>148.19999999999999</v>
      </c>
      <c r="E320">
        <v>201.6</v>
      </c>
      <c r="F320">
        <v>173</v>
      </c>
      <c r="G320">
        <v>159.30000000000001</v>
      </c>
      <c r="H320">
        <v>190.1</v>
      </c>
      <c r="I320">
        <v>156.5</v>
      </c>
      <c r="J320">
        <v>199.2</v>
      </c>
      <c r="K320">
        <v>165.3</v>
      </c>
      <c r="L320">
        <v>122.4</v>
      </c>
      <c r="M320">
        <v>169.6</v>
      </c>
      <c r="N320">
        <v>163.69999999999999</v>
      </c>
      <c r="O320">
        <v>175.5</v>
      </c>
      <c r="P320">
        <v>169.7</v>
      </c>
      <c r="Q320">
        <v>192.9</v>
      </c>
      <c r="R320">
        <v>167.2</v>
      </c>
      <c r="S320">
        <v>157.4</v>
      </c>
      <c r="T320">
        <v>165.8</v>
      </c>
      <c r="U320">
        <v>164.2</v>
      </c>
      <c r="V320">
        <v>163.9</v>
      </c>
      <c r="W320">
        <v>159.30000000000001</v>
      </c>
      <c r="X320">
        <v>169.9</v>
      </c>
      <c r="Y320">
        <v>154.80000000000001</v>
      </c>
      <c r="Z320">
        <v>159.80000000000001</v>
      </c>
      <c r="AA320">
        <v>164.3</v>
      </c>
      <c r="AB320">
        <v>162.19999999999999</v>
      </c>
      <c r="AC320">
        <v>161.4</v>
      </c>
      <c r="AD320">
        <v>166.7</v>
      </c>
      <c r="AE320">
        <f t="shared" si="20"/>
        <v>2194.1</v>
      </c>
      <c r="AF320">
        <f t="shared" si="21"/>
        <v>163.9</v>
      </c>
      <c r="AG320">
        <f t="shared" si="22"/>
        <v>154.80000000000001</v>
      </c>
      <c r="AH320">
        <f t="shared" si="23"/>
        <v>164.3</v>
      </c>
      <c r="AI320">
        <f t="shared" si="24"/>
        <v>1660.1000000000001</v>
      </c>
    </row>
    <row r="321" spans="1:35" x14ac:dyDescent="0.3">
      <c r="A321" t="s">
        <v>30</v>
      </c>
      <c r="B321">
        <v>2021</v>
      </c>
      <c r="C321" t="s">
        <v>45</v>
      </c>
      <c r="D321">
        <v>147.4</v>
      </c>
      <c r="E321">
        <v>197</v>
      </c>
      <c r="F321">
        <v>176.5</v>
      </c>
      <c r="G321">
        <v>159.80000000000001</v>
      </c>
      <c r="H321">
        <v>195.8</v>
      </c>
      <c r="I321">
        <v>152</v>
      </c>
      <c r="J321">
        <v>172.3</v>
      </c>
      <c r="K321">
        <v>164.5</v>
      </c>
      <c r="L321">
        <v>120.6</v>
      </c>
      <c r="M321">
        <v>171.7</v>
      </c>
      <c r="N321">
        <v>169.7</v>
      </c>
      <c r="O321">
        <v>175.1</v>
      </c>
      <c r="P321">
        <v>165.8</v>
      </c>
      <c r="Q321">
        <v>190.8</v>
      </c>
      <c r="R321">
        <v>171.8</v>
      </c>
      <c r="S321">
        <v>167.3</v>
      </c>
      <c r="T321">
        <v>171.2</v>
      </c>
      <c r="U321">
        <v>163.4</v>
      </c>
      <c r="V321">
        <v>165.6</v>
      </c>
      <c r="W321">
        <v>163.9</v>
      </c>
      <c r="X321">
        <v>174</v>
      </c>
      <c r="Y321">
        <v>160.1</v>
      </c>
      <c r="Z321">
        <v>164.5</v>
      </c>
      <c r="AA321">
        <v>169.7</v>
      </c>
      <c r="AB321">
        <v>162.80000000000001</v>
      </c>
      <c r="AC321">
        <v>166</v>
      </c>
      <c r="AD321">
        <v>167</v>
      </c>
      <c r="AE321">
        <f t="shared" si="20"/>
        <v>2168.1999999999998</v>
      </c>
      <c r="AF321">
        <f t="shared" si="21"/>
        <v>165.6</v>
      </c>
      <c r="AG321">
        <f t="shared" si="22"/>
        <v>160.1</v>
      </c>
      <c r="AH321">
        <f t="shared" si="23"/>
        <v>169.7</v>
      </c>
      <c r="AI321">
        <f t="shared" si="24"/>
        <v>1695.7</v>
      </c>
    </row>
    <row r="322" spans="1:35" x14ac:dyDescent="0.3">
      <c r="A322" t="s">
        <v>32</v>
      </c>
      <c r="B322">
        <v>2021</v>
      </c>
      <c r="C322" t="s">
        <v>45</v>
      </c>
      <c r="D322">
        <v>151.6</v>
      </c>
      <c r="E322">
        <v>202.2</v>
      </c>
      <c r="F322">
        <v>180</v>
      </c>
      <c r="G322">
        <v>160</v>
      </c>
      <c r="H322">
        <v>173.5</v>
      </c>
      <c r="I322">
        <v>158.30000000000001</v>
      </c>
      <c r="J322">
        <v>219.5</v>
      </c>
      <c r="K322">
        <v>164.2</v>
      </c>
      <c r="L322">
        <v>121.9</v>
      </c>
      <c r="M322">
        <v>168.2</v>
      </c>
      <c r="N322">
        <v>156.5</v>
      </c>
      <c r="O322">
        <v>178.2</v>
      </c>
      <c r="P322">
        <v>172.2</v>
      </c>
      <c r="Q322">
        <v>196.8</v>
      </c>
      <c r="R322">
        <v>163.30000000000001</v>
      </c>
      <c r="S322">
        <v>146.69999999999999</v>
      </c>
      <c r="T322">
        <v>160.69999999999999</v>
      </c>
      <c r="U322">
        <v>163.4</v>
      </c>
      <c r="V322">
        <v>161.69999999999999</v>
      </c>
      <c r="W322">
        <v>156</v>
      </c>
      <c r="X322">
        <v>165.1</v>
      </c>
      <c r="Y322">
        <v>151.80000000000001</v>
      </c>
      <c r="Z322">
        <v>157.6</v>
      </c>
      <c r="AA322">
        <v>160.6</v>
      </c>
      <c r="AB322">
        <v>162.4</v>
      </c>
      <c r="AC322">
        <v>157.80000000000001</v>
      </c>
      <c r="AD322">
        <v>165.2</v>
      </c>
      <c r="AE322">
        <f t="shared" si="20"/>
        <v>2206.3000000000002</v>
      </c>
      <c r="AF322">
        <f t="shared" si="21"/>
        <v>161.69999999999999</v>
      </c>
      <c r="AG322">
        <f t="shared" si="22"/>
        <v>151.80000000000001</v>
      </c>
      <c r="AH322">
        <f t="shared" si="23"/>
        <v>160.6</v>
      </c>
      <c r="AI322">
        <f t="shared" si="24"/>
        <v>1629.8</v>
      </c>
    </row>
    <row r="323" spans="1:35" x14ac:dyDescent="0.3">
      <c r="A323" t="s">
        <v>33</v>
      </c>
      <c r="B323">
        <v>2021</v>
      </c>
      <c r="C323" t="s">
        <v>45</v>
      </c>
      <c r="D323">
        <v>148.69999999999999</v>
      </c>
      <c r="E323">
        <v>198.8</v>
      </c>
      <c r="F323">
        <v>177.9</v>
      </c>
      <c r="G323">
        <v>159.9</v>
      </c>
      <c r="H323">
        <v>187.6</v>
      </c>
      <c r="I323">
        <v>154.9</v>
      </c>
      <c r="J323">
        <v>188.3</v>
      </c>
      <c r="K323">
        <v>164.4</v>
      </c>
      <c r="L323">
        <v>121</v>
      </c>
      <c r="M323">
        <v>170.5</v>
      </c>
      <c r="N323">
        <v>164.2</v>
      </c>
      <c r="O323">
        <v>176.5</v>
      </c>
      <c r="P323">
        <v>168.2</v>
      </c>
      <c r="Q323">
        <v>192.4</v>
      </c>
      <c r="R323">
        <v>168.5</v>
      </c>
      <c r="S323">
        <v>158.69999999999999</v>
      </c>
      <c r="T323">
        <v>167</v>
      </c>
      <c r="U323">
        <v>163.4</v>
      </c>
      <c r="V323">
        <v>164.1</v>
      </c>
      <c r="W323">
        <v>160.19999999999999</v>
      </c>
      <c r="X323">
        <v>170.6</v>
      </c>
      <c r="Y323">
        <v>155.69999999999999</v>
      </c>
      <c r="Z323">
        <v>160.6</v>
      </c>
      <c r="AA323">
        <v>164.4</v>
      </c>
      <c r="AB323">
        <v>162.6</v>
      </c>
      <c r="AC323">
        <v>162</v>
      </c>
      <c r="AD323">
        <v>166.2</v>
      </c>
      <c r="AE323">
        <f t="shared" si="20"/>
        <v>2180.9</v>
      </c>
      <c r="AF323">
        <f t="shared" si="21"/>
        <v>164.1</v>
      </c>
      <c r="AG323">
        <f t="shared" si="22"/>
        <v>155.69999999999999</v>
      </c>
      <c r="AH323">
        <f t="shared" si="23"/>
        <v>164.4</v>
      </c>
      <c r="AI323">
        <f t="shared" si="24"/>
        <v>1665.9999999999995</v>
      </c>
    </row>
    <row r="324" spans="1:35" x14ac:dyDescent="0.3">
      <c r="A324" t="s">
        <v>30</v>
      </c>
      <c r="B324">
        <v>2022</v>
      </c>
      <c r="C324" t="s">
        <v>31</v>
      </c>
      <c r="D324">
        <v>148.30000000000001</v>
      </c>
      <c r="E324">
        <v>196.9</v>
      </c>
      <c r="F324">
        <v>178</v>
      </c>
      <c r="G324">
        <v>160.5</v>
      </c>
      <c r="H324">
        <v>192.6</v>
      </c>
      <c r="I324">
        <v>151.19999999999999</v>
      </c>
      <c r="J324">
        <v>159.19999999999999</v>
      </c>
      <c r="K324">
        <v>164</v>
      </c>
      <c r="L324">
        <v>119.3</v>
      </c>
      <c r="M324">
        <v>173.3</v>
      </c>
      <c r="N324">
        <v>169.8</v>
      </c>
      <c r="O324">
        <v>175.8</v>
      </c>
      <c r="P324">
        <v>164.1</v>
      </c>
      <c r="Q324">
        <v>190.7</v>
      </c>
      <c r="R324">
        <v>173.2</v>
      </c>
      <c r="S324">
        <v>169.3</v>
      </c>
      <c r="T324">
        <v>172.7</v>
      </c>
      <c r="U324">
        <v>164.5</v>
      </c>
      <c r="V324">
        <v>165.8</v>
      </c>
      <c r="W324">
        <v>164.9</v>
      </c>
      <c r="X324">
        <v>174.7</v>
      </c>
      <c r="Y324">
        <v>160.80000000000001</v>
      </c>
      <c r="Z324">
        <v>164.9</v>
      </c>
      <c r="AA324">
        <v>169.9</v>
      </c>
      <c r="AB324">
        <v>163.19999999999999</v>
      </c>
      <c r="AC324">
        <v>166.6</v>
      </c>
      <c r="AD324">
        <v>166.4</v>
      </c>
      <c r="AE324">
        <f t="shared" ref="AE324:AE374" si="25">SUM(D324:P324)</f>
        <v>2153</v>
      </c>
      <c r="AF324">
        <f t="shared" ref="AF324:AF374" si="26">SUM(V324)</f>
        <v>165.8</v>
      </c>
      <c r="AG324">
        <f t="shared" ref="AG324:AG374" si="27">SUM(Y324)</f>
        <v>160.80000000000001</v>
      </c>
      <c r="AH324">
        <f t="shared" ref="AH324:AH374" si="28">SUM(AA324)</f>
        <v>169.9</v>
      </c>
      <c r="AI324">
        <f t="shared" ref="AI324:AI374" si="29">SUM(Q324:U324,W324:X324,Z324,AB324:AC324)</f>
        <v>1704.7000000000003</v>
      </c>
    </row>
    <row r="325" spans="1:35" x14ac:dyDescent="0.3">
      <c r="A325" t="s">
        <v>32</v>
      </c>
      <c r="B325">
        <v>2022</v>
      </c>
      <c r="C325" t="s">
        <v>31</v>
      </c>
      <c r="D325">
        <v>152.19999999999999</v>
      </c>
      <c r="E325">
        <v>202.1</v>
      </c>
      <c r="F325">
        <v>180.1</v>
      </c>
      <c r="G325">
        <v>160.4</v>
      </c>
      <c r="H325">
        <v>171</v>
      </c>
      <c r="I325">
        <v>156.5</v>
      </c>
      <c r="J325">
        <v>203.6</v>
      </c>
      <c r="K325">
        <v>163.80000000000001</v>
      </c>
      <c r="L325">
        <v>121.3</v>
      </c>
      <c r="M325">
        <v>169.8</v>
      </c>
      <c r="N325">
        <v>156.6</v>
      </c>
      <c r="O325">
        <v>179</v>
      </c>
      <c r="P325">
        <v>170.3</v>
      </c>
      <c r="Q325">
        <v>196.4</v>
      </c>
      <c r="R325">
        <v>164.7</v>
      </c>
      <c r="S325">
        <v>148.5</v>
      </c>
      <c r="T325">
        <v>162.19999999999999</v>
      </c>
      <c r="U325">
        <v>164.5</v>
      </c>
      <c r="V325">
        <v>161.6</v>
      </c>
      <c r="W325">
        <v>156.80000000000001</v>
      </c>
      <c r="X325">
        <v>166.1</v>
      </c>
      <c r="Y325">
        <v>152.69999999999999</v>
      </c>
      <c r="Z325">
        <v>158.4</v>
      </c>
      <c r="AA325">
        <v>161</v>
      </c>
      <c r="AB325">
        <v>162.80000000000001</v>
      </c>
      <c r="AC325">
        <v>158.6</v>
      </c>
      <c r="AD325">
        <v>165</v>
      </c>
      <c r="AE325">
        <f t="shared" si="25"/>
        <v>2186.6999999999998</v>
      </c>
      <c r="AF325">
        <f t="shared" si="26"/>
        <v>161.6</v>
      </c>
      <c r="AG325">
        <f t="shared" si="27"/>
        <v>152.69999999999999</v>
      </c>
      <c r="AH325">
        <f t="shared" si="28"/>
        <v>161</v>
      </c>
      <c r="AI325">
        <f t="shared" si="29"/>
        <v>1638.9999999999998</v>
      </c>
    </row>
    <row r="326" spans="1:35" x14ac:dyDescent="0.3">
      <c r="A326" t="s">
        <v>33</v>
      </c>
      <c r="B326">
        <v>2022</v>
      </c>
      <c r="C326" t="s">
        <v>31</v>
      </c>
      <c r="D326">
        <v>149.5</v>
      </c>
      <c r="E326">
        <v>198.7</v>
      </c>
      <c r="F326">
        <v>178.8</v>
      </c>
      <c r="G326">
        <v>160.5</v>
      </c>
      <c r="H326">
        <v>184.7</v>
      </c>
      <c r="I326">
        <v>153.69999999999999</v>
      </c>
      <c r="J326">
        <v>174.3</v>
      </c>
      <c r="K326">
        <v>163.9</v>
      </c>
      <c r="L326">
        <v>120</v>
      </c>
      <c r="M326">
        <v>172.1</v>
      </c>
      <c r="N326">
        <v>164.3</v>
      </c>
      <c r="O326">
        <v>177.3</v>
      </c>
      <c r="P326">
        <v>166.4</v>
      </c>
      <c r="Q326">
        <v>192.2</v>
      </c>
      <c r="R326">
        <v>169.9</v>
      </c>
      <c r="S326">
        <v>160.69999999999999</v>
      </c>
      <c r="T326">
        <v>168.5</v>
      </c>
      <c r="U326">
        <v>164.5</v>
      </c>
      <c r="V326">
        <v>164.2</v>
      </c>
      <c r="W326">
        <v>161.1</v>
      </c>
      <c r="X326">
        <v>171.4</v>
      </c>
      <c r="Y326">
        <v>156.5</v>
      </c>
      <c r="Z326">
        <v>161.19999999999999</v>
      </c>
      <c r="AA326">
        <v>164.7</v>
      </c>
      <c r="AB326">
        <v>163</v>
      </c>
      <c r="AC326">
        <v>162.69999999999999</v>
      </c>
      <c r="AD326">
        <v>165.7</v>
      </c>
      <c r="AE326">
        <f t="shared" si="25"/>
        <v>2164.1999999999998</v>
      </c>
      <c r="AF326">
        <f t="shared" si="26"/>
        <v>164.2</v>
      </c>
      <c r="AG326">
        <f t="shared" si="27"/>
        <v>156.5</v>
      </c>
      <c r="AH326">
        <f t="shared" si="28"/>
        <v>164.7</v>
      </c>
      <c r="AI326">
        <f t="shared" si="29"/>
        <v>1675.2</v>
      </c>
    </row>
    <row r="327" spans="1:35" x14ac:dyDescent="0.3">
      <c r="A327" t="s">
        <v>30</v>
      </c>
      <c r="B327">
        <v>2022</v>
      </c>
      <c r="C327" t="s">
        <v>34</v>
      </c>
      <c r="D327">
        <v>148.80000000000001</v>
      </c>
      <c r="E327">
        <v>198.1</v>
      </c>
      <c r="F327">
        <v>175.5</v>
      </c>
      <c r="G327">
        <v>160.69999999999999</v>
      </c>
      <c r="H327">
        <v>192.6</v>
      </c>
      <c r="I327">
        <v>151.4</v>
      </c>
      <c r="J327">
        <v>155.19999999999999</v>
      </c>
      <c r="K327">
        <v>163.9</v>
      </c>
      <c r="L327">
        <v>118.1</v>
      </c>
      <c r="M327">
        <v>175.4</v>
      </c>
      <c r="N327">
        <v>170.5</v>
      </c>
      <c r="O327">
        <v>176.3</v>
      </c>
      <c r="P327">
        <v>163.9</v>
      </c>
      <c r="Q327">
        <v>191.5</v>
      </c>
      <c r="R327">
        <v>174.1</v>
      </c>
      <c r="S327">
        <v>171</v>
      </c>
      <c r="T327">
        <v>173.7</v>
      </c>
      <c r="U327">
        <v>165.5</v>
      </c>
      <c r="V327">
        <v>167.4</v>
      </c>
      <c r="W327">
        <v>165.7</v>
      </c>
      <c r="X327">
        <v>175.3</v>
      </c>
      <c r="Y327">
        <v>161.19999999999999</v>
      </c>
      <c r="Z327">
        <v>165.5</v>
      </c>
      <c r="AA327">
        <v>170.3</v>
      </c>
      <c r="AB327">
        <v>164.5</v>
      </c>
      <c r="AC327">
        <v>167.3</v>
      </c>
      <c r="AD327">
        <v>166.7</v>
      </c>
      <c r="AE327">
        <f t="shared" si="25"/>
        <v>2150.4</v>
      </c>
      <c r="AF327">
        <f t="shared" si="26"/>
        <v>167.4</v>
      </c>
      <c r="AG327">
        <f t="shared" si="27"/>
        <v>161.19999999999999</v>
      </c>
      <c r="AH327">
        <f t="shared" si="28"/>
        <v>170.3</v>
      </c>
      <c r="AI327">
        <f t="shared" si="29"/>
        <v>1714.1</v>
      </c>
    </row>
    <row r="328" spans="1:35" x14ac:dyDescent="0.3">
      <c r="A328" t="s">
        <v>32</v>
      </c>
      <c r="B328">
        <v>2022</v>
      </c>
      <c r="C328" t="s">
        <v>34</v>
      </c>
      <c r="D328">
        <v>152.5</v>
      </c>
      <c r="E328">
        <v>205.2</v>
      </c>
      <c r="F328">
        <v>176.4</v>
      </c>
      <c r="G328">
        <v>160.6</v>
      </c>
      <c r="H328">
        <v>171.5</v>
      </c>
      <c r="I328">
        <v>156.4</v>
      </c>
      <c r="J328">
        <v>198</v>
      </c>
      <c r="K328">
        <v>163.19999999999999</v>
      </c>
      <c r="L328">
        <v>120.6</v>
      </c>
      <c r="M328">
        <v>172.2</v>
      </c>
      <c r="N328">
        <v>156.69999999999999</v>
      </c>
      <c r="O328">
        <v>180</v>
      </c>
      <c r="P328">
        <v>170.2</v>
      </c>
      <c r="Q328">
        <v>196.5</v>
      </c>
      <c r="R328">
        <v>165.7</v>
      </c>
      <c r="S328">
        <v>150.4</v>
      </c>
      <c r="T328">
        <v>163.4</v>
      </c>
      <c r="U328">
        <v>165.5</v>
      </c>
      <c r="V328">
        <v>163</v>
      </c>
      <c r="W328">
        <v>157.4</v>
      </c>
      <c r="X328">
        <v>167.2</v>
      </c>
      <c r="Y328">
        <v>153.1</v>
      </c>
      <c r="Z328">
        <v>159.5</v>
      </c>
      <c r="AA328">
        <v>162</v>
      </c>
      <c r="AB328">
        <v>164.2</v>
      </c>
      <c r="AC328">
        <v>159.4</v>
      </c>
      <c r="AD328">
        <v>165.5</v>
      </c>
      <c r="AE328">
        <f t="shared" si="25"/>
        <v>2183.5</v>
      </c>
      <c r="AF328">
        <f t="shared" si="26"/>
        <v>163</v>
      </c>
      <c r="AG328">
        <f t="shared" si="27"/>
        <v>153.1</v>
      </c>
      <c r="AH328">
        <f t="shared" si="28"/>
        <v>162</v>
      </c>
      <c r="AI328">
        <f t="shared" si="29"/>
        <v>1649.2</v>
      </c>
    </row>
    <row r="329" spans="1:35" x14ac:dyDescent="0.3">
      <c r="A329" t="s">
        <v>33</v>
      </c>
      <c r="B329">
        <v>2022</v>
      </c>
      <c r="C329" t="s">
        <v>34</v>
      </c>
      <c r="D329">
        <v>150</v>
      </c>
      <c r="E329">
        <v>200.6</v>
      </c>
      <c r="F329">
        <v>175.8</v>
      </c>
      <c r="G329">
        <v>160.69999999999999</v>
      </c>
      <c r="H329">
        <v>184.9</v>
      </c>
      <c r="I329">
        <v>153.69999999999999</v>
      </c>
      <c r="J329">
        <v>169.7</v>
      </c>
      <c r="K329">
        <v>163.69999999999999</v>
      </c>
      <c r="L329">
        <v>118.9</v>
      </c>
      <c r="M329">
        <v>174.3</v>
      </c>
      <c r="N329">
        <v>164.7</v>
      </c>
      <c r="O329">
        <v>178</v>
      </c>
      <c r="P329">
        <v>166.2</v>
      </c>
      <c r="Q329">
        <v>192.8</v>
      </c>
      <c r="R329">
        <v>170.8</v>
      </c>
      <c r="S329">
        <v>162.4</v>
      </c>
      <c r="T329">
        <v>169.6</v>
      </c>
      <c r="U329">
        <v>165.5</v>
      </c>
      <c r="V329">
        <v>165.7</v>
      </c>
      <c r="W329">
        <v>161.80000000000001</v>
      </c>
      <c r="X329">
        <v>172.2</v>
      </c>
      <c r="Y329">
        <v>156.9</v>
      </c>
      <c r="Z329">
        <v>162.1</v>
      </c>
      <c r="AA329">
        <v>165.4</v>
      </c>
      <c r="AB329">
        <v>164.4</v>
      </c>
      <c r="AC329">
        <v>163.5</v>
      </c>
      <c r="AD329">
        <v>166.1</v>
      </c>
      <c r="AE329">
        <f t="shared" si="25"/>
        <v>2161.2000000000003</v>
      </c>
      <c r="AF329">
        <f t="shared" si="26"/>
        <v>165.7</v>
      </c>
      <c r="AG329">
        <f t="shared" si="27"/>
        <v>156.9</v>
      </c>
      <c r="AH329">
        <f t="shared" si="28"/>
        <v>165.4</v>
      </c>
      <c r="AI329">
        <f t="shared" si="29"/>
        <v>1685.1000000000001</v>
      </c>
    </row>
    <row r="330" spans="1:35" x14ac:dyDescent="0.3">
      <c r="A330" t="s">
        <v>30</v>
      </c>
      <c r="B330">
        <v>2022</v>
      </c>
      <c r="C330" t="s">
        <v>35</v>
      </c>
      <c r="D330">
        <v>150.19999999999999</v>
      </c>
      <c r="E330">
        <v>208</v>
      </c>
      <c r="F330">
        <v>167.9</v>
      </c>
      <c r="G330">
        <v>162</v>
      </c>
      <c r="H330">
        <v>203.1</v>
      </c>
      <c r="I330">
        <v>155.9</v>
      </c>
      <c r="J330">
        <v>155.80000000000001</v>
      </c>
      <c r="K330">
        <v>164.2</v>
      </c>
      <c r="L330">
        <v>118.1</v>
      </c>
      <c r="M330">
        <v>178.7</v>
      </c>
      <c r="N330">
        <v>171.2</v>
      </c>
      <c r="O330">
        <v>177.4</v>
      </c>
      <c r="P330">
        <v>166.6</v>
      </c>
      <c r="Q330">
        <v>192.3</v>
      </c>
      <c r="R330">
        <v>175.4</v>
      </c>
      <c r="S330">
        <v>173.2</v>
      </c>
      <c r="T330">
        <v>175.1</v>
      </c>
      <c r="U330">
        <v>165.3</v>
      </c>
      <c r="V330">
        <v>168.9</v>
      </c>
      <c r="W330">
        <v>166.5</v>
      </c>
      <c r="X330">
        <v>176</v>
      </c>
      <c r="Y330">
        <v>162</v>
      </c>
      <c r="Z330">
        <v>166.6</v>
      </c>
      <c r="AA330">
        <v>170.6</v>
      </c>
      <c r="AB330">
        <v>167.4</v>
      </c>
      <c r="AC330">
        <v>168.3</v>
      </c>
      <c r="AD330">
        <v>168.7</v>
      </c>
      <c r="AE330">
        <f t="shared" si="25"/>
        <v>2179.1000000000004</v>
      </c>
      <c r="AF330">
        <f t="shared" si="26"/>
        <v>168.9</v>
      </c>
      <c r="AG330">
        <f t="shared" si="27"/>
        <v>162</v>
      </c>
      <c r="AH330">
        <f t="shared" si="28"/>
        <v>170.6</v>
      </c>
      <c r="AI330">
        <f t="shared" si="29"/>
        <v>1726.1000000000001</v>
      </c>
    </row>
    <row r="331" spans="1:35" x14ac:dyDescent="0.3">
      <c r="A331" t="s">
        <v>32</v>
      </c>
      <c r="B331">
        <v>2022</v>
      </c>
      <c r="C331" t="s">
        <v>35</v>
      </c>
      <c r="D331">
        <v>153.69999999999999</v>
      </c>
      <c r="E331">
        <v>215.8</v>
      </c>
      <c r="F331">
        <v>167.7</v>
      </c>
      <c r="G331">
        <v>162.6</v>
      </c>
      <c r="H331">
        <v>180</v>
      </c>
      <c r="I331">
        <v>159.6</v>
      </c>
      <c r="J331">
        <v>188.4</v>
      </c>
      <c r="K331">
        <v>163.4</v>
      </c>
      <c r="L331">
        <v>120.3</v>
      </c>
      <c r="M331">
        <v>174.7</v>
      </c>
      <c r="N331">
        <v>157.1</v>
      </c>
      <c r="O331">
        <v>181.5</v>
      </c>
      <c r="P331">
        <v>171.5</v>
      </c>
      <c r="Q331">
        <v>197.5</v>
      </c>
      <c r="R331">
        <v>167.1</v>
      </c>
      <c r="S331">
        <v>152.6</v>
      </c>
      <c r="T331">
        <v>164.9</v>
      </c>
      <c r="U331">
        <v>165.3</v>
      </c>
      <c r="V331">
        <v>164.5</v>
      </c>
      <c r="W331">
        <v>158.6</v>
      </c>
      <c r="X331">
        <v>168.2</v>
      </c>
      <c r="Y331">
        <v>154.19999999999999</v>
      </c>
      <c r="Z331">
        <v>160.80000000000001</v>
      </c>
      <c r="AA331">
        <v>162.69999999999999</v>
      </c>
      <c r="AB331">
        <v>166.8</v>
      </c>
      <c r="AC331">
        <v>160.6</v>
      </c>
      <c r="AD331">
        <v>166.5</v>
      </c>
      <c r="AE331">
        <f t="shared" si="25"/>
        <v>2196.3000000000002</v>
      </c>
      <c r="AF331">
        <f t="shared" si="26"/>
        <v>164.5</v>
      </c>
      <c r="AG331">
        <f t="shared" si="27"/>
        <v>154.19999999999999</v>
      </c>
      <c r="AH331">
        <f t="shared" si="28"/>
        <v>162.69999999999999</v>
      </c>
      <c r="AI331">
        <f t="shared" si="29"/>
        <v>1662.3999999999999</v>
      </c>
    </row>
    <row r="332" spans="1:35" x14ac:dyDescent="0.3">
      <c r="A332" t="s">
        <v>33</v>
      </c>
      <c r="B332">
        <v>2022</v>
      </c>
      <c r="C332" t="s">
        <v>35</v>
      </c>
      <c r="D332">
        <v>151.30000000000001</v>
      </c>
      <c r="E332">
        <v>210.7</v>
      </c>
      <c r="F332">
        <v>167.8</v>
      </c>
      <c r="G332">
        <v>162.19999999999999</v>
      </c>
      <c r="H332">
        <v>194.6</v>
      </c>
      <c r="I332">
        <v>157.6</v>
      </c>
      <c r="J332">
        <v>166.9</v>
      </c>
      <c r="K332">
        <v>163.9</v>
      </c>
      <c r="L332">
        <v>118.8</v>
      </c>
      <c r="M332">
        <v>177.4</v>
      </c>
      <c r="N332">
        <v>165.3</v>
      </c>
      <c r="O332">
        <v>179.3</v>
      </c>
      <c r="P332">
        <v>168.4</v>
      </c>
      <c r="Q332">
        <v>193.7</v>
      </c>
      <c r="R332">
        <v>172.1</v>
      </c>
      <c r="S332">
        <v>164.6</v>
      </c>
      <c r="T332">
        <v>171.1</v>
      </c>
      <c r="U332">
        <v>165.3</v>
      </c>
      <c r="V332">
        <v>167.2</v>
      </c>
      <c r="W332">
        <v>162.80000000000001</v>
      </c>
      <c r="X332">
        <v>173</v>
      </c>
      <c r="Y332">
        <v>157.9</v>
      </c>
      <c r="Z332">
        <v>163.30000000000001</v>
      </c>
      <c r="AA332">
        <v>166</v>
      </c>
      <c r="AB332">
        <v>167.2</v>
      </c>
      <c r="AC332">
        <v>164.6</v>
      </c>
      <c r="AD332">
        <v>167.7</v>
      </c>
      <c r="AE332">
        <f t="shared" si="25"/>
        <v>2184.2000000000003</v>
      </c>
      <c r="AF332">
        <f t="shared" si="26"/>
        <v>167.2</v>
      </c>
      <c r="AG332">
        <f t="shared" si="27"/>
        <v>157.9</v>
      </c>
      <c r="AH332">
        <f t="shared" si="28"/>
        <v>166</v>
      </c>
      <c r="AI332">
        <f t="shared" si="29"/>
        <v>1697.6999999999998</v>
      </c>
    </row>
    <row r="333" spans="1:35" x14ac:dyDescent="0.3">
      <c r="A333" t="s">
        <v>30</v>
      </c>
      <c r="B333">
        <v>2022</v>
      </c>
      <c r="C333" t="s">
        <v>36</v>
      </c>
      <c r="D333">
        <v>151.80000000000001</v>
      </c>
      <c r="E333">
        <v>209.7</v>
      </c>
      <c r="F333">
        <v>164.5</v>
      </c>
      <c r="G333">
        <v>163.80000000000001</v>
      </c>
      <c r="H333">
        <v>207.4</v>
      </c>
      <c r="I333">
        <v>169.7</v>
      </c>
      <c r="J333">
        <v>153.6</v>
      </c>
      <c r="K333">
        <v>165.1</v>
      </c>
      <c r="L333">
        <v>118.2</v>
      </c>
      <c r="M333">
        <v>182.9</v>
      </c>
      <c r="N333">
        <v>172.4</v>
      </c>
      <c r="O333">
        <v>178.9</v>
      </c>
      <c r="P333">
        <v>168.6</v>
      </c>
      <c r="Q333">
        <v>192.8</v>
      </c>
      <c r="R333">
        <v>177.5</v>
      </c>
      <c r="S333">
        <v>175.1</v>
      </c>
      <c r="T333">
        <v>177.1</v>
      </c>
      <c r="U333">
        <v>167</v>
      </c>
      <c r="V333">
        <v>173.3</v>
      </c>
      <c r="W333">
        <v>167.7</v>
      </c>
      <c r="X333">
        <v>177</v>
      </c>
      <c r="Y333">
        <v>166.2</v>
      </c>
      <c r="Z333">
        <v>167.2</v>
      </c>
      <c r="AA333">
        <v>170.9</v>
      </c>
      <c r="AB333">
        <v>169</v>
      </c>
      <c r="AC333">
        <v>170.2</v>
      </c>
      <c r="AD333">
        <v>170.8</v>
      </c>
      <c r="AE333">
        <f t="shared" si="25"/>
        <v>2206.6</v>
      </c>
      <c r="AF333">
        <f t="shared" si="26"/>
        <v>173.3</v>
      </c>
      <c r="AG333">
        <f t="shared" si="27"/>
        <v>166.2</v>
      </c>
      <c r="AH333">
        <f t="shared" si="28"/>
        <v>170.9</v>
      </c>
      <c r="AI333">
        <f t="shared" si="29"/>
        <v>1740.6000000000001</v>
      </c>
    </row>
    <row r="334" spans="1:35" x14ac:dyDescent="0.3">
      <c r="A334" t="s">
        <v>32</v>
      </c>
      <c r="B334">
        <v>2022</v>
      </c>
      <c r="C334" t="s">
        <v>36</v>
      </c>
      <c r="D334">
        <v>155.4</v>
      </c>
      <c r="E334">
        <v>215.8</v>
      </c>
      <c r="F334">
        <v>164.6</v>
      </c>
      <c r="G334">
        <v>164.2</v>
      </c>
      <c r="H334">
        <v>186</v>
      </c>
      <c r="I334">
        <v>175.9</v>
      </c>
      <c r="J334">
        <v>190.7</v>
      </c>
      <c r="K334">
        <v>164</v>
      </c>
      <c r="L334">
        <v>120.5</v>
      </c>
      <c r="M334">
        <v>178</v>
      </c>
      <c r="N334">
        <v>157.5</v>
      </c>
      <c r="O334">
        <v>183.3</v>
      </c>
      <c r="P334">
        <v>174.5</v>
      </c>
      <c r="Q334">
        <v>197.1</v>
      </c>
      <c r="R334">
        <v>168.4</v>
      </c>
      <c r="S334">
        <v>154.5</v>
      </c>
      <c r="T334">
        <v>166.3</v>
      </c>
      <c r="U334">
        <v>167</v>
      </c>
      <c r="V334">
        <v>170.5</v>
      </c>
      <c r="W334">
        <v>159.80000000000001</v>
      </c>
      <c r="X334">
        <v>169</v>
      </c>
      <c r="Y334">
        <v>159.30000000000001</v>
      </c>
      <c r="Z334">
        <v>162.19999999999999</v>
      </c>
      <c r="AA334">
        <v>164</v>
      </c>
      <c r="AB334">
        <v>168.4</v>
      </c>
      <c r="AC334">
        <v>163.1</v>
      </c>
      <c r="AD334">
        <v>169.2</v>
      </c>
      <c r="AE334">
        <f t="shared" si="25"/>
        <v>2230.4</v>
      </c>
      <c r="AF334">
        <f t="shared" si="26"/>
        <v>170.5</v>
      </c>
      <c r="AG334">
        <f t="shared" si="27"/>
        <v>159.30000000000001</v>
      </c>
      <c r="AH334">
        <f t="shared" si="28"/>
        <v>164</v>
      </c>
      <c r="AI334">
        <f t="shared" si="29"/>
        <v>1675.8</v>
      </c>
    </row>
    <row r="335" spans="1:35" x14ac:dyDescent="0.3">
      <c r="A335" t="s">
        <v>33</v>
      </c>
      <c r="B335">
        <v>2022</v>
      </c>
      <c r="C335" t="s">
        <v>36</v>
      </c>
      <c r="D335">
        <v>152.9</v>
      </c>
      <c r="E335">
        <v>211.8</v>
      </c>
      <c r="F335">
        <v>164.5</v>
      </c>
      <c r="G335">
        <v>163.9</v>
      </c>
      <c r="H335">
        <v>199.5</v>
      </c>
      <c r="I335">
        <v>172.6</v>
      </c>
      <c r="J335">
        <v>166.2</v>
      </c>
      <c r="K335">
        <v>164.7</v>
      </c>
      <c r="L335">
        <v>119</v>
      </c>
      <c r="M335">
        <v>181.3</v>
      </c>
      <c r="N335">
        <v>166.2</v>
      </c>
      <c r="O335">
        <v>180.9</v>
      </c>
      <c r="P335">
        <v>170.8</v>
      </c>
      <c r="Q335">
        <v>193.9</v>
      </c>
      <c r="R335">
        <v>173.9</v>
      </c>
      <c r="S335">
        <v>166.5</v>
      </c>
      <c r="T335">
        <v>172.8</v>
      </c>
      <c r="U335">
        <v>167</v>
      </c>
      <c r="V335">
        <v>172.2</v>
      </c>
      <c r="W335">
        <v>164</v>
      </c>
      <c r="X335">
        <v>174</v>
      </c>
      <c r="Y335">
        <v>162.6</v>
      </c>
      <c r="Z335">
        <v>164.4</v>
      </c>
      <c r="AA335">
        <v>166.9</v>
      </c>
      <c r="AB335">
        <v>168.8</v>
      </c>
      <c r="AC335">
        <v>166.8</v>
      </c>
      <c r="AD335">
        <v>170.1</v>
      </c>
      <c r="AE335">
        <f t="shared" si="25"/>
        <v>2214.3000000000002</v>
      </c>
      <c r="AF335">
        <f t="shared" si="26"/>
        <v>172.2</v>
      </c>
      <c r="AG335">
        <f t="shared" si="27"/>
        <v>162.6</v>
      </c>
      <c r="AH335">
        <f t="shared" si="28"/>
        <v>166.9</v>
      </c>
      <c r="AI335">
        <f t="shared" si="29"/>
        <v>1712.1</v>
      </c>
    </row>
    <row r="336" spans="1:35" x14ac:dyDescent="0.3">
      <c r="A336" t="s">
        <v>30</v>
      </c>
      <c r="B336">
        <v>2022</v>
      </c>
      <c r="C336" t="s">
        <v>37</v>
      </c>
      <c r="D336">
        <v>152.9</v>
      </c>
      <c r="E336">
        <v>214.7</v>
      </c>
      <c r="F336">
        <v>161.4</v>
      </c>
      <c r="G336">
        <v>164.6</v>
      </c>
      <c r="H336">
        <v>209.9</v>
      </c>
      <c r="I336">
        <v>168</v>
      </c>
      <c r="J336">
        <v>160.4</v>
      </c>
      <c r="K336">
        <v>165</v>
      </c>
      <c r="L336">
        <v>118.9</v>
      </c>
      <c r="M336">
        <v>186.6</v>
      </c>
      <c r="N336">
        <v>173.2</v>
      </c>
      <c r="O336">
        <v>180.4</v>
      </c>
      <c r="P336">
        <v>170.8</v>
      </c>
      <c r="Q336">
        <v>192.9</v>
      </c>
      <c r="R336">
        <v>179.3</v>
      </c>
      <c r="S336">
        <v>177.2</v>
      </c>
      <c r="T336">
        <v>179</v>
      </c>
      <c r="U336">
        <v>167.5</v>
      </c>
      <c r="V336">
        <v>175.3</v>
      </c>
      <c r="W336">
        <v>168.9</v>
      </c>
      <c r="X336">
        <v>177.7</v>
      </c>
      <c r="Y336">
        <v>167.1</v>
      </c>
      <c r="Z336">
        <v>167.6</v>
      </c>
      <c r="AA336">
        <v>171.8</v>
      </c>
      <c r="AB336">
        <v>168.5</v>
      </c>
      <c r="AC336">
        <v>170.9</v>
      </c>
      <c r="AD336">
        <v>172.5</v>
      </c>
      <c r="AE336">
        <f t="shared" si="25"/>
        <v>2226.8000000000002</v>
      </c>
      <c r="AF336">
        <f t="shared" si="26"/>
        <v>175.3</v>
      </c>
      <c r="AG336">
        <f t="shared" si="27"/>
        <v>167.1</v>
      </c>
      <c r="AH336">
        <f t="shared" si="28"/>
        <v>171.8</v>
      </c>
      <c r="AI336">
        <f t="shared" si="29"/>
        <v>1749.5000000000002</v>
      </c>
    </row>
    <row r="337" spans="1:35" x14ac:dyDescent="0.3">
      <c r="A337" t="s">
        <v>32</v>
      </c>
      <c r="B337">
        <v>2022</v>
      </c>
      <c r="C337" t="s">
        <v>37</v>
      </c>
      <c r="D337">
        <v>156.69999999999999</v>
      </c>
      <c r="E337">
        <v>221.2</v>
      </c>
      <c r="F337">
        <v>164.1</v>
      </c>
      <c r="G337">
        <v>165.4</v>
      </c>
      <c r="H337">
        <v>189.5</v>
      </c>
      <c r="I337">
        <v>174.5</v>
      </c>
      <c r="J337">
        <v>203.2</v>
      </c>
      <c r="K337">
        <v>164.1</v>
      </c>
      <c r="L337">
        <v>121.2</v>
      </c>
      <c r="M337">
        <v>181.4</v>
      </c>
      <c r="N337">
        <v>158.5</v>
      </c>
      <c r="O337">
        <v>184.9</v>
      </c>
      <c r="P337">
        <v>177.5</v>
      </c>
      <c r="Q337">
        <v>197.5</v>
      </c>
      <c r="R337">
        <v>170</v>
      </c>
      <c r="S337">
        <v>155.9</v>
      </c>
      <c r="T337">
        <v>167.8</v>
      </c>
      <c r="U337">
        <v>167.5</v>
      </c>
      <c r="V337">
        <v>173.5</v>
      </c>
      <c r="W337">
        <v>161.1</v>
      </c>
      <c r="X337">
        <v>170.1</v>
      </c>
      <c r="Y337">
        <v>159.4</v>
      </c>
      <c r="Z337">
        <v>163.19999999999999</v>
      </c>
      <c r="AA337">
        <v>165.2</v>
      </c>
      <c r="AB337">
        <v>168.2</v>
      </c>
      <c r="AC337">
        <v>163.80000000000001</v>
      </c>
      <c r="AD337">
        <v>170.8</v>
      </c>
      <c r="AE337">
        <f t="shared" si="25"/>
        <v>2262.2000000000003</v>
      </c>
      <c r="AF337">
        <f t="shared" si="26"/>
        <v>173.5</v>
      </c>
      <c r="AG337">
        <f t="shared" si="27"/>
        <v>159.4</v>
      </c>
      <c r="AH337">
        <f t="shared" si="28"/>
        <v>165.2</v>
      </c>
      <c r="AI337">
        <f t="shared" si="29"/>
        <v>1685.1000000000001</v>
      </c>
    </row>
    <row r="338" spans="1:35" x14ac:dyDescent="0.3">
      <c r="A338" t="s">
        <v>33</v>
      </c>
      <c r="B338">
        <v>2022</v>
      </c>
      <c r="C338" t="s">
        <v>37</v>
      </c>
      <c r="D338">
        <v>154.1</v>
      </c>
      <c r="E338">
        <v>217</v>
      </c>
      <c r="F338">
        <v>162.4</v>
      </c>
      <c r="G338">
        <v>164.9</v>
      </c>
      <c r="H338">
        <v>202.4</v>
      </c>
      <c r="I338">
        <v>171</v>
      </c>
      <c r="J338">
        <v>174.9</v>
      </c>
      <c r="K338">
        <v>164.7</v>
      </c>
      <c r="L338">
        <v>119.7</v>
      </c>
      <c r="M338">
        <v>184.9</v>
      </c>
      <c r="N338">
        <v>167.1</v>
      </c>
      <c r="O338">
        <v>182.5</v>
      </c>
      <c r="P338">
        <v>173.3</v>
      </c>
      <c r="Q338">
        <v>194.1</v>
      </c>
      <c r="R338">
        <v>175.6</v>
      </c>
      <c r="S338">
        <v>168.4</v>
      </c>
      <c r="T338">
        <v>174.6</v>
      </c>
      <c r="U338">
        <v>167.5</v>
      </c>
      <c r="V338">
        <v>174.6</v>
      </c>
      <c r="W338">
        <v>165.2</v>
      </c>
      <c r="X338">
        <v>174.8</v>
      </c>
      <c r="Y338">
        <v>163</v>
      </c>
      <c r="Z338">
        <v>165.1</v>
      </c>
      <c r="AA338">
        <v>167.9</v>
      </c>
      <c r="AB338">
        <v>168.4</v>
      </c>
      <c r="AC338">
        <v>167.5</v>
      </c>
      <c r="AD338">
        <v>171.7</v>
      </c>
      <c r="AE338">
        <f t="shared" si="25"/>
        <v>2238.9000000000005</v>
      </c>
      <c r="AF338">
        <f t="shared" si="26"/>
        <v>174.6</v>
      </c>
      <c r="AG338">
        <f t="shared" si="27"/>
        <v>163</v>
      </c>
      <c r="AH338">
        <f t="shared" si="28"/>
        <v>167.9</v>
      </c>
      <c r="AI338">
        <f t="shared" si="29"/>
        <v>1721.2</v>
      </c>
    </row>
    <row r="339" spans="1:35" x14ac:dyDescent="0.3">
      <c r="A339" t="s">
        <v>30</v>
      </c>
      <c r="B339">
        <v>2022</v>
      </c>
      <c r="C339" t="s">
        <v>38</v>
      </c>
      <c r="D339">
        <v>153.80000000000001</v>
      </c>
      <c r="E339">
        <v>217.2</v>
      </c>
      <c r="F339">
        <v>169.6</v>
      </c>
      <c r="G339">
        <v>165.4</v>
      </c>
      <c r="H339">
        <v>208.1</v>
      </c>
      <c r="I339">
        <v>165.8</v>
      </c>
      <c r="J339">
        <v>167.3</v>
      </c>
      <c r="K339">
        <v>164.6</v>
      </c>
      <c r="L339">
        <v>119.1</v>
      </c>
      <c r="M339">
        <v>188.9</v>
      </c>
      <c r="N339">
        <v>174.2</v>
      </c>
      <c r="O339">
        <v>181.9</v>
      </c>
      <c r="P339">
        <v>172.4</v>
      </c>
      <c r="Q339">
        <v>192.9</v>
      </c>
      <c r="R339">
        <v>180.7</v>
      </c>
      <c r="S339">
        <v>178.7</v>
      </c>
      <c r="T339">
        <v>180.4</v>
      </c>
      <c r="U339">
        <v>166.8</v>
      </c>
      <c r="V339">
        <v>176.7</v>
      </c>
      <c r="W339">
        <v>170.3</v>
      </c>
      <c r="X339">
        <v>178.2</v>
      </c>
      <c r="Y339">
        <v>165.5</v>
      </c>
      <c r="Z339">
        <v>168</v>
      </c>
      <c r="AA339">
        <v>172.6</v>
      </c>
      <c r="AB339">
        <v>169.5</v>
      </c>
      <c r="AC339">
        <v>171</v>
      </c>
      <c r="AD339">
        <v>173.6</v>
      </c>
      <c r="AE339">
        <f t="shared" si="25"/>
        <v>2248.3000000000002</v>
      </c>
      <c r="AF339">
        <f t="shared" si="26"/>
        <v>176.7</v>
      </c>
      <c r="AG339">
        <f t="shared" si="27"/>
        <v>165.5</v>
      </c>
      <c r="AH339">
        <f t="shared" si="28"/>
        <v>172.6</v>
      </c>
      <c r="AI339">
        <f t="shared" si="29"/>
        <v>1756.5</v>
      </c>
    </row>
    <row r="340" spans="1:35" x14ac:dyDescent="0.3">
      <c r="A340" t="s">
        <v>32</v>
      </c>
      <c r="B340">
        <v>2022</v>
      </c>
      <c r="C340" t="s">
        <v>38</v>
      </c>
      <c r="D340">
        <v>157.5</v>
      </c>
      <c r="E340">
        <v>223.4</v>
      </c>
      <c r="F340">
        <v>172.8</v>
      </c>
      <c r="G340">
        <v>166.4</v>
      </c>
      <c r="H340">
        <v>188.6</v>
      </c>
      <c r="I340">
        <v>174.1</v>
      </c>
      <c r="J340">
        <v>211.5</v>
      </c>
      <c r="K340">
        <v>163.6</v>
      </c>
      <c r="L340">
        <v>121.4</v>
      </c>
      <c r="M340">
        <v>183.5</v>
      </c>
      <c r="N340">
        <v>159.1</v>
      </c>
      <c r="O340">
        <v>186.3</v>
      </c>
      <c r="P340">
        <v>179.3</v>
      </c>
      <c r="Q340">
        <v>198.3</v>
      </c>
      <c r="R340">
        <v>171.6</v>
      </c>
      <c r="S340">
        <v>157.4</v>
      </c>
      <c r="T340">
        <v>169.4</v>
      </c>
      <c r="U340">
        <v>166.8</v>
      </c>
      <c r="V340">
        <v>174.9</v>
      </c>
      <c r="W340">
        <v>162.1</v>
      </c>
      <c r="X340">
        <v>170.9</v>
      </c>
      <c r="Y340">
        <v>157.19999999999999</v>
      </c>
      <c r="Z340">
        <v>164.1</v>
      </c>
      <c r="AA340">
        <v>166.5</v>
      </c>
      <c r="AB340">
        <v>169.2</v>
      </c>
      <c r="AC340">
        <v>163.80000000000001</v>
      </c>
      <c r="AD340">
        <v>171.4</v>
      </c>
      <c r="AE340">
        <f t="shared" si="25"/>
        <v>2287.5</v>
      </c>
      <c r="AF340">
        <f t="shared" si="26"/>
        <v>174.9</v>
      </c>
      <c r="AG340">
        <f t="shared" si="27"/>
        <v>157.19999999999999</v>
      </c>
      <c r="AH340">
        <f t="shared" si="28"/>
        <v>166.5</v>
      </c>
      <c r="AI340">
        <f t="shared" si="29"/>
        <v>1693.6</v>
      </c>
    </row>
    <row r="341" spans="1:35" x14ac:dyDescent="0.3">
      <c r="A341" t="s">
        <v>33</v>
      </c>
      <c r="B341">
        <v>2022</v>
      </c>
      <c r="C341" t="s">
        <v>38</v>
      </c>
      <c r="D341">
        <v>155</v>
      </c>
      <c r="E341">
        <v>219.4</v>
      </c>
      <c r="F341">
        <v>170.8</v>
      </c>
      <c r="G341">
        <v>165.8</v>
      </c>
      <c r="H341">
        <v>200.9</v>
      </c>
      <c r="I341">
        <v>169.7</v>
      </c>
      <c r="J341">
        <v>182.3</v>
      </c>
      <c r="K341">
        <v>164.3</v>
      </c>
      <c r="L341">
        <v>119.9</v>
      </c>
      <c r="M341">
        <v>187.1</v>
      </c>
      <c r="N341">
        <v>167.9</v>
      </c>
      <c r="O341">
        <v>183.9</v>
      </c>
      <c r="P341">
        <v>174.9</v>
      </c>
      <c r="Q341">
        <v>194.3</v>
      </c>
      <c r="R341">
        <v>177.1</v>
      </c>
      <c r="S341">
        <v>169.9</v>
      </c>
      <c r="T341">
        <v>176</v>
      </c>
      <c r="U341">
        <v>166.8</v>
      </c>
      <c r="V341">
        <v>176</v>
      </c>
      <c r="W341">
        <v>166.4</v>
      </c>
      <c r="X341">
        <v>175.4</v>
      </c>
      <c r="Y341">
        <v>161.1</v>
      </c>
      <c r="Z341">
        <v>165.8</v>
      </c>
      <c r="AA341">
        <v>169</v>
      </c>
      <c r="AB341">
        <v>169.4</v>
      </c>
      <c r="AC341">
        <v>167.5</v>
      </c>
      <c r="AD341">
        <v>172.6</v>
      </c>
      <c r="AE341">
        <f t="shared" si="25"/>
        <v>2261.9</v>
      </c>
      <c r="AF341">
        <f t="shared" si="26"/>
        <v>176</v>
      </c>
      <c r="AG341">
        <f t="shared" si="27"/>
        <v>161.1</v>
      </c>
      <c r="AH341">
        <f t="shared" si="28"/>
        <v>169</v>
      </c>
      <c r="AI341">
        <f t="shared" si="29"/>
        <v>1728.6000000000001</v>
      </c>
    </row>
    <row r="342" spans="1:35" x14ac:dyDescent="0.3">
      <c r="A342" t="s">
        <v>30</v>
      </c>
      <c r="B342">
        <v>2022</v>
      </c>
      <c r="C342" t="s">
        <v>39</v>
      </c>
      <c r="D342">
        <v>155.19999999999999</v>
      </c>
      <c r="E342">
        <v>210.8</v>
      </c>
      <c r="F342">
        <v>174.3</v>
      </c>
      <c r="G342">
        <v>166.3</v>
      </c>
      <c r="H342">
        <v>202.2</v>
      </c>
      <c r="I342">
        <v>169.6</v>
      </c>
      <c r="J342">
        <v>168.6</v>
      </c>
      <c r="K342">
        <v>164.4</v>
      </c>
      <c r="L342">
        <v>119.2</v>
      </c>
      <c r="M342">
        <v>191.8</v>
      </c>
      <c r="N342">
        <v>174.5</v>
      </c>
      <c r="O342">
        <v>183.1</v>
      </c>
      <c r="P342">
        <v>172.5</v>
      </c>
      <c r="Q342">
        <v>193.2</v>
      </c>
      <c r="R342">
        <v>182</v>
      </c>
      <c r="S342">
        <v>180.3</v>
      </c>
      <c r="T342">
        <v>181.7</v>
      </c>
      <c r="U342">
        <v>167.8</v>
      </c>
      <c r="V342">
        <v>179.6</v>
      </c>
      <c r="W342">
        <v>171.3</v>
      </c>
      <c r="X342">
        <v>178.8</v>
      </c>
      <c r="Y342">
        <v>166.3</v>
      </c>
      <c r="Z342">
        <v>168.6</v>
      </c>
      <c r="AA342">
        <v>174.7</v>
      </c>
      <c r="AB342">
        <v>169.7</v>
      </c>
      <c r="AC342">
        <v>171.8</v>
      </c>
      <c r="AD342">
        <v>174.3</v>
      </c>
      <c r="AE342">
        <f t="shared" si="25"/>
        <v>2252.5</v>
      </c>
      <c r="AF342">
        <f t="shared" si="26"/>
        <v>179.6</v>
      </c>
      <c r="AG342">
        <f t="shared" si="27"/>
        <v>166.3</v>
      </c>
      <c r="AH342">
        <f t="shared" si="28"/>
        <v>174.7</v>
      </c>
      <c r="AI342">
        <f t="shared" si="29"/>
        <v>1765.1999999999998</v>
      </c>
    </row>
    <row r="343" spans="1:35" x14ac:dyDescent="0.3">
      <c r="A343" t="s">
        <v>32</v>
      </c>
      <c r="B343">
        <v>2022</v>
      </c>
      <c r="C343" t="s">
        <v>39</v>
      </c>
      <c r="D343">
        <v>159.30000000000001</v>
      </c>
      <c r="E343">
        <v>217.1</v>
      </c>
      <c r="F343">
        <v>176.6</v>
      </c>
      <c r="G343">
        <v>167.1</v>
      </c>
      <c r="H343">
        <v>184.8</v>
      </c>
      <c r="I343">
        <v>179.5</v>
      </c>
      <c r="J343">
        <v>208.5</v>
      </c>
      <c r="K343">
        <v>164</v>
      </c>
      <c r="L343">
        <v>121.5</v>
      </c>
      <c r="M343">
        <v>186.3</v>
      </c>
      <c r="N343">
        <v>159.80000000000001</v>
      </c>
      <c r="O343">
        <v>187.7</v>
      </c>
      <c r="P343">
        <v>179.4</v>
      </c>
      <c r="Q343">
        <v>198.6</v>
      </c>
      <c r="R343">
        <v>172.7</v>
      </c>
      <c r="S343">
        <v>158.69999999999999</v>
      </c>
      <c r="T343">
        <v>170.6</v>
      </c>
      <c r="U343">
        <v>167.8</v>
      </c>
      <c r="V343">
        <v>179.5</v>
      </c>
      <c r="W343">
        <v>163.1</v>
      </c>
      <c r="X343">
        <v>171.7</v>
      </c>
      <c r="Y343">
        <v>157.4</v>
      </c>
      <c r="Z343">
        <v>164.6</v>
      </c>
      <c r="AA343">
        <v>169.1</v>
      </c>
      <c r="AB343">
        <v>169.8</v>
      </c>
      <c r="AC343">
        <v>164.7</v>
      </c>
      <c r="AD343">
        <v>172.3</v>
      </c>
      <c r="AE343">
        <f t="shared" si="25"/>
        <v>2291.6</v>
      </c>
      <c r="AF343">
        <f t="shared" si="26"/>
        <v>179.5</v>
      </c>
      <c r="AG343">
        <f t="shared" si="27"/>
        <v>157.4</v>
      </c>
      <c r="AH343">
        <f t="shared" si="28"/>
        <v>169.1</v>
      </c>
      <c r="AI343">
        <f t="shared" si="29"/>
        <v>1702.3</v>
      </c>
    </row>
    <row r="344" spans="1:35" x14ac:dyDescent="0.3">
      <c r="A344" t="s">
        <v>33</v>
      </c>
      <c r="B344">
        <v>2022</v>
      </c>
      <c r="C344" t="s">
        <v>39</v>
      </c>
      <c r="D344">
        <v>156.5</v>
      </c>
      <c r="E344">
        <v>213</v>
      </c>
      <c r="F344">
        <v>175.2</v>
      </c>
      <c r="G344">
        <v>166.6</v>
      </c>
      <c r="H344">
        <v>195.8</v>
      </c>
      <c r="I344">
        <v>174.2</v>
      </c>
      <c r="J344">
        <v>182.1</v>
      </c>
      <c r="K344">
        <v>164.3</v>
      </c>
      <c r="L344">
        <v>120</v>
      </c>
      <c r="M344">
        <v>190</v>
      </c>
      <c r="N344">
        <v>168.4</v>
      </c>
      <c r="O344">
        <v>185.2</v>
      </c>
      <c r="P344">
        <v>175</v>
      </c>
      <c r="Q344">
        <v>194.6</v>
      </c>
      <c r="R344">
        <v>178.3</v>
      </c>
      <c r="S344">
        <v>171.3</v>
      </c>
      <c r="T344">
        <v>177.3</v>
      </c>
      <c r="U344">
        <v>167.8</v>
      </c>
      <c r="V344">
        <v>179.6</v>
      </c>
      <c r="W344">
        <v>167.4</v>
      </c>
      <c r="X344">
        <v>176.1</v>
      </c>
      <c r="Y344">
        <v>161.6</v>
      </c>
      <c r="Z344">
        <v>166.3</v>
      </c>
      <c r="AA344">
        <v>171.4</v>
      </c>
      <c r="AB344">
        <v>169.7</v>
      </c>
      <c r="AC344">
        <v>168.4</v>
      </c>
      <c r="AD344">
        <v>173.4</v>
      </c>
      <c r="AE344">
        <f t="shared" si="25"/>
        <v>2266.3000000000002</v>
      </c>
      <c r="AF344">
        <f t="shared" si="26"/>
        <v>179.6</v>
      </c>
      <c r="AG344">
        <f t="shared" si="27"/>
        <v>161.6</v>
      </c>
      <c r="AH344">
        <f t="shared" si="28"/>
        <v>171.4</v>
      </c>
      <c r="AI344">
        <f t="shared" si="29"/>
        <v>1737.2</v>
      </c>
    </row>
    <row r="345" spans="1:35" x14ac:dyDescent="0.3">
      <c r="A345" t="s">
        <v>30</v>
      </c>
      <c r="B345">
        <v>2022</v>
      </c>
      <c r="C345" t="s">
        <v>40</v>
      </c>
      <c r="D345">
        <v>159.5</v>
      </c>
      <c r="E345">
        <v>204.1</v>
      </c>
      <c r="F345">
        <v>168.3</v>
      </c>
      <c r="G345">
        <v>167.9</v>
      </c>
      <c r="H345">
        <v>198.1</v>
      </c>
      <c r="I345">
        <v>169.2</v>
      </c>
      <c r="J345">
        <v>173.1</v>
      </c>
      <c r="K345">
        <v>167.1</v>
      </c>
      <c r="L345">
        <v>120.2</v>
      </c>
      <c r="M345">
        <v>195.6</v>
      </c>
      <c r="N345">
        <v>174.8</v>
      </c>
      <c r="O345">
        <v>184</v>
      </c>
      <c r="P345">
        <v>173.9</v>
      </c>
      <c r="Q345">
        <v>193.7</v>
      </c>
      <c r="R345">
        <v>183.2</v>
      </c>
      <c r="S345">
        <v>181.7</v>
      </c>
      <c r="T345">
        <v>183</v>
      </c>
      <c r="U345">
        <v>169</v>
      </c>
      <c r="V345">
        <v>179.1</v>
      </c>
      <c r="W345">
        <v>172.3</v>
      </c>
      <c r="X345">
        <v>179.4</v>
      </c>
      <c r="Y345">
        <v>166.6</v>
      </c>
      <c r="Z345">
        <v>169.3</v>
      </c>
      <c r="AA345">
        <v>175.7</v>
      </c>
      <c r="AB345">
        <v>171.1</v>
      </c>
      <c r="AC345">
        <v>172.6</v>
      </c>
      <c r="AD345">
        <v>175.3</v>
      </c>
      <c r="AE345">
        <f t="shared" si="25"/>
        <v>2255.7999999999997</v>
      </c>
      <c r="AF345">
        <f t="shared" si="26"/>
        <v>179.1</v>
      </c>
      <c r="AG345">
        <f t="shared" si="27"/>
        <v>166.6</v>
      </c>
      <c r="AH345">
        <f t="shared" si="28"/>
        <v>175.7</v>
      </c>
      <c r="AI345">
        <f t="shared" si="29"/>
        <v>1775.2999999999997</v>
      </c>
    </row>
    <row r="346" spans="1:35" x14ac:dyDescent="0.3">
      <c r="A346" t="s">
        <v>32</v>
      </c>
      <c r="B346">
        <v>2022</v>
      </c>
      <c r="C346" t="s">
        <v>40</v>
      </c>
      <c r="D346">
        <v>162.1</v>
      </c>
      <c r="E346">
        <v>210.9</v>
      </c>
      <c r="F346">
        <v>170.6</v>
      </c>
      <c r="G346">
        <v>168.4</v>
      </c>
      <c r="H346">
        <v>182.5</v>
      </c>
      <c r="I346">
        <v>177.1</v>
      </c>
      <c r="J346">
        <v>213.1</v>
      </c>
      <c r="K346">
        <v>167.3</v>
      </c>
      <c r="L346">
        <v>122.2</v>
      </c>
      <c r="M346">
        <v>189.7</v>
      </c>
      <c r="N346">
        <v>160.5</v>
      </c>
      <c r="O346">
        <v>188.9</v>
      </c>
      <c r="P346">
        <v>180.4</v>
      </c>
      <c r="Q346">
        <v>198.7</v>
      </c>
      <c r="R346">
        <v>173.7</v>
      </c>
      <c r="S346">
        <v>160</v>
      </c>
      <c r="T346">
        <v>171.6</v>
      </c>
      <c r="U346">
        <v>169</v>
      </c>
      <c r="V346">
        <v>178.4</v>
      </c>
      <c r="W346">
        <v>164.2</v>
      </c>
      <c r="X346">
        <v>172.6</v>
      </c>
      <c r="Y346">
        <v>157.69999999999999</v>
      </c>
      <c r="Z346">
        <v>165.1</v>
      </c>
      <c r="AA346">
        <v>169.9</v>
      </c>
      <c r="AB346">
        <v>171.4</v>
      </c>
      <c r="AC346">
        <v>165.4</v>
      </c>
      <c r="AD346">
        <v>173.1</v>
      </c>
      <c r="AE346">
        <f t="shared" si="25"/>
        <v>2293.6999999999998</v>
      </c>
      <c r="AF346">
        <f t="shared" si="26"/>
        <v>178.4</v>
      </c>
      <c r="AG346">
        <f t="shared" si="27"/>
        <v>157.69999999999999</v>
      </c>
      <c r="AH346">
        <f t="shared" si="28"/>
        <v>169.9</v>
      </c>
      <c r="AI346">
        <f t="shared" si="29"/>
        <v>1711.7</v>
      </c>
    </row>
    <row r="347" spans="1:35" x14ac:dyDescent="0.3">
      <c r="A347" t="s">
        <v>33</v>
      </c>
      <c r="B347">
        <v>2022</v>
      </c>
      <c r="C347" t="s">
        <v>40</v>
      </c>
      <c r="D347">
        <v>160.30000000000001</v>
      </c>
      <c r="E347">
        <v>206.5</v>
      </c>
      <c r="F347">
        <v>169.2</v>
      </c>
      <c r="G347">
        <v>168.1</v>
      </c>
      <c r="H347">
        <v>192.4</v>
      </c>
      <c r="I347">
        <v>172.9</v>
      </c>
      <c r="J347">
        <v>186.7</v>
      </c>
      <c r="K347">
        <v>167.2</v>
      </c>
      <c r="L347">
        <v>120.9</v>
      </c>
      <c r="M347">
        <v>193.6</v>
      </c>
      <c r="N347">
        <v>168.8</v>
      </c>
      <c r="O347">
        <v>186.3</v>
      </c>
      <c r="P347">
        <v>176.3</v>
      </c>
      <c r="Q347">
        <v>195</v>
      </c>
      <c r="R347">
        <v>179.5</v>
      </c>
      <c r="S347">
        <v>172.7</v>
      </c>
      <c r="T347">
        <v>178.5</v>
      </c>
      <c r="U347">
        <v>169</v>
      </c>
      <c r="V347">
        <v>178.8</v>
      </c>
      <c r="W347">
        <v>168.5</v>
      </c>
      <c r="X347">
        <v>176.8</v>
      </c>
      <c r="Y347">
        <v>161.9</v>
      </c>
      <c r="Z347">
        <v>166.9</v>
      </c>
      <c r="AA347">
        <v>172.3</v>
      </c>
      <c r="AB347">
        <v>171.2</v>
      </c>
      <c r="AC347">
        <v>169.1</v>
      </c>
      <c r="AD347">
        <v>174.3</v>
      </c>
      <c r="AE347">
        <f t="shared" si="25"/>
        <v>2269.2000000000003</v>
      </c>
      <c r="AF347">
        <f t="shared" si="26"/>
        <v>178.8</v>
      </c>
      <c r="AG347">
        <f t="shared" si="27"/>
        <v>161.9</v>
      </c>
      <c r="AH347">
        <f t="shared" si="28"/>
        <v>172.3</v>
      </c>
      <c r="AI347">
        <f t="shared" si="29"/>
        <v>1747.2</v>
      </c>
    </row>
    <row r="348" spans="1:35" x14ac:dyDescent="0.3">
      <c r="A348" t="s">
        <v>30</v>
      </c>
      <c r="B348">
        <v>2022</v>
      </c>
      <c r="C348" t="s">
        <v>41</v>
      </c>
      <c r="D348">
        <v>162.9</v>
      </c>
      <c r="E348">
        <v>206.7</v>
      </c>
      <c r="F348">
        <v>169</v>
      </c>
      <c r="G348">
        <v>169.5</v>
      </c>
      <c r="H348">
        <v>194.1</v>
      </c>
      <c r="I348">
        <v>164.1</v>
      </c>
      <c r="J348">
        <v>176.9</v>
      </c>
      <c r="K348">
        <v>169</v>
      </c>
      <c r="L348">
        <v>120.8</v>
      </c>
      <c r="M348">
        <v>199.1</v>
      </c>
      <c r="N348">
        <v>175.4</v>
      </c>
      <c r="O348">
        <v>184.8</v>
      </c>
      <c r="P348">
        <v>175.5</v>
      </c>
      <c r="Q348">
        <v>194.5</v>
      </c>
      <c r="R348">
        <v>184.7</v>
      </c>
      <c r="S348">
        <v>183.3</v>
      </c>
      <c r="T348">
        <v>184.5</v>
      </c>
      <c r="U348">
        <v>169.5</v>
      </c>
      <c r="V348">
        <v>179.7</v>
      </c>
      <c r="W348">
        <v>173.6</v>
      </c>
      <c r="X348">
        <v>180.2</v>
      </c>
      <c r="Y348">
        <v>166.9</v>
      </c>
      <c r="Z348">
        <v>170</v>
      </c>
      <c r="AA348">
        <v>176.2</v>
      </c>
      <c r="AB348">
        <v>170.8</v>
      </c>
      <c r="AC348">
        <v>173.1</v>
      </c>
      <c r="AD348">
        <v>176.4</v>
      </c>
      <c r="AE348">
        <f t="shared" si="25"/>
        <v>2267.8000000000002</v>
      </c>
      <c r="AF348">
        <f t="shared" si="26"/>
        <v>179.7</v>
      </c>
      <c r="AG348">
        <f t="shared" si="27"/>
        <v>166.9</v>
      </c>
      <c r="AH348">
        <f t="shared" si="28"/>
        <v>176.2</v>
      </c>
      <c r="AI348">
        <f t="shared" si="29"/>
        <v>1784.1999999999998</v>
      </c>
    </row>
    <row r="349" spans="1:35" x14ac:dyDescent="0.3">
      <c r="A349" t="s">
        <v>32</v>
      </c>
      <c r="B349">
        <v>2022</v>
      </c>
      <c r="C349" t="s">
        <v>41</v>
      </c>
      <c r="D349">
        <v>164.9</v>
      </c>
      <c r="E349">
        <v>213.7</v>
      </c>
      <c r="F349">
        <v>170.9</v>
      </c>
      <c r="G349">
        <v>170.1</v>
      </c>
      <c r="H349">
        <v>179.3</v>
      </c>
      <c r="I349">
        <v>167.5</v>
      </c>
      <c r="J349">
        <v>220.8</v>
      </c>
      <c r="K349">
        <v>169.2</v>
      </c>
      <c r="L349">
        <v>123.1</v>
      </c>
      <c r="M349">
        <v>193.6</v>
      </c>
      <c r="N349">
        <v>161.1</v>
      </c>
      <c r="O349">
        <v>190.4</v>
      </c>
      <c r="P349">
        <v>181.8</v>
      </c>
      <c r="Q349">
        <v>199.7</v>
      </c>
      <c r="R349">
        <v>175</v>
      </c>
      <c r="S349">
        <v>161.69999999999999</v>
      </c>
      <c r="T349">
        <v>173</v>
      </c>
      <c r="U349">
        <v>169.5</v>
      </c>
      <c r="V349">
        <v>179.2</v>
      </c>
      <c r="W349">
        <v>165</v>
      </c>
      <c r="X349">
        <v>173.8</v>
      </c>
      <c r="Y349">
        <v>158.19999999999999</v>
      </c>
      <c r="Z349">
        <v>165.8</v>
      </c>
      <c r="AA349">
        <v>170.9</v>
      </c>
      <c r="AB349">
        <v>171.1</v>
      </c>
      <c r="AC349">
        <v>166.1</v>
      </c>
      <c r="AD349">
        <v>174.1</v>
      </c>
      <c r="AE349">
        <f t="shared" si="25"/>
        <v>2306.4</v>
      </c>
      <c r="AF349">
        <f t="shared" si="26"/>
        <v>179.2</v>
      </c>
      <c r="AG349">
        <f t="shared" si="27"/>
        <v>158.19999999999999</v>
      </c>
      <c r="AH349">
        <f t="shared" si="28"/>
        <v>170.9</v>
      </c>
      <c r="AI349">
        <f t="shared" si="29"/>
        <v>1720.6999999999998</v>
      </c>
    </row>
    <row r="350" spans="1:35" x14ac:dyDescent="0.3">
      <c r="A350" t="s">
        <v>33</v>
      </c>
      <c r="B350">
        <v>2022</v>
      </c>
      <c r="C350" t="s">
        <v>41</v>
      </c>
      <c r="D350">
        <v>163.5</v>
      </c>
      <c r="E350">
        <v>209.2</v>
      </c>
      <c r="F350">
        <v>169.7</v>
      </c>
      <c r="G350">
        <v>169.7</v>
      </c>
      <c r="H350">
        <v>188.7</v>
      </c>
      <c r="I350">
        <v>165.7</v>
      </c>
      <c r="J350">
        <v>191.8</v>
      </c>
      <c r="K350">
        <v>169.1</v>
      </c>
      <c r="L350">
        <v>121.6</v>
      </c>
      <c r="M350">
        <v>197.3</v>
      </c>
      <c r="N350">
        <v>169.4</v>
      </c>
      <c r="O350">
        <v>187.4</v>
      </c>
      <c r="P350">
        <v>177.8</v>
      </c>
      <c r="Q350">
        <v>195.9</v>
      </c>
      <c r="R350">
        <v>180.9</v>
      </c>
      <c r="S350">
        <v>174.3</v>
      </c>
      <c r="T350">
        <v>179.9</v>
      </c>
      <c r="U350">
        <v>169.5</v>
      </c>
      <c r="V350">
        <v>179.5</v>
      </c>
      <c r="W350">
        <v>169.5</v>
      </c>
      <c r="X350">
        <v>177.8</v>
      </c>
      <c r="Y350">
        <v>162.30000000000001</v>
      </c>
      <c r="Z350">
        <v>167.6</v>
      </c>
      <c r="AA350">
        <v>173.1</v>
      </c>
      <c r="AB350">
        <v>170.9</v>
      </c>
      <c r="AC350">
        <v>169.7</v>
      </c>
      <c r="AD350">
        <v>175.3</v>
      </c>
      <c r="AE350">
        <f t="shared" si="25"/>
        <v>2280.9</v>
      </c>
      <c r="AF350">
        <f t="shared" si="26"/>
        <v>179.5</v>
      </c>
      <c r="AG350">
        <f t="shared" si="27"/>
        <v>162.30000000000001</v>
      </c>
      <c r="AH350">
        <f t="shared" si="28"/>
        <v>173.1</v>
      </c>
      <c r="AI350">
        <f t="shared" si="29"/>
        <v>1756</v>
      </c>
    </row>
    <row r="351" spans="1:35" x14ac:dyDescent="0.3">
      <c r="A351" t="s">
        <v>30</v>
      </c>
      <c r="B351">
        <v>2022</v>
      </c>
      <c r="C351" t="s">
        <v>42</v>
      </c>
      <c r="D351">
        <v>164.7</v>
      </c>
      <c r="E351">
        <v>208.8</v>
      </c>
      <c r="F351">
        <v>170.3</v>
      </c>
      <c r="G351">
        <v>170.9</v>
      </c>
      <c r="H351">
        <v>191.6</v>
      </c>
      <c r="I351">
        <v>162.19999999999999</v>
      </c>
      <c r="J351">
        <v>184.8</v>
      </c>
      <c r="K351">
        <v>169.7</v>
      </c>
      <c r="L351">
        <v>121.1</v>
      </c>
      <c r="M351">
        <v>201.6</v>
      </c>
      <c r="N351">
        <v>175.8</v>
      </c>
      <c r="O351">
        <v>185.6</v>
      </c>
      <c r="P351">
        <v>177.4</v>
      </c>
      <c r="Q351">
        <v>194.9</v>
      </c>
      <c r="R351">
        <v>186.1</v>
      </c>
      <c r="S351">
        <v>184.4</v>
      </c>
      <c r="T351">
        <v>185.9</v>
      </c>
      <c r="U351">
        <v>171.2</v>
      </c>
      <c r="V351">
        <v>180.8</v>
      </c>
      <c r="W351">
        <v>174.4</v>
      </c>
      <c r="X351">
        <v>181.2</v>
      </c>
      <c r="Y351">
        <v>167.4</v>
      </c>
      <c r="Z351">
        <v>170.6</v>
      </c>
      <c r="AA351">
        <v>176.5</v>
      </c>
      <c r="AB351">
        <v>172</v>
      </c>
      <c r="AC351">
        <v>173.9</v>
      </c>
      <c r="AD351">
        <v>177.9</v>
      </c>
      <c r="AE351">
        <f t="shared" si="25"/>
        <v>2284.5</v>
      </c>
      <c r="AF351">
        <f t="shared" si="26"/>
        <v>180.8</v>
      </c>
      <c r="AG351">
        <f t="shared" si="27"/>
        <v>167.4</v>
      </c>
      <c r="AH351">
        <f t="shared" si="28"/>
        <v>176.5</v>
      </c>
      <c r="AI351">
        <f t="shared" si="29"/>
        <v>1794.6000000000001</v>
      </c>
    </row>
    <row r="352" spans="1:35" x14ac:dyDescent="0.3">
      <c r="A352" t="s">
        <v>32</v>
      </c>
      <c r="B352">
        <v>2022</v>
      </c>
      <c r="C352" t="s">
        <v>42</v>
      </c>
      <c r="D352">
        <v>166.4</v>
      </c>
      <c r="E352">
        <v>214.9</v>
      </c>
      <c r="F352">
        <v>171.9</v>
      </c>
      <c r="G352">
        <v>171</v>
      </c>
      <c r="H352">
        <v>177.7</v>
      </c>
      <c r="I352">
        <v>165.7</v>
      </c>
      <c r="J352">
        <v>228.6</v>
      </c>
      <c r="K352">
        <v>169.9</v>
      </c>
      <c r="L352">
        <v>123.4</v>
      </c>
      <c r="M352">
        <v>196.4</v>
      </c>
      <c r="N352">
        <v>161.6</v>
      </c>
      <c r="O352">
        <v>191.5</v>
      </c>
      <c r="P352">
        <v>183.3</v>
      </c>
      <c r="Q352">
        <v>200.1</v>
      </c>
      <c r="R352">
        <v>175.5</v>
      </c>
      <c r="S352">
        <v>162.6</v>
      </c>
      <c r="T352">
        <v>173.6</v>
      </c>
      <c r="U352">
        <v>171.2</v>
      </c>
      <c r="V352">
        <v>180</v>
      </c>
      <c r="W352">
        <v>166</v>
      </c>
      <c r="X352">
        <v>174.7</v>
      </c>
      <c r="Y352">
        <v>158.80000000000001</v>
      </c>
      <c r="Z352">
        <v>166.3</v>
      </c>
      <c r="AA352">
        <v>171.2</v>
      </c>
      <c r="AB352">
        <v>172.3</v>
      </c>
      <c r="AC352">
        <v>166.8</v>
      </c>
      <c r="AD352">
        <v>175.3</v>
      </c>
      <c r="AE352">
        <f t="shared" si="25"/>
        <v>2322.3000000000002</v>
      </c>
      <c r="AF352">
        <f t="shared" si="26"/>
        <v>180</v>
      </c>
      <c r="AG352">
        <f t="shared" si="27"/>
        <v>158.80000000000001</v>
      </c>
      <c r="AH352">
        <f t="shared" si="28"/>
        <v>171.2</v>
      </c>
      <c r="AI352">
        <f t="shared" si="29"/>
        <v>1729.1</v>
      </c>
    </row>
    <row r="353" spans="1:35" x14ac:dyDescent="0.3">
      <c r="A353" t="s">
        <v>33</v>
      </c>
      <c r="B353">
        <v>2022</v>
      </c>
      <c r="C353" t="s">
        <v>42</v>
      </c>
      <c r="D353">
        <v>165.2</v>
      </c>
      <c r="E353">
        <v>210.9</v>
      </c>
      <c r="F353">
        <v>170.9</v>
      </c>
      <c r="G353">
        <v>170.9</v>
      </c>
      <c r="H353">
        <v>186.5</v>
      </c>
      <c r="I353">
        <v>163.80000000000001</v>
      </c>
      <c r="J353">
        <v>199.7</v>
      </c>
      <c r="K353">
        <v>169.8</v>
      </c>
      <c r="L353">
        <v>121.9</v>
      </c>
      <c r="M353">
        <v>199.9</v>
      </c>
      <c r="N353">
        <v>169.9</v>
      </c>
      <c r="O353">
        <v>188.3</v>
      </c>
      <c r="P353">
        <v>179.6</v>
      </c>
      <c r="Q353">
        <v>196.3</v>
      </c>
      <c r="R353">
        <v>181.9</v>
      </c>
      <c r="S353">
        <v>175.3</v>
      </c>
      <c r="T353">
        <v>181</v>
      </c>
      <c r="U353">
        <v>171.2</v>
      </c>
      <c r="V353">
        <v>180.5</v>
      </c>
      <c r="W353">
        <v>170.4</v>
      </c>
      <c r="X353">
        <v>178.7</v>
      </c>
      <c r="Y353">
        <v>162.9</v>
      </c>
      <c r="Z353">
        <v>168.2</v>
      </c>
      <c r="AA353">
        <v>173.4</v>
      </c>
      <c r="AB353">
        <v>172.1</v>
      </c>
      <c r="AC353">
        <v>170.5</v>
      </c>
      <c r="AD353">
        <v>176.7</v>
      </c>
      <c r="AE353">
        <f t="shared" si="25"/>
        <v>2297.3000000000002</v>
      </c>
      <c r="AF353">
        <f t="shared" si="26"/>
        <v>180.5</v>
      </c>
      <c r="AG353">
        <f t="shared" si="27"/>
        <v>162.9</v>
      </c>
      <c r="AH353">
        <f t="shared" si="28"/>
        <v>173.4</v>
      </c>
      <c r="AI353">
        <f t="shared" si="29"/>
        <v>1765.6000000000001</v>
      </c>
    </row>
    <row r="354" spans="1:35" x14ac:dyDescent="0.3">
      <c r="A354" t="s">
        <v>30</v>
      </c>
      <c r="B354">
        <v>2022</v>
      </c>
      <c r="C354" t="s">
        <v>44</v>
      </c>
      <c r="D354">
        <v>166.9</v>
      </c>
      <c r="E354">
        <v>207.2</v>
      </c>
      <c r="F354">
        <v>180.2</v>
      </c>
      <c r="G354">
        <v>172.3</v>
      </c>
      <c r="H354">
        <v>194</v>
      </c>
      <c r="I354">
        <v>159.1</v>
      </c>
      <c r="J354">
        <v>171.6</v>
      </c>
      <c r="K354">
        <v>170.2</v>
      </c>
      <c r="L354">
        <v>121.5</v>
      </c>
      <c r="M354">
        <v>204.8</v>
      </c>
      <c r="N354">
        <v>176.4</v>
      </c>
      <c r="O354">
        <v>186.9</v>
      </c>
      <c r="P354">
        <v>176.6</v>
      </c>
      <c r="Q354">
        <v>195.5</v>
      </c>
      <c r="R354">
        <v>187.2</v>
      </c>
      <c r="S354">
        <v>185.2</v>
      </c>
      <c r="T354">
        <v>186.9</v>
      </c>
      <c r="U354">
        <v>171.8</v>
      </c>
      <c r="V354">
        <v>181.9</v>
      </c>
      <c r="W354">
        <v>175.5</v>
      </c>
      <c r="X354">
        <v>182.3</v>
      </c>
      <c r="Y354">
        <v>167.5</v>
      </c>
      <c r="Z354">
        <v>170.8</v>
      </c>
      <c r="AA354">
        <v>176.9</v>
      </c>
      <c r="AB354">
        <v>173.4</v>
      </c>
      <c r="AC354">
        <v>174.6</v>
      </c>
      <c r="AD354">
        <v>177.8</v>
      </c>
      <c r="AE354">
        <f t="shared" si="25"/>
        <v>2287.6999999999998</v>
      </c>
      <c r="AF354">
        <f t="shared" si="26"/>
        <v>181.9</v>
      </c>
      <c r="AG354">
        <f t="shared" si="27"/>
        <v>167.5</v>
      </c>
      <c r="AH354">
        <f t="shared" si="28"/>
        <v>176.9</v>
      </c>
      <c r="AI354">
        <f t="shared" si="29"/>
        <v>1803.1999999999998</v>
      </c>
    </row>
    <row r="355" spans="1:35" x14ac:dyDescent="0.3">
      <c r="A355" t="s">
        <v>32</v>
      </c>
      <c r="B355">
        <v>2022</v>
      </c>
      <c r="C355" t="s">
        <v>44</v>
      </c>
      <c r="D355">
        <v>168.4</v>
      </c>
      <c r="E355">
        <v>213.4</v>
      </c>
      <c r="F355">
        <v>183.2</v>
      </c>
      <c r="G355">
        <v>172.3</v>
      </c>
      <c r="H355">
        <v>180</v>
      </c>
      <c r="I355">
        <v>162.6</v>
      </c>
      <c r="J355">
        <v>205.5</v>
      </c>
      <c r="K355">
        <v>171</v>
      </c>
      <c r="L355">
        <v>123.4</v>
      </c>
      <c r="M355">
        <v>198.8</v>
      </c>
      <c r="N355">
        <v>162.1</v>
      </c>
      <c r="O355">
        <v>192.4</v>
      </c>
      <c r="P355">
        <v>181.3</v>
      </c>
      <c r="Q355">
        <v>200.6</v>
      </c>
      <c r="R355">
        <v>176.7</v>
      </c>
      <c r="S355">
        <v>163.5</v>
      </c>
      <c r="T355">
        <v>174.7</v>
      </c>
      <c r="U355">
        <v>171.8</v>
      </c>
      <c r="V355">
        <v>180.3</v>
      </c>
      <c r="W355">
        <v>166.9</v>
      </c>
      <c r="X355">
        <v>175.8</v>
      </c>
      <c r="Y355">
        <v>158.9</v>
      </c>
      <c r="Z355">
        <v>166.7</v>
      </c>
      <c r="AA355">
        <v>171.5</v>
      </c>
      <c r="AB355">
        <v>173.8</v>
      </c>
      <c r="AC355">
        <v>167.4</v>
      </c>
      <c r="AD355">
        <v>174.1</v>
      </c>
      <c r="AE355">
        <f t="shared" si="25"/>
        <v>2314.4</v>
      </c>
      <c r="AF355">
        <f t="shared" si="26"/>
        <v>180.3</v>
      </c>
      <c r="AG355">
        <f t="shared" si="27"/>
        <v>158.9</v>
      </c>
      <c r="AH355">
        <f t="shared" si="28"/>
        <v>171.5</v>
      </c>
      <c r="AI355">
        <f t="shared" si="29"/>
        <v>1737.9</v>
      </c>
    </row>
    <row r="356" spans="1:35" x14ac:dyDescent="0.3">
      <c r="A356" t="s">
        <v>33</v>
      </c>
      <c r="B356">
        <v>2022</v>
      </c>
      <c r="C356" t="s">
        <v>44</v>
      </c>
      <c r="D356">
        <v>167.4</v>
      </c>
      <c r="E356">
        <v>209.4</v>
      </c>
      <c r="F356">
        <v>181.4</v>
      </c>
      <c r="G356">
        <v>172.3</v>
      </c>
      <c r="H356">
        <v>188.9</v>
      </c>
      <c r="I356">
        <v>160.69999999999999</v>
      </c>
      <c r="J356">
        <v>183.1</v>
      </c>
      <c r="K356">
        <v>170.5</v>
      </c>
      <c r="L356">
        <v>122.1</v>
      </c>
      <c r="M356">
        <v>202.8</v>
      </c>
      <c r="N356">
        <v>170.4</v>
      </c>
      <c r="O356">
        <v>189.5</v>
      </c>
      <c r="P356">
        <v>178.3</v>
      </c>
      <c r="Q356">
        <v>196.9</v>
      </c>
      <c r="R356">
        <v>183.1</v>
      </c>
      <c r="S356">
        <v>176.2</v>
      </c>
      <c r="T356">
        <v>182.1</v>
      </c>
      <c r="U356">
        <v>171.8</v>
      </c>
      <c r="V356">
        <v>181.3</v>
      </c>
      <c r="W356">
        <v>171.4</v>
      </c>
      <c r="X356">
        <v>179.8</v>
      </c>
      <c r="Y356">
        <v>163</v>
      </c>
      <c r="Z356">
        <v>168.5</v>
      </c>
      <c r="AA356">
        <v>173.7</v>
      </c>
      <c r="AB356">
        <v>173.6</v>
      </c>
      <c r="AC356">
        <v>171.1</v>
      </c>
      <c r="AD356">
        <v>176.5</v>
      </c>
      <c r="AE356">
        <f t="shared" si="25"/>
        <v>2296.8000000000002</v>
      </c>
      <c r="AF356">
        <f t="shared" si="26"/>
        <v>181.3</v>
      </c>
      <c r="AG356">
        <f t="shared" si="27"/>
        <v>163</v>
      </c>
      <c r="AH356">
        <f t="shared" si="28"/>
        <v>173.7</v>
      </c>
      <c r="AI356">
        <f t="shared" si="29"/>
        <v>1774.5</v>
      </c>
    </row>
    <row r="357" spans="1:35" x14ac:dyDescent="0.3">
      <c r="A357" t="s">
        <v>30</v>
      </c>
      <c r="B357">
        <v>2022</v>
      </c>
      <c r="C357" t="s">
        <v>45</v>
      </c>
      <c r="D357">
        <v>168.8</v>
      </c>
      <c r="E357">
        <v>206.9</v>
      </c>
      <c r="F357">
        <v>189.1</v>
      </c>
      <c r="G357">
        <v>173.4</v>
      </c>
      <c r="H357">
        <v>193.9</v>
      </c>
      <c r="I357">
        <v>156.69999999999999</v>
      </c>
      <c r="J357">
        <v>150.19999999999999</v>
      </c>
      <c r="K357">
        <v>170.5</v>
      </c>
      <c r="L357">
        <v>121.2</v>
      </c>
      <c r="M357">
        <v>207.5</v>
      </c>
      <c r="N357">
        <v>176.8</v>
      </c>
      <c r="O357">
        <v>187.7</v>
      </c>
      <c r="P357">
        <v>174.4</v>
      </c>
      <c r="Q357">
        <v>195.9</v>
      </c>
      <c r="R357">
        <v>188.1</v>
      </c>
      <c r="S357">
        <v>185.9</v>
      </c>
      <c r="T357">
        <v>187.8</v>
      </c>
      <c r="U357">
        <v>170.7</v>
      </c>
      <c r="V357">
        <v>182.8</v>
      </c>
      <c r="W357">
        <v>176.4</v>
      </c>
      <c r="X357">
        <v>183.5</v>
      </c>
      <c r="Y357">
        <v>167.8</v>
      </c>
      <c r="Z357">
        <v>171.2</v>
      </c>
      <c r="AA357">
        <v>177.3</v>
      </c>
      <c r="AB357">
        <v>175.7</v>
      </c>
      <c r="AC357">
        <v>175.5</v>
      </c>
      <c r="AD357">
        <v>177.1</v>
      </c>
      <c r="AE357">
        <f t="shared" si="25"/>
        <v>2277.1</v>
      </c>
      <c r="AF357">
        <f t="shared" si="26"/>
        <v>182.8</v>
      </c>
      <c r="AG357">
        <f t="shared" si="27"/>
        <v>167.8</v>
      </c>
      <c r="AH357">
        <f t="shared" si="28"/>
        <v>177.3</v>
      </c>
      <c r="AI357">
        <f t="shared" si="29"/>
        <v>1810.7000000000003</v>
      </c>
    </row>
    <row r="358" spans="1:35" x14ac:dyDescent="0.3">
      <c r="A358" t="s">
        <v>32</v>
      </c>
      <c r="B358">
        <v>2022</v>
      </c>
      <c r="C358" t="s">
        <v>45</v>
      </c>
      <c r="D358">
        <v>170.2</v>
      </c>
      <c r="E358">
        <v>212.9</v>
      </c>
      <c r="F358">
        <v>191.9</v>
      </c>
      <c r="G358">
        <v>173.9</v>
      </c>
      <c r="H358">
        <v>179.1</v>
      </c>
      <c r="I358">
        <v>159.5</v>
      </c>
      <c r="J358">
        <v>178.7</v>
      </c>
      <c r="K358">
        <v>171.3</v>
      </c>
      <c r="L358">
        <v>123.1</v>
      </c>
      <c r="M358">
        <v>200.5</v>
      </c>
      <c r="N358">
        <v>162.80000000000001</v>
      </c>
      <c r="O358">
        <v>193.3</v>
      </c>
      <c r="P358">
        <v>178.6</v>
      </c>
      <c r="Q358">
        <v>201.1</v>
      </c>
      <c r="R358">
        <v>177.7</v>
      </c>
      <c r="S358">
        <v>164.5</v>
      </c>
      <c r="T358">
        <v>175.7</v>
      </c>
      <c r="U358">
        <v>170.7</v>
      </c>
      <c r="V358">
        <v>180.6</v>
      </c>
      <c r="W358">
        <v>167.3</v>
      </c>
      <c r="X358">
        <v>177.2</v>
      </c>
      <c r="Y358">
        <v>159.4</v>
      </c>
      <c r="Z358">
        <v>167.1</v>
      </c>
      <c r="AA358">
        <v>171.8</v>
      </c>
      <c r="AB358">
        <v>176</v>
      </c>
      <c r="AC358">
        <v>168.2</v>
      </c>
      <c r="AD358">
        <v>174.1</v>
      </c>
      <c r="AE358">
        <f t="shared" si="25"/>
        <v>2295.7999999999997</v>
      </c>
      <c r="AF358">
        <f t="shared" si="26"/>
        <v>180.6</v>
      </c>
      <c r="AG358">
        <f t="shared" si="27"/>
        <v>159.4</v>
      </c>
      <c r="AH358">
        <f t="shared" si="28"/>
        <v>171.8</v>
      </c>
      <c r="AI358">
        <f t="shared" si="29"/>
        <v>1745.5</v>
      </c>
    </row>
    <row r="359" spans="1:35" x14ac:dyDescent="0.3">
      <c r="A359" t="s">
        <v>33</v>
      </c>
      <c r="B359">
        <v>2022</v>
      </c>
      <c r="C359" t="s">
        <v>45</v>
      </c>
      <c r="D359">
        <v>169.2</v>
      </c>
      <c r="E359">
        <v>209</v>
      </c>
      <c r="F359">
        <v>190.2</v>
      </c>
      <c r="G359">
        <v>173.6</v>
      </c>
      <c r="H359">
        <v>188.5</v>
      </c>
      <c r="I359">
        <v>158</v>
      </c>
      <c r="J359">
        <v>159.9</v>
      </c>
      <c r="K359">
        <v>170.8</v>
      </c>
      <c r="L359">
        <v>121.8</v>
      </c>
      <c r="M359">
        <v>205.2</v>
      </c>
      <c r="N359">
        <v>171</v>
      </c>
      <c r="O359">
        <v>190.3</v>
      </c>
      <c r="P359">
        <v>175.9</v>
      </c>
      <c r="Q359">
        <v>197.3</v>
      </c>
      <c r="R359">
        <v>184</v>
      </c>
      <c r="S359">
        <v>177</v>
      </c>
      <c r="T359">
        <v>183</v>
      </c>
      <c r="U359">
        <v>170.7</v>
      </c>
      <c r="V359">
        <v>182</v>
      </c>
      <c r="W359">
        <v>172.1</v>
      </c>
      <c r="X359">
        <v>181.1</v>
      </c>
      <c r="Y359">
        <v>163.4</v>
      </c>
      <c r="Z359">
        <v>168.9</v>
      </c>
      <c r="AA359">
        <v>174.1</v>
      </c>
      <c r="AB359">
        <v>175.8</v>
      </c>
      <c r="AC359">
        <v>172</v>
      </c>
      <c r="AD359">
        <v>175.7</v>
      </c>
      <c r="AE359">
        <f t="shared" si="25"/>
        <v>2283.4</v>
      </c>
      <c r="AF359">
        <f t="shared" si="26"/>
        <v>182</v>
      </c>
      <c r="AG359">
        <f t="shared" si="27"/>
        <v>163.4</v>
      </c>
      <c r="AH359">
        <f t="shared" si="28"/>
        <v>174.1</v>
      </c>
      <c r="AI359">
        <f t="shared" si="29"/>
        <v>1781.8999999999999</v>
      </c>
    </row>
    <row r="360" spans="1:35" x14ac:dyDescent="0.3">
      <c r="A360" t="s">
        <v>30</v>
      </c>
      <c r="B360">
        <v>2023</v>
      </c>
      <c r="C360" t="s">
        <v>31</v>
      </c>
      <c r="D360">
        <v>174</v>
      </c>
      <c r="E360">
        <v>208.3</v>
      </c>
      <c r="F360">
        <v>192.9</v>
      </c>
      <c r="G360">
        <v>174.3</v>
      </c>
      <c r="H360">
        <v>192.6</v>
      </c>
      <c r="I360">
        <v>156.30000000000001</v>
      </c>
      <c r="J360">
        <v>142.9</v>
      </c>
      <c r="K360">
        <v>170.7</v>
      </c>
      <c r="L360">
        <v>120.3</v>
      </c>
      <c r="M360">
        <v>210.5</v>
      </c>
      <c r="N360">
        <v>176.9</v>
      </c>
      <c r="O360">
        <v>188.5</v>
      </c>
      <c r="P360">
        <v>175</v>
      </c>
      <c r="Q360">
        <v>196.9</v>
      </c>
      <c r="R360">
        <v>189</v>
      </c>
      <c r="S360">
        <v>186.3</v>
      </c>
      <c r="T360">
        <v>188.6</v>
      </c>
      <c r="U360">
        <v>172.1</v>
      </c>
      <c r="V360">
        <v>183.2</v>
      </c>
      <c r="W360">
        <v>177.2</v>
      </c>
      <c r="X360">
        <v>184.7</v>
      </c>
      <c r="Y360">
        <v>168.2</v>
      </c>
      <c r="Z360">
        <v>171.8</v>
      </c>
      <c r="AA360">
        <v>177.8</v>
      </c>
      <c r="AB360">
        <v>178.4</v>
      </c>
      <c r="AC360">
        <v>176.5</v>
      </c>
      <c r="AD360">
        <v>177.8</v>
      </c>
      <c r="AE360">
        <f t="shared" si="25"/>
        <v>2283.2000000000003</v>
      </c>
      <c r="AF360">
        <f t="shared" si="26"/>
        <v>183.2</v>
      </c>
      <c r="AG360">
        <f t="shared" si="27"/>
        <v>168.2</v>
      </c>
      <c r="AH360">
        <f t="shared" si="28"/>
        <v>177.8</v>
      </c>
      <c r="AI360">
        <f t="shared" si="29"/>
        <v>1821.5000000000002</v>
      </c>
    </row>
    <row r="361" spans="1:35" x14ac:dyDescent="0.3">
      <c r="A361" t="s">
        <v>32</v>
      </c>
      <c r="B361">
        <v>2023</v>
      </c>
      <c r="C361" t="s">
        <v>31</v>
      </c>
      <c r="D361">
        <v>173.3</v>
      </c>
      <c r="E361">
        <v>215.2</v>
      </c>
      <c r="F361">
        <v>197</v>
      </c>
      <c r="G361">
        <v>175.2</v>
      </c>
      <c r="H361">
        <v>178</v>
      </c>
      <c r="I361">
        <v>160.5</v>
      </c>
      <c r="J361">
        <v>175.3</v>
      </c>
      <c r="K361">
        <v>171.2</v>
      </c>
      <c r="L361">
        <v>122.7</v>
      </c>
      <c r="M361">
        <v>204.3</v>
      </c>
      <c r="N361">
        <v>163.69999999999999</v>
      </c>
      <c r="O361">
        <v>194.3</v>
      </c>
      <c r="P361">
        <v>179.5</v>
      </c>
      <c r="Q361">
        <v>201.6</v>
      </c>
      <c r="R361">
        <v>178.7</v>
      </c>
      <c r="S361">
        <v>165.3</v>
      </c>
      <c r="T361">
        <v>176.6</v>
      </c>
      <c r="U361">
        <v>172.1</v>
      </c>
      <c r="V361">
        <v>180.1</v>
      </c>
      <c r="W361">
        <v>168</v>
      </c>
      <c r="X361">
        <v>178.5</v>
      </c>
      <c r="Y361">
        <v>159.5</v>
      </c>
      <c r="Z361">
        <v>167.8</v>
      </c>
      <c r="AA361">
        <v>171.8</v>
      </c>
      <c r="AB361">
        <v>178.8</v>
      </c>
      <c r="AC361">
        <v>168.9</v>
      </c>
      <c r="AD361">
        <v>174.9</v>
      </c>
      <c r="AE361">
        <f t="shared" si="25"/>
        <v>2310.2000000000003</v>
      </c>
      <c r="AF361">
        <f t="shared" si="26"/>
        <v>180.1</v>
      </c>
      <c r="AG361">
        <f t="shared" si="27"/>
        <v>159.5</v>
      </c>
      <c r="AH361">
        <f t="shared" si="28"/>
        <v>171.8</v>
      </c>
      <c r="AI361">
        <f t="shared" si="29"/>
        <v>1756.3</v>
      </c>
    </row>
    <row r="362" spans="1:35" x14ac:dyDescent="0.3">
      <c r="A362" t="s">
        <v>33</v>
      </c>
      <c r="B362">
        <v>2023</v>
      </c>
      <c r="C362" t="s">
        <v>31</v>
      </c>
      <c r="D362">
        <v>173.8</v>
      </c>
      <c r="E362">
        <v>210.7</v>
      </c>
      <c r="F362">
        <v>194.5</v>
      </c>
      <c r="G362">
        <v>174.6</v>
      </c>
      <c r="H362">
        <v>187.2</v>
      </c>
      <c r="I362">
        <v>158.30000000000001</v>
      </c>
      <c r="J362">
        <v>153.9</v>
      </c>
      <c r="K362">
        <v>170.9</v>
      </c>
      <c r="L362">
        <v>121.1</v>
      </c>
      <c r="M362">
        <v>208.4</v>
      </c>
      <c r="N362">
        <v>171.4</v>
      </c>
      <c r="O362">
        <v>191.2</v>
      </c>
      <c r="P362">
        <v>176.7</v>
      </c>
      <c r="Q362">
        <v>198.2</v>
      </c>
      <c r="R362">
        <v>184.9</v>
      </c>
      <c r="S362">
        <v>177.6</v>
      </c>
      <c r="T362">
        <v>183.8</v>
      </c>
      <c r="U362">
        <v>172.1</v>
      </c>
      <c r="V362">
        <v>182</v>
      </c>
      <c r="W362">
        <v>172.9</v>
      </c>
      <c r="X362">
        <v>182.3</v>
      </c>
      <c r="Y362">
        <v>163.6</v>
      </c>
      <c r="Z362">
        <v>169.5</v>
      </c>
      <c r="AA362">
        <v>174.3</v>
      </c>
      <c r="AB362">
        <v>178.6</v>
      </c>
      <c r="AC362">
        <v>172.8</v>
      </c>
      <c r="AD362">
        <v>176.5</v>
      </c>
      <c r="AE362">
        <f t="shared" si="25"/>
        <v>2292.6999999999998</v>
      </c>
      <c r="AF362">
        <f t="shared" si="26"/>
        <v>182</v>
      </c>
      <c r="AG362">
        <f t="shared" si="27"/>
        <v>163.6</v>
      </c>
      <c r="AH362">
        <f t="shared" si="28"/>
        <v>174.3</v>
      </c>
      <c r="AI362">
        <f t="shared" si="29"/>
        <v>1792.6999999999998</v>
      </c>
    </row>
    <row r="363" spans="1:35" x14ac:dyDescent="0.3">
      <c r="A363" t="s">
        <v>30</v>
      </c>
      <c r="B363">
        <v>2023</v>
      </c>
      <c r="C363" t="s">
        <v>34</v>
      </c>
      <c r="D363">
        <v>174.2</v>
      </c>
      <c r="E363">
        <v>205.2</v>
      </c>
      <c r="F363">
        <v>173.9</v>
      </c>
      <c r="G363">
        <v>177</v>
      </c>
      <c r="H363">
        <v>183.4</v>
      </c>
      <c r="I363">
        <v>167.2</v>
      </c>
      <c r="J363">
        <v>140.9</v>
      </c>
      <c r="K363">
        <v>170.4</v>
      </c>
      <c r="L363">
        <v>119.1</v>
      </c>
      <c r="M363">
        <v>212.1</v>
      </c>
      <c r="N363">
        <v>177.6</v>
      </c>
      <c r="O363">
        <v>189.9</v>
      </c>
      <c r="P363">
        <v>174.8</v>
      </c>
      <c r="Q363">
        <v>198.3</v>
      </c>
      <c r="R363">
        <v>190</v>
      </c>
      <c r="S363">
        <v>187</v>
      </c>
      <c r="T363">
        <v>189.6</v>
      </c>
      <c r="U363">
        <v>173.5</v>
      </c>
      <c r="V363">
        <v>181.6</v>
      </c>
      <c r="W363">
        <v>178.6</v>
      </c>
      <c r="X363">
        <v>186.6</v>
      </c>
      <c r="Y363">
        <v>169</v>
      </c>
      <c r="Z363">
        <v>172.8</v>
      </c>
      <c r="AA363">
        <v>178.5</v>
      </c>
      <c r="AB363">
        <v>180.7</v>
      </c>
      <c r="AC363">
        <v>177.9</v>
      </c>
      <c r="AD363">
        <v>178</v>
      </c>
      <c r="AE363">
        <f t="shared" si="25"/>
        <v>2265.6999999999998</v>
      </c>
      <c r="AF363">
        <f t="shared" si="26"/>
        <v>181.6</v>
      </c>
      <c r="AG363">
        <f t="shared" si="27"/>
        <v>169</v>
      </c>
      <c r="AH363">
        <f t="shared" si="28"/>
        <v>178.5</v>
      </c>
      <c r="AI363">
        <f t="shared" si="29"/>
        <v>1835</v>
      </c>
    </row>
    <row r="364" spans="1:35" x14ac:dyDescent="0.3">
      <c r="A364" t="s">
        <v>32</v>
      </c>
      <c r="B364">
        <v>2023</v>
      </c>
      <c r="C364" t="s">
        <v>34</v>
      </c>
      <c r="D364">
        <v>174.7</v>
      </c>
      <c r="E364">
        <v>212.2</v>
      </c>
      <c r="F364">
        <v>177.2</v>
      </c>
      <c r="G364">
        <v>177.9</v>
      </c>
      <c r="H364">
        <v>172.2</v>
      </c>
      <c r="I364">
        <v>172.1</v>
      </c>
      <c r="J364">
        <v>175.8</v>
      </c>
      <c r="K364">
        <v>172.2</v>
      </c>
      <c r="L364">
        <v>121.9</v>
      </c>
      <c r="M364">
        <v>204.8</v>
      </c>
      <c r="N364">
        <v>164.9</v>
      </c>
      <c r="O364">
        <v>196.6</v>
      </c>
      <c r="P364">
        <v>180.7</v>
      </c>
      <c r="Q364">
        <v>202.7</v>
      </c>
      <c r="R364">
        <v>180.3</v>
      </c>
      <c r="S364">
        <v>167</v>
      </c>
      <c r="T364">
        <v>178.2</v>
      </c>
      <c r="U364">
        <v>173.5</v>
      </c>
      <c r="V364">
        <v>182.8</v>
      </c>
      <c r="W364">
        <v>169.2</v>
      </c>
      <c r="X364">
        <v>180.8</v>
      </c>
      <c r="Y364">
        <v>159.80000000000001</v>
      </c>
      <c r="Z364">
        <v>168.4</v>
      </c>
      <c r="AA364">
        <v>172.5</v>
      </c>
      <c r="AB364">
        <v>181.4</v>
      </c>
      <c r="AC364">
        <v>170</v>
      </c>
      <c r="AD364">
        <v>176.3</v>
      </c>
      <c r="AE364">
        <f t="shared" si="25"/>
        <v>2303.1999999999998</v>
      </c>
      <c r="AF364">
        <f t="shared" si="26"/>
        <v>182.8</v>
      </c>
      <c r="AG364">
        <f t="shared" si="27"/>
        <v>159.80000000000001</v>
      </c>
      <c r="AH364">
        <f t="shared" si="28"/>
        <v>172.5</v>
      </c>
      <c r="AI364">
        <f t="shared" si="29"/>
        <v>1771.5000000000002</v>
      </c>
    </row>
    <row r="365" spans="1:35" x14ac:dyDescent="0.3">
      <c r="A365" t="s">
        <v>33</v>
      </c>
      <c r="B365">
        <v>2023</v>
      </c>
      <c r="C365" t="s">
        <v>34</v>
      </c>
      <c r="D365">
        <v>174.4</v>
      </c>
      <c r="E365">
        <v>207.7</v>
      </c>
      <c r="F365">
        <v>175.2</v>
      </c>
      <c r="G365">
        <v>177.3</v>
      </c>
      <c r="H365">
        <v>179.3</v>
      </c>
      <c r="I365">
        <v>169.5</v>
      </c>
      <c r="J365">
        <v>152.69999999999999</v>
      </c>
      <c r="K365">
        <v>171</v>
      </c>
      <c r="L365">
        <v>120</v>
      </c>
      <c r="M365">
        <v>209.7</v>
      </c>
      <c r="N365">
        <v>172.3</v>
      </c>
      <c r="O365">
        <v>193</v>
      </c>
      <c r="P365">
        <v>177</v>
      </c>
      <c r="Q365">
        <v>199.5</v>
      </c>
      <c r="R365">
        <v>186.2</v>
      </c>
      <c r="S365">
        <v>178.7</v>
      </c>
      <c r="T365">
        <v>185.1</v>
      </c>
      <c r="U365">
        <v>173.5</v>
      </c>
      <c r="V365">
        <v>182.1</v>
      </c>
      <c r="W365">
        <v>174.2</v>
      </c>
      <c r="X365">
        <v>184.4</v>
      </c>
      <c r="Y365">
        <v>164.2</v>
      </c>
      <c r="Z365">
        <v>170.3</v>
      </c>
      <c r="AA365">
        <v>175</v>
      </c>
      <c r="AB365">
        <v>181</v>
      </c>
      <c r="AC365">
        <v>174.1</v>
      </c>
      <c r="AD365">
        <v>177.2</v>
      </c>
      <c r="AE365">
        <f t="shared" si="25"/>
        <v>2279.1</v>
      </c>
      <c r="AF365">
        <f t="shared" si="26"/>
        <v>182.1</v>
      </c>
      <c r="AG365">
        <f t="shared" si="27"/>
        <v>164.2</v>
      </c>
      <c r="AH365">
        <f t="shared" si="28"/>
        <v>175</v>
      </c>
      <c r="AI365">
        <f t="shared" si="29"/>
        <v>1807</v>
      </c>
    </row>
    <row r="366" spans="1:35" x14ac:dyDescent="0.3">
      <c r="A366" t="s">
        <v>30</v>
      </c>
      <c r="B366">
        <v>2023</v>
      </c>
      <c r="C366" t="s">
        <v>35</v>
      </c>
      <c r="D366">
        <v>174.3</v>
      </c>
      <c r="E366">
        <v>205.2</v>
      </c>
      <c r="F366">
        <v>173.9</v>
      </c>
      <c r="G366">
        <v>177</v>
      </c>
      <c r="H366">
        <v>183.3</v>
      </c>
      <c r="I366">
        <v>167.2</v>
      </c>
      <c r="J366">
        <v>140.9</v>
      </c>
      <c r="K366">
        <v>170.5</v>
      </c>
      <c r="L366">
        <v>119.1</v>
      </c>
      <c r="M366">
        <v>212.1</v>
      </c>
      <c r="N366">
        <v>177.6</v>
      </c>
      <c r="O366">
        <v>189.9</v>
      </c>
      <c r="P366">
        <v>174.8</v>
      </c>
      <c r="Q366">
        <v>198.4</v>
      </c>
      <c r="R366">
        <v>190</v>
      </c>
      <c r="S366">
        <v>187</v>
      </c>
      <c r="T366">
        <v>189.6</v>
      </c>
      <c r="U366">
        <v>173.5</v>
      </c>
      <c r="V366">
        <v>181.4</v>
      </c>
      <c r="W366">
        <v>178.6</v>
      </c>
      <c r="X366">
        <v>186.6</v>
      </c>
      <c r="Y366">
        <v>169</v>
      </c>
      <c r="Z366">
        <v>172.8</v>
      </c>
      <c r="AA366">
        <v>178.5</v>
      </c>
      <c r="AB366">
        <v>180.7</v>
      </c>
      <c r="AC366">
        <v>177.9</v>
      </c>
      <c r="AD366">
        <v>178</v>
      </c>
      <c r="AE366">
        <f t="shared" si="25"/>
        <v>2265.8000000000002</v>
      </c>
      <c r="AF366">
        <f t="shared" si="26"/>
        <v>181.4</v>
      </c>
      <c r="AG366">
        <f t="shared" si="27"/>
        <v>169</v>
      </c>
      <c r="AH366">
        <f t="shared" si="28"/>
        <v>178.5</v>
      </c>
      <c r="AI366">
        <f t="shared" si="29"/>
        <v>1835.1</v>
      </c>
    </row>
    <row r="367" spans="1:35" x14ac:dyDescent="0.3">
      <c r="A367" t="s">
        <v>32</v>
      </c>
      <c r="B367">
        <v>2023</v>
      </c>
      <c r="C367" t="s">
        <v>35</v>
      </c>
      <c r="D367">
        <v>174.7</v>
      </c>
      <c r="E367">
        <v>212.2</v>
      </c>
      <c r="F367">
        <v>177.2</v>
      </c>
      <c r="G367">
        <v>177.9</v>
      </c>
      <c r="H367">
        <v>172.2</v>
      </c>
      <c r="I367">
        <v>172.1</v>
      </c>
      <c r="J367">
        <v>175.9</v>
      </c>
      <c r="K367">
        <v>172.2</v>
      </c>
      <c r="L367">
        <v>121.9</v>
      </c>
      <c r="M367">
        <v>204.8</v>
      </c>
      <c r="N367">
        <v>164.9</v>
      </c>
      <c r="O367">
        <v>196.6</v>
      </c>
      <c r="P367">
        <v>180.8</v>
      </c>
      <c r="Q367">
        <v>202.7</v>
      </c>
      <c r="R367">
        <v>180.2</v>
      </c>
      <c r="S367">
        <v>167</v>
      </c>
      <c r="T367">
        <v>178.2</v>
      </c>
      <c r="U367">
        <v>173.5</v>
      </c>
      <c r="V367">
        <v>182.6</v>
      </c>
      <c r="W367">
        <v>169.2</v>
      </c>
      <c r="X367">
        <v>180.8</v>
      </c>
      <c r="Y367">
        <v>159.80000000000001</v>
      </c>
      <c r="Z367">
        <v>168.4</v>
      </c>
      <c r="AA367">
        <v>172.5</v>
      </c>
      <c r="AB367">
        <v>181.5</v>
      </c>
      <c r="AC367">
        <v>170</v>
      </c>
      <c r="AD367">
        <v>176.3</v>
      </c>
      <c r="AE367">
        <f t="shared" si="25"/>
        <v>2303.4</v>
      </c>
      <c r="AF367">
        <f t="shared" si="26"/>
        <v>182.6</v>
      </c>
      <c r="AG367">
        <f t="shared" si="27"/>
        <v>159.80000000000001</v>
      </c>
      <c r="AH367">
        <f t="shared" si="28"/>
        <v>172.5</v>
      </c>
      <c r="AI367">
        <f t="shared" si="29"/>
        <v>1771.5</v>
      </c>
    </row>
    <row r="368" spans="1:35" x14ac:dyDescent="0.3">
      <c r="A368" t="s">
        <v>33</v>
      </c>
      <c r="B368">
        <v>2023</v>
      </c>
      <c r="C368" t="s">
        <v>35</v>
      </c>
      <c r="D368">
        <v>174.4</v>
      </c>
      <c r="E368">
        <v>207.7</v>
      </c>
      <c r="F368">
        <v>175.2</v>
      </c>
      <c r="G368">
        <v>177.3</v>
      </c>
      <c r="H368">
        <v>179.2</v>
      </c>
      <c r="I368">
        <v>169.5</v>
      </c>
      <c r="J368">
        <v>152.80000000000001</v>
      </c>
      <c r="K368">
        <v>171.1</v>
      </c>
      <c r="L368">
        <v>120</v>
      </c>
      <c r="M368">
        <v>209.7</v>
      </c>
      <c r="N368">
        <v>172.3</v>
      </c>
      <c r="O368">
        <v>193</v>
      </c>
      <c r="P368">
        <v>177</v>
      </c>
      <c r="Q368">
        <v>199.5</v>
      </c>
      <c r="R368">
        <v>186.1</v>
      </c>
      <c r="S368">
        <v>178.7</v>
      </c>
      <c r="T368">
        <v>185.1</v>
      </c>
      <c r="U368">
        <v>173.5</v>
      </c>
      <c r="V368">
        <v>181.9</v>
      </c>
      <c r="W368">
        <v>174.2</v>
      </c>
      <c r="X368">
        <v>184.4</v>
      </c>
      <c r="Y368">
        <v>164.2</v>
      </c>
      <c r="Z368">
        <v>170.3</v>
      </c>
      <c r="AA368">
        <v>175</v>
      </c>
      <c r="AB368">
        <v>181</v>
      </c>
      <c r="AC368">
        <v>174.1</v>
      </c>
      <c r="AD368">
        <v>177.2</v>
      </c>
      <c r="AE368">
        <f t="shared" si="25"/>
        <v>2279.1999999999998</v>
      </c>
      <c r="AF368">
        <f t="shared" si="26"/>
        <v>181.9</v>
      </c>
      <c r="AG368">
        <f t="shared" si="27"/>
        <v>164.2</v>
      </c>
      <c r="AH368">
        <f t="shared" si="28"/>
        <v>175</v>
      </c>
      <c r="AI368">
        <f t="shared" si="29"/>
        <v>1806.8999999999999</v>
      </c>
    </row>
    <row r="369" spans="1:35" x14ac:dyDescent="0.3">
      <c r="A369" t="s">
        <v>30</v>
      </c>
      <c r="B369">
        <v>2023</v>
      </c>
      <c r="C369" t="s">
        <v>36</v>
      </c>
      <c r="D369">
        <v>173.3</v>
      </c>
      <c r="E369">
        <v>206.9</v>
      </c>
      <c r="F369">
        <v>167.9</v>
      </c>
      <c r="G369">
        <v>178.2</v>
      </c>
      <c r="H369">
        <v>178.5</v>
      </c>
      <c r="I369">
        <v>173.7</v>
      </c>
      <c r="J369">
        <v>142.80000000000001</v>
      </c>
      <c r="K369">
        <v>172.8</v>
      </c>
      <c r="L369">
        <v>120.4</v>
      </c>
      <c r="M369">
        <v>215.5</v>
      </c>
      <c r="N369">
        <v>178.2</v>
      </c>
      <c r="O369">
        <v>190.5</v>
      </c>
      <c r="P369">
        <v>175.5</v>
      </c>
      <c r="Q369">
        <v>199.5</v>
      </c>
      <c r="R369">
        <v>190.7</v>
      </c>
      <c r="S369">
        <v>187.3</v>
      </c>
      <c r="T369">
        <v>190.2</v>
      </c>
      <c r="U369">
        <v>175.2</v>
      </c>
      <c r="V369">
        <v>181.5</v>
      </c>
      <c r="W369">
        <v>179.1</v>
      </c>
      <c r="X369">
        <v>187.2</v>
      </c>
      <c r="Y369">
        <v>169.4</v>
      </c>
      <c r="Z369">
        <v>173.2</v>
      </c>
      <c r="AA369">
        <v>179.4</v>
      </c>
      <c r="AB369">
        <v>183.8</v>
      </c>
      <c r="AC369">
        <v>178.9</v>
      </c>
      <c r="AD369">
        <v>178.8</v>
      </c>
      <c r="AE369">
        <f t="shared" si="25"/>
        <v>2274.1999999999998</v>
      </c>
      <c r="AF369">
        <f t="shared" si="26"/>
        <v>181.5</v>
      </c>
      <c r="AG369">
        <f t="shared" si="27"/>
        <v>169.4</v>
      </c>
      <c r="AH369">
        <f t="shared" si="28"/>
        <v>179.4</v>
      </c>
      <c r="AI369">
        <f t="shared" si="29"/>
        <v>1845.1000000000001</v>
      </c>
    </row>
    <row r="370" spans="1:35" x14ac:dyDescent="0.3">
      <c r="A370" t="s">
        <v>32</v>
      </c>
      <c r="B370">
        <v>2023</v>
      </c>
      <c r="C370" t="s">
        <v>36</v>
      </c>
      <c r="D370">
        <v>174.8</v>
      </c>
      <c r="E370">
        <v>213.7</v>
      </c>
      <c r="F370">
        <v>172.4</v>
      </c>
      <c r="G370">
        <v>178.8</v>
      </c>
      <c r="H370">
        <v>168.7</v>
      </c>
      <c r="I370">
        <v>179.2</v>
      </c>
      <c r="J370">
        <v>179.9</v>
      </c>
      <c r="K370">
        <v>174.7</v>
      </c>
      <c r="L370">
        <v>123.1</v>
      </c>
      <c r="M370">
        <v>207.8</v>
      </c>
      <c r="N370">
        <v>165.5</v>
      </c>
      <c r="O370">
        <v>197</v>
      </c>
      <c r="P370">
        <v>182.1</v>
      </c>
      <c r="Q370">
        <v>203.5</v>
      </c>
      <c r="R370">
        <v>181</v>
      </c>
      <c r="S370">
        <v>167.7</v>
      </c>
      <c r="T370">
        <v>178.9</v>
      </c>
      <c r="U370">
        <v>175.2</v>
      </c>
      <c r="V370">
        <v>182.1</v>
      </c>
      <c r="W370">
        <v>169.6</v>
      </c>
      <c r="X370">
        <v>181.5</v>
      </c>
      <c r="Y370">
        <v>160.1</v>
      </c>
      <c r="Z370">
        <v>168.8</v>
      </c>
      <c r="AA370">
        <v>174.2</v>
      </c>
      <c r="AB370">
        <v>184.4</v>
      </c>
      <c r="AC370">
        <v>170.9</v>
      </c>
      <c r="AD370">
        <v>177.4</v>
      </c>
      <c r="AE370">
        <f t="shared" si="25"/>
        <v>2317.7000000000003</v>
      </c>
      <c r="AF370">
        <f t="shared" si="26"/>
        <v>182.1</v>
      </c>
      <c r="AG370">
        <f t="shared" si="27"/>
        <v>160.1</v>
      </c>
      <c r="AH370">
        <f t="shared" si="28"/>
        <v>174.2</v>
      </c>
      <c r="AI370">
        <f t="shared" si="29"/>
        <v>1781.5</v>
      </c>
    </row>
    <row r="371" spans="1:35" x14ac:dyDescent="0.3">
      <c r="A371" t="s">
        <v>33</v>
      </c>
      <c r="B371">
        <v>2023</v>
      </c>
      <c r="C371" t="s">
        <v>36</v>
      </c>
      <c r="D371">
        <v>173.8</v>
      </c>
      <c r="E371">
        <v>209.3</v>
      </c>
      <c r="F371">
        <v>169.6</v>
      </c>
      <c r="G371">
        <v>178.4</v>
      </c>
      <c r="H371">
        <v>174.9</v>
      </c>
      <c r="I371">
        <v>176.3</v>
      </c>
      <c r="J371">
        <v>155.4</v>
      </c>
      <c r="K371">
        <v>173.4</v>
      </c>
      <c r="L371">
        <v>121.3</v>
      </c>
      <c r="M371">
        <v>212.9</v>
      </c>
      <c r="N371">
        <v>172.9</v>
      </c>
      <c r="O371">
        <v>193.5</v>
      </c>
      <c r="P371">
        <v>177.9</v>
      </c>
      <c r="Q371">
        <v>200.6</v>
      </c>
      <c r="R371">
        <v>186.9</v>
      </c>
      <c r="S371">
        <v>179.2</v>
      </c>
      <c r="T371">
        <v>185.7</v>
      </c>
      <c r="U371">
        <v>175.2</v>
      </c>
      <c r="V371">
        <v>181.7</v>
      </c>
      <c r="W371">
        <v>174.6</v>
      </c>
      <c r="X371">
        <v>185</v>
      </c>
      <c r="Y371">
        <v>164.5</v>
      </c>
      <c r="Z371">
        <v>170.7</v>
      </c>
      <c r="AA371">
        <v>176.4</v>
      </c>
      <c r="AB371">
        <v>184</v>
      </c>
      <c r="AC371">
        <v>175</v>
      </c>
      <c r="AD371">
        <v>178.1</v>
      </c>
      <c r="AE371">
        <f t="shared" si="25"/>
        <v>2289.6000000000004</v>
      </c>
      <c r="AF371">
        <f t="shared" si="26"/>
        <v>181.7</v>
      </c>
      <c r="AG371">
        <f t="shared" si="27"/>
        <v>164.5</v>
      </c>
      <c r="AH371">
        <f t="shared" si="28"/>
        <v>176.4</v>
      </c>
      <c r="AI371">
        <f t="shared" si="29"/>
        <v>1816.9</v>
      </c>
    </row>
    <row r="372" spans="1:35" x14ac:dyDescent="0.3">
      <c r="A372" t="s">
        <v>30</v>
      </c>
      <c r="B372">
        <v>2023</v>
      </c>
      <c r="C372" t="s">
        <v>37</v>
      </c>
      <c r="D372">
        <v>173.2</v>
      </c>
      <c r="E372">
        <v>211.5</v>
      </c>
      <c r="F372">
        <v>171</v>
      </c>
      <c r="G372">
        <v>179.6</v>
      </c>
      <c r="H372">
        <v>173.3</v>
      </c>
      <c r="I372">
        <v>169</v>
      </c>
      <c r="J372">
        <v>148.69999999999999</v>
      </c>
      <c r="K372">
        <v>174.9</v>
      </c>
      <c r="L372">
        <v>121.9</v>
      </c>
      <c r="M372">
        <v>221</v>
      </c>
      <c r="N372">
        <v>178.7</v>
      </c>
      <c r="O372">
        <v>191.1</v>
      </c>
      <c r="P372">
        <v>176.8</v>
      </c>
      <c r="Q372">
        <v>199.9</v>
      </c>
      <c r="R372">
        <v>191.2</v>
      </c>
      <c r="S372">
        <v>187.9</v>
      </c>
      <c r="T372">
        <v>190.8</v>
      </c>
      <c r="U372">
        <v>175.6</v>
      </c>
      <c r="V372">
        <v>182.5</v>
      </c>
      <c r="W372">
        <v>179.8</v>
      </c>
      <c r="X372">
        <v>187.8</v>
      </c>
      <c r="Y372">
        <v>169.7</v>
      </c>
      <c r="Z372">
        <v>173.8</v>
      </c>
      <c r="AA372">
        <v>180.3</v>
      </c>
      <c r="AB372">
        <v>184.9</v>
      </c>
      <c r="AC372">
        <v>179.5</v>
      </c>
      <c r="AD372">
        <v>179.8</v>
      </c>
      <c r="AE372">
        <f t="shared" si="25"/>
        <v>2290.7000000000007</v>
      </c>
      <c r="AF372">
        <f t="shared" si="26"/>
        <v>182.5</v>
      </c>
      <c r="AG372">
        <f t="shared" si="27"/>
        <v>169.7</v>
      </c>
      <c r="AH372">
        <f t="shared" si="28"/>
        <v>180.3</v>
      </c>
      <c r="AI372">
        <f t="shared" si="29"/>
        <v>1851.2</v>
      </c>
    </row>
    <row r="373" spans="1:35" x14ac:dyDescent="0.3">
      <c r="A373" t="s">
        <v>32</v>
      </c>
      <c r="B373">
        <v>2023</v>
      </c>
      <c r="C373" t="s">
        <v>37</v>
      </c>
      <c r="D373">
        <v>174.7</v>
      </c>
      <c r="E373">
        <v>219.4</v>
      </c>
      <c r="F373">
        <v>176.7</v>
      </c>
      <c r="G373">
        <v>179.4</v>
      </c>
      <c r="H373">
        <v>164.4</v>
      </c>
      <c r="I373">
        <v>175.8</v>
      </c>
      <c r="J373">
        <v>185</v>
      </c>
      <c r="K373">
        <v>176.9</v>
      </c>
      <c r="L373">
        <v>124.2</v>
      </c>
      <c r="M373">
        <v>211.9</v>
      </c>
      <c r="N373">
        <v>165.9</v>
      </c>
      <c r="O373">
        <v>197.7</v>
      </c>
      <c r="P373">
        <v>183.1</v>
      </c>
      <c r="Q373">
        <v>204.2</v>
      </c>
      <c r="R373">
        <v>181.3</v>
      </c>
      <c r="S373">
        <v>168.1</v>
      </c>
      <c r="T373">
        <v>179.3</v>
      </c>
      <c r="U373">
        <v>175.6</v>
      </c>
      <c r="V373">
        <v>183.4</v>
      </c>
      <c r="W373">
        <v>170.1</v>
      </c>
      <c r="X373">
        <v>182.2</v>
      </c>
      <c r="Y373">
        <v>160.4</v>
      </c>
      <c r="Z373">
        <v>169.2</v>
      </c>
      <c r="AA373">
        <v>174.8</v>
      </c>
      <c r="AB373">
        <v>185.6</v>
      </c>
      <c r="AC373">
        <v>171.6</v>
      </c>
      <c r="AD373">
        <v>178.2</v>
      </c>
      <c r="AE373">
        <f t="shared" si="25"/>
        <v>2335.1</v>
      </c>
      <c r="AF373">
        <f t="shared" si="26"/>
        <v>183.4</v>
      </c>
      <c r="AG373">
        <f t="shared" si="27"/>
        <v>160.4</v>
      </c>
      <c r="AH373">
        <f t="shared" si="28"/>
        <v>174.8</v>
      </c>
      <c r="AI373">
        <f t="shared" si="29"/>
        <v>1787.2</v>
      </c>
    </row>
    <row r="374" spans="1:35" x14ac:dyDescent="0.3">
      <c r="A374" t="s">
        <v>33</v>
      </c>
      <c r="B374">
        <v>2023</v>
      </c>
      <c r="C374" t="s">
        <v>37</v>
      </c>
      <c r="D374">
        <v>173.7</v>
      </c>
      <c r="E374">
        <v>214.3</v>
      </c>
      <c r="F374">
        <v>173.2</v>
      </c>
      <c r="G374">
        <v>179.5</v>
      </c>
      <c r="H374">
        <v>170</v>
      </c>
      <c r="I374">
        <v>172.2</v>
      </c>
      <c r="J374">
        <v>161</v>
      </c>
      <c r="K374">
        <v>175.6</v>
      </c>
      <c r="L374">
        <v>122.7</v>
      </c>
      <c r="M374">
        <v>218</v>
      </c>
      <c r="N374">
        <v>173.4</v>
      </c>
      <c r="O374">
        <v>194.2</v>
      </c>
      <c r="P374">
        <v>179.1</v>
      </c>
      <c r="Q374">
        <v>201</v>
      </c>
      <c r="R374">
        <v>187.3</v>
      </c>
      <c r="S374">
        <v>179.7</v>
      </c>
      <c r="T374">
        <v>186.2</v>
      </c>
      <c r="U374">
        <v>175.6</v>
      </c>
      <c r="V374">
        <v>182.8</v>
      </c>
      <c r="W374">
        <v>175.2</v>
      </c>
      <c r="X374">
        <v>185.7</v>
      </c>
      <c r="Y374">
        <v>164.8</v>
      </c>
      <c r="Z374">
        <v>171.2</v>
      </c>
      <c r="AA374">
        <v>177.1</v>
      </c>
      <c r="AB374">
        <v>185.2</v>
      </c>
      <c r="AC374">
        <v>175.7</v>
      </c>
      <c r="AD374">
        <v>179.1</v>
      </c>
      <c r="AE374">
        <f t="shared" si="25"/>
        <v>2306.9</v>
      </c>
      <c r="AF374">
        <f t="shared" si="26"/>
        <v>182.8</v>
      </c>
      <c r="AG374">
        <f t="shared" si="27"/>
        <v>164.8</v>
      </c>
      <c r="AH374">
        <f t="shared" si="28"/>
        <v>177.1</v>
      </c>
      <c r="AI374">
        <f t="shared" si="29"/>
        <v>1822.8000000000002</v>
      </c>
    </row>
  </sheetData>
  <mergeCells count="1">
    <mergeCell ref="AE1:AI1"/>
  </mergeCells>
  <pageMargins left="0.7" right="0.7" top="0.75" bottom="0.75" header="0.3" footer="0.3"/>
  <ignoredErrors>
    <ignoredError sqref="AE3:AE374"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D2A68-A6D0-4067-8E6F-EB0E54CDA88F}">
  <dimension ref="A1:C75"/>
  <sheetViews>
    <sheetView topLeftCell="A11" workbookViewId="0">
      <selection sqref="A1:B15"/>
    </sheetView>
  </sheetViews>
  <sheetFormatPr defaultRowHeight="14.4" x14ac:dyDescent="0.3"/>
  <cols>
    <col min="1" max="1" width="12.5546875" bestFit="1" customWidth="1"/>
    <col min="2" max="2" width="22.33203125" bestFit="1" customWidth="1"/>
  </cols>
  <sheetData>
    <row r="1" spans="1:2" x14ac:dyDescent="0.3">
      <c r="A1" s="47" t="s">
        <v>0</v>
      </c>
      <c r="B1" t="s">
        <v>33</v>
      </c>
    </row>
    <row r="3" spans="1:2" x14ac:dyDescent="0.3">
      <c r="A3" s="47" t="s">
        <v>131</v>
      </c>
      <c r="B3" t="s">
        <v>139</v>
      </c>
    </row>
    <row r="4" spans="1:2" x14ac:dyDescent="0.3">
      <c r="A4" s="48">
        <v>2013</v>
      </c>
      <c r="B4" s="51">
        <v>110.03333333333332</v>
      </c>
    </row>
    <row r="5" spans="1:2" x14ac:dyDescent="0.3">
      <c r="A5" s="48">
        <v>2014</v>
      </c>
      <c r="B5" s="51">
        <v>117.34999999999998</v>
      </c>
    </row>
    <row r="6" spans="1:2" x14ac:dyDescent="0.3">
      <c r="A6" s="48">
        <v>2015</v>
      </c>
      <c r="B6" s="51">
        <v>123.10833333333331</v>
      </c>
    </row>
    <row r="7" spans="1:2" x14ac:dyDescent="0.3">
      <c r="A7" s="48">
        <v>2016</v>
      </c>
      <c r="B7" s="51">
        <v>129.19999999999996</v>
      </c>
    </row>
    <row r="8" spans="1:2" x14ac:dyDescent="0.3">
      <c r="A8" s="48">
        <v>2017</v>
      </c>
      <c r="B8" s="51">
        <v>133.49999999999997</v>
      </c>
    </row>
    <row r="9" spans="1:2" x14ac:dyDescent="0.3">
      <c r="A9" s="48">
        <v>2018</v>
      </c>
      <c r="B9" s="51">
        <v>138.77500000000001</v>
      </c>
    </row>
    <row r="10" spans="1:2" x14ac:dyDescent="0.3">
      <c r="A10" s="48">
        <v>2019</v>
      </c>
      <c r="B10" s="51">
        <v>144.18181818181822</v>
      </c>
    </row>
    <row r="11" spans="1:2" x14ac:dyDescent="0.3">
      <c r="A11" s="48">
        <v>2020</v>
      </c>
      <c r="B11" s="51">
        <v>152.58333333333331</v>
      </c>
    </row>
    <row r="12" spans="1:2" x14ac:dyDescent="0.3">
      <c r="A12" s="48">
        <v>2021</v>
      </c>
      <c r="B12" s="51">
        <v>161.45833333333331</v>
      </c>
    </row>
    <row r="13" spans="1:2" x14ac:dyDescent="0.3">
      <c r="A13" s="48">
        <v>2022</v>
      </c>
      <c r="B13" s="51">
        <v>172.14999999999998</v>
      </c>
    </row>
    <row r="14" spans="1:2" x14ac:dyDescent="0.3">
      <c r="A14" s="48">
        <v>2023</v>
      </c>
      <c r="B14" s="51">
        <v>177.61999999999998</v>
      </c>
    </row>
    <row r="15" spans="1:2" x14ac:dyDescent="0.3">
      <c r="A15" s="48" t="s">
        <v>132</v>
      </c>
      <c r="B15" s="51">
        <v>139.7741935483871</v>
      </c>
    </row>
    <row r="17" spans="1:3" x14ac:dyDescent="0.3">
      <c r="A17" t="s">
        <v>1</v>
      </c>
      <c r="B17" t="s">
        <v>133</v>
      </c>
      <c r="C17" t="s">
        <v>134</v>
      </c>
    </row>
    <row r="18" spans="1:3" x14ac:dyDescent="0.3">
      <c r="A18">
        <v>2013</v>
      </c>
      <c r="B18" s="51">
        <v>1446.3916666666664</v>
      </c>
      <c r="C18">
        <v>0</v>
      </c>
    </row>
    <row r="19" spans="1:3" x14ac:dyDescent="0.3">
      <c r="A19">
        <v>2014</v>
      </c>
      <c r="B19" s="51">
        <v>1542.0833333333333</v>
      </c>
      <c r="C19" s="50">
        <f>(B19-B18)/B18*100</f>
        <v>6.6158889650682573</v>
      </c>
    </row>
    <row r="20" spans="1:3" x14ac:dyDescent="0.3">
      <c r="A20">
        <v>2015</v>
      </c>
      <c r="B20" s="51">
        <v>1624.425</v>
      </c>
      <c r="C20" s="50">
        <f t="shared" ref="C20:C28" si="0">(B20-B19)/B19*100</f>
        <v>5.3396379356930579</v>
      </c>
    </row>
    <row r="21" spans="1:3" x14ac:dyDescent="0.3">
      <c r="A21">
        <v>2016</v>
      </c>
      <c r="B21" s="51">
        <v>1735.8083333333332</v>
      </c>
      <c r="C21" s="50">
        <f t="shared" si="0"/>
        <v>6.8567852214373213</v>
      </c>
    </row>
    <row r="22" spans="1:3" x14ac:dyDescent="0.3">
      <c r="A22">
        <v>2017</v>
      </c>
      <c r="B22" s="51">
        <v>1753.9416666666666</v>
      </c>
      <c r="C22" s="50">
        <f t="shared" si="0"/>
        <v>1.0446621890857828</v>
      </c>
    </row>
    <row r="23" spans="1:3" x14ac:dyDescent="0.3">
      <c r="A23">
        <v>2018</v>
      </c>
      <c r="B23" s="51">
        <v>1772.9583333333333</v>
      </c>
      <c r="C23" s="50">
        <f t="shared" si="0"/>
        <v>1.0842245798748524</v>
      </c>
    </row>
    <row r="24" spans="1:3" x14ac:dyDescent="0.3">
      <c r="A24">
        <v>2019</v>
      </c>
      <c r="B24" s="51">
        <v>1833.0636363636365</v>
      </c>
      <c r="C24" s="50">
        <f t="shared" si="0"/>
        <v>3.3901136817637156</v>
      </c>
    </row>
    <row r="25" spans="1:3" x14ac:dyDescent="0.3">
      <c r="A25">
        <v>2020</v>
      </c>
      <c r="B25" s="51">
        <v>1986.2583333333332</v>
      </c>
      <c r="C25" s="50">
        <f t="shared" si="0"/>
        <v>8.3573038017162684</v>
      </c>
    </row>
    <row r="26" spans="1:3" x14ac:dyDescent="0.3">
      <c r="A26">
        <v>2021</v>
      </c>
      <c r="B26" s="51">
        <v>2120.0333333333333</v>
      </c>
      <c r="C26" s="50">
        <f t="shared" si="0"/>
        <v>6.7350252358916105</v>
      </c>
    </row>
    <row r="27" spans="1:3" x14ac:dyDescent="0.3">
      <c r="A27">
        <v>2022</v>
      </c>
      <c r="B27" s="51">
        <v>2243.2166666666667</v>
      </c>
      <c r="C27" s="50">
        <f t="shared" si="0"/>
        <v>5.8104432320246566</v>
      </c>
    </row>
    <row r="28" spans="1:3" x14ac:dyDescent="0.3">
      <c r="A28">
        <v>2023</v>
      </c>
      <c r="B28" s="51">
        <v>2289.5</v>
      </c>
      <c r="C28" s="50">
        <f t="shared" si="0"/>
        <v>2.0632573759407977</v>
      </c>
    </row>
    <row r="29" spans="1:3" x14ac:dyDescent="0.3">
      <c r="A29" t="s">
        <v>132</v>
      </c>
      <c r="B29" s="51">
        <v>1825.1016129032253</v>
      </c>
      <c r="C29" s="50"/>
    </row>
    <row r="32" spans="1:3" x14ac:dyDescent="0.3">
      <c r="A32" t="s">
        <v>1</v>
      </c>
      <c r="B32" t="s">
        <v>94</v>
      </c>
      <c r="C32" t="s">
        <v>134</v>
      </c>
    </row>
    <row r="33" spans="1:3" x14ac:dyDescent="0.3">
      <c r="A33">
        <v>2013</v>
      </c>
      <c r="B33" s="51">
        <v>108.63333333333334</v>
      </c>
      <c r="C33">
        <v>0</v>
      </c>
    </row>
    <row r="34" spans="1:3" x14ac:dyDescent="0.3">
      <c r="A34">
        <v>2014</v>
      </c>
      <c r="B34" s="51">
        <v>113.61666666666667</v>
      </c>
      <c r="C34" s="50">
        <f t="shared" ref="C34:C43" si="1">(B34-B33)/B33*100</f>
        <v>4.58729671678429</v>
      </c>
    </row>
    <row r="35" spans="1:3" x14ac:dyDescent="0.3">
      <c r="A35">
        <v>2015</v>
      </c>
      <c r="B35" s="51">
        <v>119.64166666666665</v>
      </c>
      <c r="C35" s="50">
        <f t="shared" si="1"/>
        <v>5.3029191726565736</v>
      </c>
    </row>
    <row r="36" spans="1:3" x14ac:dyDescent="0.3">
      <c r="A36">
        <v>2016</v>
      </c>
      <c r="B36" s="51">
        <v>123.625</v>
      </c>
      <c r="C36" s="50">
        <f t="shared" si="1"/>
        <v>3.3293863620533668</v>
      </c>
    </row>
    <row r="37" spans="1:3" x14ac:dyDescent="0.3">
      <c r="A37">
        <v>2017</v>
      </c>
      <c r="B37" s="51">
        <v>130.50833333333333</v>
      </c>
      <c r="C37" s="50">
        <f t="shared" si="1"/>
        <v>5.5679137175598186</v>
      </c>
    </row>
    <row r="38" spans="1:3" x14ac:dyDescent="0.3">
      <c r="A38">
        <v>2018</v>
      </c>
      <c r="B38" s="51">
        <v>139.77500000000001</v>
      </c>
      <c r="C38" s="50">
        <f t="shared" si="1"/>
        <v>7.1004405848924188</v>
      </c>
    </row>
    <row r="39" spans="1:3" x14ac:dyDescent="0.3">
      <c r="A39">
        <v>2019</v>
      </c>
      <c r="B39" s="51">
        <v>140.24545454545455</v>
      </c>
      <c r="C39" s="50">
        <f t="shared" si="1"/>
        <v>0.33657989300986862</v>
      </c>
    </row>
    <row r="40" spans="1:3" x14ac:dyDescent="0.3">
      <c r="A40">
        <v>2020</v>
      </c>
      <c r="B40" s="51">
        <v>144.15833333333333</v>
      </c>
      <c r="C40" s="50">
        <f t="shared" si="1"/>
        <v>2.7900218232103846</v>
      </c>
    </row>
    <row r="41" spans="1:3" x14ac:dyDescent="0.3">
      <c r="A41">
        <v>2021</v>
      </c>
      <c r="B41" s="51">
        <v>159.05833333333334</v>
      </c>
      <c r="C41" s="50">
        <f t="shared" si="1"/>
        <v>10.335857564021046</v>
      </c>
    </row>
    <row r="42" spans="1:3" x14ac:dyDescent="0.3">
      <c r="A42">
        <v>2022</v>
      </c>
      <c r="B42" s="51">
        <v>175.13333333333333</v>
      </c>
      <c r="C42" s="50">
        <f t="shared" si="1"/>
        <v>10.106355110808396</v>
      </c>
    </row>
    <row r="43" spans="1:3" x14ac:dyDescent="0.3">
      <c r="A43">
        <v>2023</v>
      </c>
      <c r="B43" s="51">
        <v>182.1</v>
      </c>
      <c r="C43" s="50">
        <f t="shared" si="1"/>
        <v>3.9779215835553874</v>
      </c>
    </row>
    <row r="44" spans="1:3" x14ac:dyDescent="0.3">
      <c r="A44" t="s">
        <v>132</v>
      </c>
      <c r="B44" s="51">
        <v>137.28225806451618</v>
      </c>
    </row>
    <row r="46" spans="1:3" x14ac:dyDescent="0.3">
      <c r="A46" t="s">
        <v>131</v>
      </c>
      <c r="B46" t="s">
        <v>135</v>
      </c>
    </row>
    <row r="47" spans="1:3" x14ac:dyDescent="0.3">
      <c r="A47">
        <v>2013</v>
      </c>
      <c r="B47" s="51">
        <v>106.67500000000001</v>
      </c>
      <c r="C47">
        <v>0</v>
      </c>
    </row>
    <row r="48" spans="1:3" x14ac:dyDescent="0.3">
      <c r="A48">
        <v>2014</v>
      </c>
      <c r="B48" s="51">
        <v>111.50833333333333</v>
      </c>
      <c r="C48" s="50">
        <f t="shared" ref="C48:C57" si="2">(B48-B47)/B47*100</f>
        <v>4.5308960237481264</v>
      </c>
    </row>
    <row r="49" spans="1:3" x14ac:dyDescent="0.3">
      <c r="A49">
        <v>2015</v>
      </c>
      <c r="B49" s="51">
        <v>111.09166666666668</v>
      </c>
      <c r="C49" s="50">
        <f t="shared" si="2"/>
        <v>-0.37366415066136432</v>
      </c>
    </row>
    <row r="50" spans="1:3" x14ac:dyDescent="0.3">
      <c r="A50">
        <v>2016</v>
      </c>
      <c r="B50" s="51">
        <v>113.39166666666667</v>
      </c>
      <c r="C50" s="50">
        <f t="shared" si="2"/>
        <v>2.0703623134048299</v>
      </c>
    </row>
    <row r="51" spans="1:3" x14ac:dyDescent="0.3">
      <c r="A51">
        <v>2017</v>
      </c>
      <c r="B51" s="51">
        <v>117.33333333333333</v>
      </c>
      <c r="C51" s="50">
        <f t="shared" si="2"/>
        <v>3.4761519805982179</v>
      </c>
    </row>
    <row r="52" spans="1:3" x14ac:dyDescent="0.3">
      <c r="A52">
        <v>2018</v>
      </c>
      <c r="B52" s="51">
        <v>123.125</v>
      </c>
      <c r="C52" s="50">
        <f t="shared" si="2"/>
        <v>4.9360795454545494</v>
      </c>
    </row>
    <row r="53" spans="1:3" x14ac:dyDescent="0.3">
      <c r="A53">
        <v>2019</v>
      </c>
      <c r="B53" s="51">
        <v>125.59090909090909</v>
      </c>
      <c r="C53" s="50">
        <f t="shared" si="2"/>
        <v>2.0027688047992638</v>
      </c>
    </row>
    <row r="54" spans="1:3" x14ac:dyDescent="0.3">
      <c r="A54">
        <v>2020</v>
      </c>
      <c r="B54" s="51">
        <v>135.05833333333337</v>
      </c>
      <c r="C54" s="50">
        <f t="shared" si="2"/>
        <v>7.5383037760888154</v>
      </c>
    </row>
    <row r="55" spans="1:3" x14ac:dyDescent="0.3">
      <c r="A55">
        <v>2021</v>
      </c>
      <c r="B55" s="51">
        <v>150.55833333333334</v>
      </c>
      <c r="C55" s="50">
        <f t="shared" si="2"/>
        <v>11.476522490281953</v>
      </c>
    </row>
    <row r="56" spans="1:3" x14ac:dyDescent="0.3">
      <c r="A56">
        <v>2022</v>
      </c>
      <c r="B56" s="51">
        <v>161.09166666666667</v>
      </c>
      <c r="C56" s="50">
        <f t="shared" si="2"/>
        <v>6.9961808822715437</v>
      </c>
    </row>
    <row r="57" spans="1:3" x14ac:dyDescent="0.3">
      <c r="A57">
        <v>2023</v>
      </c>
      <c r="B57" s="51">
        <v>164.26000000000002</v>
      </c>
      <c r="C57" s="50">
        <f t="shared" si="2"/>
        <v>1.9667890952356426</v>
      </c>
    </row>
    <row r="58" spans="1:3" x14ac:dyDescent="0.3">
      <c r="A58" t="s">
        <v>132</v>
      </c>
      <c r="B58" s="51">
        <v>127.1032258064516</v>
      </c>
    </row>
    <row r="63" spans="1:3" x14ac:dyDescent="0.3">
      <c r="A63" s="49" t="s">
        <v>131</v>
      </c>
      <c r="B63" s="49" t="s">
        <v>139</v>
      </c>
    </row>
    <row r="64" spans="1:3" x14ac:dyDescent="0.3">
      <c r="A64" s="48">
        <v>2013</v>
      </c>
      <c r="B64" s="51">
        <v>110.03333333333332</v>
      </c>
      <c r="C64">
        <v>0</v>
      </c>
    </row>
    <row r="65" spans="1:3" x14ac:dyDescent="0.3">
      <c r="A65" s="48">
        <v>2014</v>
      </c>
      <c r="B65" s="51">
        <v>117.34999999999998</v>
      </c>
      <c r="C65" s="54">
        <f>(B65-B64)/B64</f>
        <v>6.6495001514692495E-2</v>
      </c>
    </row>
    <row r="66" spans="1:3" x14ac:dyDescent="0.3">
      <c r="A66" s="48">
        <v>2015</v>
      </c>
      <c r="B66" s="51">
        <v>123.10833333333331</v>
      </c>
      <c r="C66" s="54">
        <f t="shared" ref="C66:C74" si="3">(B66-B65)/B65</f>
        <v>4.9069734412725406E-2</v>
      </c>
    </row>
    <row r="67" spans="1:3" x14ac:dyDescent="0.3">
      <c r="A67" s="48">
        <v>2016</v>
      </c>
      <c r="B67" s="51">
        <v>129.19999999999996</v>
      </c>
      <c r="C67" s="54">
        <f t="shared" si="3"/>
        <v>4.9482163406213947E-2</v>
      </c>
    </row>
    <row r="68" spans="1:3" x14ac:dyDescent="0.3">
      <c r="A68" s="48">
        <v>2017</v>
      </c>
      <c r="B68" s="51">
        <v>133.49999999999997</v>
      </c>
      <c r="C68" s="54">
        <f t="shared" si="3"/>
        <v>3.3281733746130131E-2</v>
      </c>
    </row>
    <row r="69" spans="1:3" x14ac:dyDescent="0.3">
      <c r="A69" s="48">
        <v>2018</v>
      </c>
      <c r="B69" s="51">
        <v>138.77500000000001</v>
      </c>
      <c r="C69" s="54">
        <f t="shared" si="3"/>
        <v>3.9513108614232476E-2</v>
      </c>
    </row>
    <row r="70" spans="1:3" x14ac:dyDescent="0.3">
      <c r="A70" s="48">
        <v>2019</v>
      </c>
      <c r="B70" s="51">
        <v>144.18181818181822</v>
      </c>
      <c r="C70" s="54">
        <f t="shared" si="3"/>
        <v>3.8961038961039161E-2</v>
      </c>
    </row>
    <row r="71" spans="1:3" x14ac:dyDescent="0.3">
      <c r="A71" s="48">
        <v>2020</v>
      </c>
      <c r="B71" s="51">
        <v>152.58333333333331</v>
      </c>
      <c r="C71" s="54">
        <f t="shared" si="3"/>
        <v>5.827028163093699E-2</v>
      </c>
    </row>
    <row r="72" spans="1:3" x14ac:dyDescent="0.3">
      <c r="A72" s="48">
        <v>2021</v>
      </c>
      <c r="B72" s="51">
        <v>161.45833333333331</v>
      </c>
      <c r="C72" s="54">
        <f t="shared" si="3"/>
        <v>5.8164937192790832E-2</v>
      </c>
    </row>
    <row r="73" spans="1:3" x14ac:dyDescent="0.3">
      <c r="A73" s="48">
        <v>2022</v>
      </c>
      <c r="B73" s="51">
        <v>172.14999999999998</v>
      </c>
      <c r="C73" s="54">
        <f t="shared" si="3"/>
        <v>6.6219354838709665E-2</v>
      </c>
    </row>
    <row r="74" spans="1:3" x14ac:dyDescent="0.3">
      <c r="A74" s="48">
        <v>2023</v>
      </c>
      <c r="B74" s="51">
        <v>177.61999999999998</v>
      </c>
      <c r="C74" s="54">
        <f t="shared" si="3"/>
        <v>3.1774615161196632E-2</v>
      </c>
    </row>
    <row r="75" spans="1:3" x14ac:dyDescent="0.3">
      <c r="A75" s="52" t="s">
        <v>132</v>
      </c>
      <c r="B75" s="53">
        <v>139.7741935483871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453B9-6E58-410D-9854-7F42C4B94DCE}">
  <dimension ref="A1:AN378"/>
  <sheetViews>
    <sheetView tabSelected="1" topLeftCell="A363" workbookViewId="0">
      <selection activeCell="P378" sqref="P378"/>
    </sheetView>
  </sheetViews>
  <sheetFormatPr defaultRowHeight="14.4" x14ac:dyDescent="0.3"/>
  <cols>
    <col min="2" max="2" width="10.33203125" bestFit="1" customWidth="1"/>
    <col min="5" max="5" width="11.21875" bestFit="1" customWidth="1"/>
  </cols>
  <sheetData>
    <row r="1" spans="1:40" x14ac:dyDescent="0.3">
      <c r="A1" t="s">
        <v>0</v>
      </c>
      <c r="B1" t="s">
        <v>107</v>
      </c>
      <c r="C1" t="s">
        <v>1</v>
      </c>
      <c r="D1" t="s">
        <v>2</v>
      </c>
      <c r="F1" t="s">
        <v>108</v>
      </c>
      <c r="G1" s="1" t="s">
        <v>3</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t="s">
        <v>20</v>
      </c>
      <c r="Y1" t="s">
        <v>21</v>
      </c>
      <c r="Z1" t="s">
        <v>22</v>
      </c>
      <c r="AA1" t="s">
        <v>23</v>
      </c>
      <c r="AB1" t="s">
        <v>24</v>
      </c>
      <c r="AC1" t="s">
        <v>25</v>
      </c>
      <c r="AD1" t="s">
        <v>26</v>
      </c>
      <c r="AE1" t="s">
        <v>27</v>
      </c>
      <c r="AF1" t="s">
        <v>28</v>
      </c>
      <c r="AG1" t="s">
        <v>29</v>
      </c>
      <c r="AH1" t="s">
        <v>47</v>
      </c>
      <c r="AI1" t="s">
        <v>53</v>
      </c>
      <c r="AJ1" t="s">
        <v>54</v>
      </c>
      <c r="AK1" t="s">
        <v>26</v>
      </c>
      <c r="AL1" t="s">
        <v>55</v>
      </c>
      <c r="AM1" t="s">
        <v>302</v>
      </c>
    </row>
    <row r="2" spans="1:40" x14ac:dyDescent="0.3">
      <c r="A2" t="s">
        <v>30</v>
      </c>
      <c r="B2" s="28">
        <f>DATE(C2,F2,1)</f>
        <v>41275</v>
      </c>
      <c r="C2">
        <v>2013</v>
      </c>
      <c r="D2" t="s">
        <v>31</v>
      </c>
      <c r="E2" t="str">
        <f>_xlfn.CONCAT(TEXT(B2,"mmm"),,"-",RIGHT(C2,2))</f>
        <v>Jan-13</v>
      </c>
      <c r="F2">
        <f>VLOOKUP(D2,'Problem Statement 4'!$G$2:$H$13,2,0)</f>
        <v>1</v>
      </c>
      <c r="G2">
        <v>107.5</v>
      </c>
      <c r="H2">
        <v>106.3</v>
      </c>
      <c r="I2">
        <v>108.1</v>
      </c>
      <c r="J2">
        <v>104.9</v>
      </c>
      <c r="K2">
        <v>106.1</v>
      </c>
      <c r="L2">
        <v>103.9</v>
      </c>
      <c r="M2">
        <v>101.9</v>
      </c>
      <c r="N2">
        <v>106.1</v>
      </c>
      <c r="O2">
        <v>106.8</v>
      </c>
      <c r="P2">
        <v>103.1</v>
      </c>
      <c r="Q2">
        <v>104.8</v>
      </c>
      <c r="R2">
        <v>106.7</v>
      </c>
      <c r="S2">
        <v>105.5</v>
      </c>
      <c r="T2">
        <v>105.1</v>
      </c>
      <c r="U2">
        <v>106.5</v>
      </c>
      <c r="V2">
        <v>105.8</v>
      </c>
      <c r="W2">
        <v>106.4</v>
      </c>
      <c r="X2">
        <v>100.3</v>
      </c>
      <c r="Y2">
        <v>105.5</v>
      </c>
      <c r="Z2">
        <v>104.8</v>
      </c>
      <c r="AA2">
        <v>104</v>
      </c>
      <c r="AB2">
        <v>103.3</v>
      </c>
      <c r="AC2">
        <v>103.4</v>
      </c>
      <c r="AD2">
        <v>103.8</v>
      </c>
      <c r="AE2">
        <v>104.7</v>
      </c>
      <c r="AF2">
        <v>104</v>
      </c>
      <c r="AG2">
        <v>105.1</v>
      </c>
      <c r="AH2">
        <f>SUM(G2:S2)</f>
        <v>1371.6999999999998</v>
      </c>
      <c r="AI2">
        <f>SUM(Y2)</f>
        <v>105.5</v>
      </c>
      <c r="AJ2">
        <f>SUM(AB2)</f>
        <v>103.3</v>
      </c>
      <c r="AK2">
        <f>SUM(AD2)</f>
        <v>103.8</v>
      </c>
      <c r="AL2">
        <f>SUM(T2:X2,Z2:AA2,AC2,AE2:AF2)</f>
        <v>1045</v>
      </c>
      <c r="AM2" t="str">
        <f>IF(AND(L2&gt;150,M2&gt;150),"Yes","No")</f>
        <v>No</v>
      </c>
      <c r="AN2">
        <f>COUNTIFS(AM1:AM373,"Yes")</f>
        <v>91</v>
      </c>
    </row>
    <row r="3" spans="1:40" x14ac:dyDescent="0.3">
      <c r="A3" t="s">
        <v>32</v>
      </c>
      <c r="B3" s="28">
        <f t="shared" ref="B3:B66" si="0">DATE(C3,F3,1)</f>
        <v>41275</v>
      </c>
      <c r="C3">
        <v>2013</v>
      </c>
      <c r="D3" t="s">
        <v>31</v>
      </c>
      <c r="E3" t="str">
        <f t="shared" ref="E3:E66" si="1">_xlfn.CONCAT(TEXT(B3,"mmm"),,"-",RIGHT(C3,2))</f>
        <v>Jan-13</v>
      </c>
      <c r="F3">
        <f>VLOOKUP(D3,'Problem Statement 4'!$G$2:$H$13,2,0)</f>
        <v>1</v>
      </c>
      <c r="G3">
        <v>110.5</v>
      </c>
      <c r="H3">
        <v>109.1</v>
      </c>
      <c r="I3">
        <v>113</v>
      </c>
      <c r="J3">
        <v>103.6</v>
      </c>
      <c r="K3">
        <v>103.4</v>
      </c>
      <c r="L3">
        <v>102.3</v>
      </c>
      <c r="M3">
        <v>102.9</v>
      </c>
      <c r="N3">
        <v>105.8</v>
      </c>
      <c r="O3">
        <v>105.1</v>
      </c>
      <c r="P3">
        <v>101.8</v>
      </c>
      <c r="Q3">
        <v>105.1</v>
      </c>
      <c r="R3">
        <v>107.9</v>
      </c>
      <c r="S3">
        <v>105.9</v>
      </c>
      <c r="T3">
        <v>105.2</v>
      </c>
      <c r="U3">
        <v>105.9</v>
      </c>
      <c r="V3">
        <v>105</v>
      </c>
      <c r="W3">
        <v>105.8</v>
      </c>
      <c r="X3">
        <v>100.3</v>
      </c>
      <c r="Y3">
        <v>105.4</v>
      </c>
      <c r="Z3">
        <v>104.8</v>
      </c>
      <c r="AA3">
        <v>104.1</v>
      </c>
      <c r="AB3">
        <v>103.2</v>
      </c>
      <c r="AC3">
        <v>102.9</v>
      </c>
      <c r="AD3">
        <v>103.5</v>
      </c>
      <c r="AE3">
        <v>104.3</v>
      </c>
      <c r="AF3">
        <v>103.7</v>
      </c>
      <c r="AG3">
        <v>104</v>
      </c>
      <c r="AH3">
        <f t="shared" ref="AH3:AH66" si="2">SUM(G3:S3)</f>
        <v>1376.4</v>
      </c>
      <c r="AI3">
        <f t="shared" ref="AI3:AI66" si="3">SUM(Y3)</f>
        <v>105.4</v>
      </c>
      <c r="AJ3">
        <f t="shared" ref="AJ3:AJ66" si="4">SUM(AB3)</f>
        <v>103.2</v>
      </c>
      <c r="AK3">
        <f t="shared" ref="AK3:AK66" si="5">SUM(AD3)</f>
        <v>103.5</v>
      </c>
      <c r="AL3">
        <f t="shared" ref="AL3:AL66" si="6">SUM(T3:X3,Z3:AA3,AC3,AE3:AF3)</f>
        <v>1042</v>
      </c>
      <c r="AM3" t="str">
        <f t="shared" ref="AM3:AM66" si="7">IF(AND(L3&gt;150,M3&gt;150),"Yes","No")</f>
        <v>No</v>
      </c>
    </row>
    <row r="4" spans="1:40" x14ac:dyDescent="0.3">
      <c r="A4" t="s">
        <v>33</v>
      </c>
      <c r="B4" s="28">
        <f t="shared" si="0"/>
        <v>41275</v>
      </c>
      <c r="C4">
        <v>2013</v>
      </c>
      <c r="D4" t="s">
        <v>31</v>
      </c>
      <c r="E4" t="str">
        <f t="shared" si="1"/>
        <v>Jan-13</v>
      </c>
      <c r="F4">
        <f>VLOOKUP(D4,'Problem Statement 4'!$G$2:$H$13,2,0)</f>
        <v>1</v>
      </c>
      <c r="G4">
        <v>108.4</v>
      </c>
      <c r="H4">
        <v>107.3</v>
      </c>
      <c r="I4">
        <v>110</v>
      </c>
      <c r="J4">
        <v>104.4</v>
      </c>
      <c r="K4">
        <v>105.1</v>
      </c>
      <c r="L4">
        <v>103.2</v>
      </c>
      <c r="M4">
        <v>102.2</v>
      </c>
      <c r="N4">
        <v>106</v>
      </c>
      <c r="O4">
        <v>106.2</v>
      </c>
      <c r="P4">
        <v>102.7</v>
      </c>
      <c r="Q4">
        <v>104.9</v>
      </c>
      <c r="R4">
        <v>107.3</v>
      </c>
      <c r="S4">
        <v>105.6</v>
      </c>
      <c r="T4">
        <v>105.1</v>
      </c>
      <c r="U4">
        <v>106.3</v>
      </c>
      <c r="V4">
        <v>105.5</v>
      </c>
      <c r="W4">
        <v>106.2</v>
      </c>
      <c r="X4">
        <v>100.3</v>
      </c>
      <c r="Y4">
        <v>105.5</v>
      </c>
      <c r="Z4">
        <v>104.8</v>
      </c>
      <c r="AA4">
        <v>104</v>
      </c>
      <c r="AB4">
        <v>103.2</v>
      </c>
      <c r="AC4">
        <v>103.1</v>
      </c>
      <c r="AD4">
        <v>103.6</v>
      </c>
      <c r="AE4">
        <v>104.5</v>
      </c>
      <c r="AF4">
        <v>103.9</v>
      </c>
      <c r="AG4">
        <v>104.6</v>
      </c>
      <c r="AH4">
        <f t="shared" si="2"/>
        <v>1373.3000000000002</v>
      </c>
      <c r="AI4">
        <f t="shared" si="3"/>
        <v>105.5</v>
      </c>
      <c r="AJ4">
        <f t="shared" si="4"/>
        <v>103.2</v>
      </c>
      <c r="AK4">
        <f t="shared" si="5"/>
        <v>103.6</v>
      </c>
      <c r="AL4">
        <f t="shared" si="6"/>
        <v>1043.7</v>
      </c>
      <c r="AM4" t="str">
        <f t="shared" si="7"/>
        <v>No</v>
      </c>
    </row>
    <row r="5" spans="1:40" x14ac:dyDescent="0.3">
      <c r="A5" t="s">
        <v>30</v>
      </c>
      <c r="B5" s="28">
        <f t="shared" si="0"/>
        <v>41306</v>
      </c>
      <c r="C5">
        <v>2013</v>
      </c>
      <c r="D5" t="s">
        <v>34</v>
      </c>
      <c r="E5" t="str">
        <f t="shared" si="1"/>
        <v>Feb-13</v>
      </c>
      <c r="F5">
        <f>VLOOKUP(D5,'Problem Statement 4'!$G$2:$H$13,2,0)</f>
        <v>2</v>
      </c>
      <c r="G5">
        <v>109.2</v>
      </c>
      <c r="H5">
        <v>108.7</v>
      </c>
      <c r="I5">
        <v>110.2</v>
      </c>
      <c r="J5">
        <v>105.4</v>
      </c>
      <c r="K5">
        <v>106.7</v>
      </c>
      <c r="L5">
        <v>104</v>
      </c>
      <c r="M5">
        <v>102.4</v>
      </c>
      <c r="N5">
        <v>105.9</v>
      </c>
      <c r="O5">
        <v>105.7</v>
      </c>
      <c r="P5">
        <v>103.1</v>
      </c>
      <c r="Q5">
        <v>105.1</v>
      </c>
      <c r="R5">
        <v>107.7</v>
      </c>
      <c r="S5">
        <v>106.3</v>
      </c>
      <c r="T5">
        <v>105.6</v>
      </c>
      <c r="U5">
        <v>107.1</v>
      </c>
      <c r="V5">
        <v>106.3</v>
      </c>
      <c r="W5">
        <v>107</v>
      </c>
      <c r="X5">
        <v>100.4</v>
      </c>
      <c r="Y5">
        <v>106.2</v>
      </c>
      <c r="Z5">
        <v>105.2</v>
      </c>
      <c r="AA5">
        <v>104.4</v>
      </c>
      <c r="AB5">
        <v>103.9</v>
      </c>
      <c r="AC5">
        <v>104</v>
      </c>
      <c r="AD5">
        <v>104.1</v>
      </c>
      <c r="AE5">
        <v>104.6</v>
      </c>
      <c r="AF5">
        <v>104.4</v>
      </c>
      <c r="AG5">
        <v>105.8</v>
      </c>
      <c r="AH5">
        <f t="shared" si="2"/>
        <v>1380.3999999999999</v>
      </c>
      <c r="AI5">
        <f t="shared" si="3"/>
        <v>106.2</v>
      </c>
      <c r="AJ5">
        <f t="shared" si="4"/>
        <v>103.9</v>
      </c>
      <c r="AK5">
        <f t="shared" si="5"/>
        <v>104.1</v>
      </c>
      <c r="AL5">
        <f t="shared" si="6"/>
        <v>1049</v>
      </c>
      <c r="AM5" t="str">
        <f t="shared" si="7"/>
        <v>No</v>
      </c>
    </row>
    <row r="6" spans="1:40" x14ac:dyDescent="0.3">
      <c r="A6" t="s">
        <v>32</v>
      </c>
      <c r="B6" s="28">
        <f t="shared" si="0"/>
        <v>41306</v>
      </c>
      <c r="C6">
        <v>2013</v>
      </c>
      <c r="D6" t="s">
        <v>34</v>
      </c>
      <c r="E6" t="str">
        <f t="shared" si="1"/>
        <v>Feb-13</v>
      </c>
      <c r="F6">
        <f>VLOOKUP(D6,'Problem Statement 4'!$G$2:$H$13,2,0)</f>
        <v>2</v>
      </c>
      <c r="G6">
        <v>112.9</v>
      </c>
      <c r="H6">
        <v>112.9</v>
      </c>
      <c r="I6">
        <v>116.9</v>
      </c>
      <c r="J6">
        <v>104</v>
      </c>
      <c r="K6">
        <v>103.5</v>
      </c>
      <c r="L6">
        <v>103.1</v>
      </c>
      <c r="M6">
        <v>104.9</v>
      </c>
      <c r="N6">
        <v>104.1</v>
      </c>
      <c r="O6">
        <v>103.8</v>
      </c>
      <c r="P6">
        <v>102.3</v>
      </c>
      <c r="Q6">
        <v>106</v>
      </c>
      <c r="R6">
        <v>109</v>
      </c>
      <c r="S6">
        <v>107.2</v>
      </c>
      <c r="T6">
        <v>106</v>
      </c>
      <c r="U6">
        <v>106.6</v>
      </c>
      <c r="V6">
        <v>105.5</v>
      </c>
      <c r="W6">
        <v>106.4</v>
      </c>
      <c r="X6">
        <v>100.4</v>
      </c>
      <c r="Y6">
        <v>105.7</v>
      </c>
      <c r="Z6">
        <v>105.2</v>
      </c>
      <c r="AA6">
        <v>104.7</v>
      </c>
      <c r="AB6">
        <v>104.4</v>
      </c>
      <c r="AC6">
        <v>103.3</v>
      </c>
      <c r="AD6">
        <v>103.7</v>
      </c>
      <c r="AE6">
        <v>104.3</v>
      </c>
      <c r="AF6">
        <v>104.3</v>
      </c>
      <c r="AG6">
        <v>104.7</v>
      </c>
      <c r="AH6">
        <f t="shared" si="2"/>
        <v>1390.6000000000001</v>
      </c>
      <c r="AI6">
        <f t="shared" si="3"/>
        <v>105.7</v>
      </c>
      <c r="AJ6">
        <f t="shared" si="4"/>
        <v>104.4</v>
      </c>
      <c r="AK6">
        <f t="shared" si="5"/>
        <v>103.7</v>
      </c>
      <c r="AL6">
        <f t="shared" si="6"/>
        <v>1046.7</v>
      </c>
      <c r="AM6" t="str">
        <f t="shared" si="7"/>
        <v>No</v>
      </c>
    </row>
    <row r="7" spans="1:40" x14ac:dyDescent="0.3">
      <c r="A7" t="s">
        <v>33</v>
      </c>
      <c r="B7" s="28">
        <f t="shared" si="0"/>
        <v>41306</v>
      </c>
      <c r="C7">
        <v>2013</v>
      </c>
      <c r="D7" t="s">
        <v>34</v>
      </c>
      <c r="E7" t="str">
        <f t="shared" si="1"/>
        <v>Feb-13</v>
      </c>
      <c r="F7">
        <f>VLOOKUP(D7,'Problem Statement 4'!$G$2:$H$13,2,0)</f>
        <v>2</v>
      </c>
      <c r="G7">
        <v>110.4</v>
      </c>
      <c r="H7">
        <v>110.2</v>
      </c>
      <c r="I7">
        <v>112.8</v>
      </c>
      <c r="J7">
        <v>104.9</v>
      </c>
      <c r="K7">
        <v>105.5</v>
      </c>
      <c r="L7">
        <v>103.6</v>
      </c>
      <c r="M7">
        <v>103.2</v>
      </c>
      <c r="N7">
        <v>105.3</v>
      </c>
      <c r="O7">
        <v>105.1</v>
      </c>
      <c r="P7">
        <v>102.8</v>
      </c>
      <c r="Q7">
        <v>105.5</v>
      </c>
      <c r="R7">
        <v>108.3</v>
      </c>
      <c r="S7">
        <v>106.6</v>
      </c>
      <c r="T7">
        <v>105.7</v>
      </c>
      <c r="U7">
        <v>106.9</v>
      </c>
      <c r="V7">
        <v>106</v>
      </c>
      <c r="W7">
        <v>106.8</v>
      </c>
      <c r="X7">
        <v>100.4</v>
      </c>
      <c r="Y7">
        <v>106</v>
      </c>
      <c r="Z7">
        <v>105.2</v>
      </c>
      <c r="AA7">
        <v>104.5</v>
      </c>
      <c r="AB7">
        <v>104.2</v>
      </c>
      <c r="AC7">
        <v>103.6</v>
      </c>
      <c r="AD7">
        <v>103.9</v>
      </c>
      <c r="AE7">
        <v>104.5</v>
      </c>
      <c r="AF7">
        <v>104.4</v>
      </c>
      <c r="AG7">
        <v>105.3</v>
      </c>
      <c r="AH7">
        <f t="shared" si="2"/>
        <v>1384.2</v>
      </c>
      <c r="AI7">
        <f t="shared" si="3"/>
        <v>106</v>
      </c>
      <c r="AJ7">
        <f t="shared" si="4"/>
        <v>104.2</v>
      </c>
      <c r="AK7">
        <f t="shared" si="5"/>
        <v>103.9</v>
      </c>
      <c r="AL7">
        <f t="shared" si="6"/>
        <v>1048.0000000000002</v>
      </c>
      <c r="AM7" t="str">
        <f t="shared" si="7"/>
        <v>No</v>
      </c>
    </row>
    <row r="8" spans="1:40" x14ac:dyDescent="0.3">
      <c r="A8" t="s">
        <v>30</v>
      </c>
      <c r="B8" s="28">
        <f t="shared" si="0"/>
        <v>41334</v>
      </c>
      <c r="C8">
        <v>2013</v>
      </c>
      <c r="D8" t="s">
        <v>35</v>
      </c>
      <c r="E8" t="str">
        <f t="shared" si="1"/>
        <v>Mar-13</v>
      </c>
      <c r="F8">
        <f>VLOOKUP(D8,'Problem Statement 4'!$G$2:$H$13,2,0)</f>
        <v>3</v>
      </c>
      <c r="G8">
        <v>110.2</v>
      </c>
      <c r="H8">
        <v>108.8</v>
      </c>
      <c r="I8">
        <v>109.9</v>
      </c>
      <c r="J8">
        <v>105.6</v>
      </c>
      <c r="K8">
        <v>106.2</v>
      </c>
      <c r="L8">
        <v>105.7</v>
      </c>
      <c r="M8">
        <v>101.4</v>
      </c>
      <c r="N8">
        <v>105.7</v>
      </c>
      <c r="O8">
        <v>105</v>
      </c>
      <c r="P8">
        <v>103.3</v>
      </c>
      <c r="Q8">
        <v>105.6</v>
      </c>
      <c r="R8">
        <v>108.2</v>
      </c>
      <c r="S8">
        <v>106.6</v>
      </c>
      <c r="T8">
        <v>106.5</v>
      </c>
      <c r="U8">
        <v>107.6</v>
      </c>
      <c r="V8">
        <v>106.8</v>
      </c>
      <c r="W8">
        <v>107.5</v>
      </c>
      <c r="X8">
        <v>100.4</v>
      </c>
      <c r="Y8">
        <v>106.1</v>
      </c>
      <c r="Z8">
        <v>105.6</v>
      </c>
      <c r="AA8">
        <v>104.7</v>
      </c>
      <c r="AB8">
        <v>104.6</v>
      </c>
      <c r="AC8">
        <v>104</v>
      </c>
      <c r="AD8">
        <v>104.3</v>
      </c>
      <c r="AE8">
        <v>104.3</v>
      </c>
      <c r="AF8">
        <v>104.6</v>
      </c>
      <c r="AG8">
        <v>106</v>
      </c>
      <c r="AH8">
        <f t="shared" si="2"/>
        <v>1382.2</v>
      </c>
      <c r="AI8">
        <f t="shared" si="3"/>
        <v>106.1</v>
      </c>
      <c r="AJ8">
        <f t="shared" si="4"/>
        <v>104.6</v>
      </c>
      <c r="AK8">
        <f t="shared" si="5"/>
        <v>104.3</v>
      </c>
      <c r="AL8">
        <f t="shared" si="6"/>
        <v>1052</v>
      </c>
      <c r="AM8" t="str">
        <f t="shared" si="7"/>
        <v>No</v>
      </c>
    </row>
    <row r="9" spans="1:40" x14ac:dyDescent="0.3">
      <c r="A9" t="s">
        <v>32</v>
      </c>
      <c r="B9" s="28">
        <f t="shared" si="0"/>
        <v>41334</v>
      </c>
      <c r="C9">
        <v>2013</v>
      </c>
      <c r="D9" t="s">
        <v>35</v>
      </c>
      <c r="E9" t="str">
        <f t="shared" si="1"/>
        <v>Mar-13</v>
      </c>
      <c r="F9">
        <f>VLOOKUP(D9,'Problem Statement 4'!$G$2:$H$13,2,0)</f>
        <v>3</v>
      </c>
      <c r="G9">
        <v>113.9</v>
      </c>
      <c r="H9">
        <v>111.4</v>
      </c>
      <c r="I9">
        <v>113.2</v>
      </c>
      <c r="J9">
        <v>104.3</v>
      </c>
      <c r="K9">
        <v>102.7</v>
      </c>
      <c r="L9">
        <v>104.9</v>
      </c>
      <c r="M9">
        <v>103.8</v>
      </c>
      <c r="N9">
        <v>103.5</v>
      </c>
      <c r="O9">
        <v>102.6</v>
      </c>
      <c r="P9">
        <v>102.4</v>
      </c>
      <c r="Q9">
        <v>107</v>
      </c>
      <c r="R9">
        <v>109.8</v>
      </c>
      <c r="S9">
        <v>107.3</v>
      </c>
      <c r="T9">
        <v>106.8</v>
      </c>
      <c r="U9">
        <v>107.2</v>
      </c>
      <c r="V9">
        <v>106</v>
      </c>
      <c r="W9">
        <v>107</v>
      </c>
      <c r="X9">
        <v>100.4</v>
      </c>
      <c r="Y9">
        <v>106</v>
      </c>
      <c r="Z9">
        <v>105.7</v>
      </c>
      <c r="AA9">
        <v>105.2</v>
      </c>
      <c r="AB9">
        <v>105.5</v>
      </c>
      <c r="AC9">
        <v>103.5</v>
      </c>
      <c r="AD9">
        <v>103.8</v>
      </c>
      <c r="AE9">
        <v>104.2</v>
      </c>
      <c r="AF9">
        <v>104.9</v>
      </c>
      <c r="AG9">
        <v>105</v>
      </c>
      <c r="AH9">
        <f t="shared" si="2"/>
        <v>1386.8</v>
      </c>
      <c r="AI9">
        <f t="shared" si="3"/>
        <v>106</v>
      </c>
      <c r="AJ9">
        <f t="shared" si="4"/>
        <v>105.5</v>
      </c>
      <c r="AK9">
        <f t="shared" si="5"/>
        <v>103.8</v>
      </c>
      <c r="AL9">
        <f t="shared" si="6"/>
        <v>1050.9000000000001</v>
      </c>
      <c r="AM9" t="str">
        <f t="shared" si="7"/>
        <v>No</v>
      </c>
    </row>
    <row r="10" spans="1:40" x14ac:dyDescent="0.3">
      <c r="A10" t="s">
        <v>33</v>
      </c>
      <c r="B10" s="28">
        <f t="shared" si="0"/>
        <v>41334</v>
      </c>
      <c r="C10">
        <v>2013</v>
      </c>
      <c r="D10" t="s">
        <v>35</v>
      </c>
      <c r="E10" t="str">
        <f t="shared" si="1"/>
        <v>Mar-13</v>
      </c>
      <c r="F10">
        <f>VLOOKUP(D10,'Problem Statement 4'!$G$2:$H$13,2,0)</f>
        <v>3</v>
      </c>
      <c r="G10">
        <v>111.4</v>
      </c>
      <c r="H10">
        <v>109.7</v>
      </c>
      <c r="I10">
        <v>111.2</v>
      </c>
      <c r="J10">
        <v>105.1</v>
      </c>
      <c r="K10">
        <v>104.9</v>
      </c>
      <c r="L10">
        <v>105.3</v>
      </c>
      <c r="M10">
        <v>102.2</v>
      </c>
      <c r="N10">
        <v>105</v>
      </c>
      <c r="O10">
        <v>104.2</v>
      </c>
      <c r="P10">
        <v>103</v>
      </c>
      <c r="Q10">
        <v>106.2</v>
      </c>
      <c r="R10">
        <v>108.9</v>
      </c>
      <c r="S10">
        <v>106.9</v>
      </c>
      <c r="T10">
        <v>106.6</v>
      </c>
      <c r="U10">
        <v>107.4</v>
      </c>
      <c r="V10">
        <v>106.5</v>
      </c>
      <c r="W10">
        <v>107.3</v>
      </c>
      <c r="X10">
        <v>100.4</v>
      </c>
      <c r="Y10">
        <v>106.1</v>
      </c>
      <c r="Z10">
        <v>105.6</v>
      </c>
      <c r="AA10">
        <v>104.9</v>
      </c>
      <c r="AB10">
        <v>105.1</v>
      </c>
      <c r="AC10">
        <v>103.7</v>
      </c>
      <c r="AD10">
        <v>104</v>
      </c>
      <c r="AE10">
        <v>104.3</v>
      </c>
      <c r="AF10">
        <v>104.7</v>
      </c>
      <c r="AG10">
        <v>105.5</v>
      </c>
      <c r="AH10">
        <f t="shared" si="2"/>
        <v>1384.0000000000002</v>
      </c>
      <c r="AI10">
        <f t="shared" si="3"/>
        <v>106.1</v>
      </c>
      <c r="AJ10">
        <f t="shared" si="4"/>
        <v>105.1</v>
      </c>
      <c r="AK10">
        <f t="shared" si="5"/>
        <v>104</v>
      </c>
      <c r="AL10">
        <f t="shared" si="6"/>
        <v>1051.4000000000001</v>
      </c>
      <c r="AM10" t="str">
        <f t="shared" si="7"/>
        <v>No</v>
      </c>
    </row>
    <row r="11" spans="1:40" x14ac:dyDescent="0.3">
      <c r="A11" t="s">
        <v>30</v>
      </c>
      <c r="B11" s="28">
        <f t="shared" si="0"/>
        <v>41365</v>
      </c>
      <c r="C11">
        <v>2013</v>
      </c>
      <c r="D11" t="s">
        <v>36</v>
      </c>
      <c r="E11" t="str">
        <f t="shared" si="1"/>
        <v>Apr-13</v>
      </c>
      <c r="F11">
        <f>VLOOKUP(D11,'Problem Statement 4'!$G$2:$H$13,2,0)</f>
        <v>4</v>
      </c>
      <c r="G11">
        <v>110.2</v>
      </c>
      <c r="H11">
        <v>109.5</v>
      </c>
      <c r="I11">
        <v>106.9</v>
      </c>
      <c r="J11">
        <v>106.3</v>
      </c>
      <c r="K11">
        <v>105.7</v>
      </c>
      <c r="L11">
        <v>108.3</v>
      </c>
      <c r="M11">
        <v>103.4</v>
      </c>
      <c r="N11">
        <v>105.7</v>
      </c>
      <c r="O11">
        <v>104.2</v>
      </c>
      <c r="P11">
        <v>103.2</v>
      </c>
      <c r="Q11">
        <v>106.5</v>
      </c>
      <c r="R11">
        <v>108.8</v>
      </c>
      <c r="S11">
        <v>107.1</v>
      </c>
      <c r="T11">
        <v>107.1</v>
      </c>
      <c r="U11">
        <v>108.1</v>
      </c>
      <c r="V11">
        <v>107.4</v>
      </c>
      <c r="W11">
        <v>108</v>
      </c>
      <c r="X11">
        <v>100.5</v>
      </c>
      <c r="Y11">
        <v>106.5</v>
      </c>
      <c r="Z11">
        <v>106.1</v>
      </c>
      <c r="AA11">
        <v>105.1</v>
      </c>
      <c r="AB11">
        <v>104.4</v>
      </c>
      <c r="AC11">
        <v>104.5</v>
      </c>
      <c r="AD11">
        <v>104.8</v>
      </c>
      <c r="AE11">
        <v>102.7</v>
      </c>
      <c r="AF11">
        <v>104.6</v>
      </c>
      <c r="AG11">
        <v>106.4</v>
      </c>
      <c r="AH11">
        <f t="shared" si="2"/>
        <v>1385.8</v>
      </c>
      <c r="AI11">
        <f t="shared" si="3"/>
        <v>106.5</v>
      </c>
      <c r="AJ11">
        <f t="shared" si="4"/>
        <v>104.4</v>
      </c>
      <c r="AK11">
        <f t="shared" si="5"/>
        <v>104.8</v>
      </c>
      <c r="AL11">
        <f t="shared" si="6"/>
        <v>1054.1000000000001</v>
      </c>
      <c r="AM11" t="str">
        <f t="shared" si="7"/>
        <v>No</v>
      </c>
    </row>
    <row r="12" spans="1:40" x14ac:dyDescent="0.3">
      <c r="A12" t="s">
        <v>32</v>
      </c>
      <c r="B12" s="28">
        <f t="shared" si="0"/>
        <v>41365</v>
      </c>
      <c r="C12">
        <v>2013</v>
      </c>
      <c r="D12" t="s">
        <v>36</v>
      </c>
      <c r="E12" t="str">
        <f t="shared" si="1"/>
        <v>Apr-13</v>
      </c>
      <c r="F12">
        <f>VLOOKUP(D12,'Problem Statement 4'!$G$2:$H$13,2,0)</f>
        <v>4</v>
      </c>
      <c r="G12">
        <v>114.6</v>
      </c>
      <c r="H12">
        <v>113.4</v>
      </c>
      <c r="I12">
        <v>106</v>
      </c>
      <c r="J12">
        <v>104.7</v>
      </c>
      <c r="K12">
        <v>102.1</v>
      </c>
      <c r="L12">
        <v>109.5</v>
      </c>
      <c r="M12">
        <v>109.7</v>
      </c>
      <c r="N12">
        <v>104.6</v>
      </c>
      <c r="O12">
        <v>102</v>
      </c>
      <c r="P12">
        <v>103.5</v>
      </c>
      <c r="Q12">
        <v>108.2</v>
      </c>
      <c r="R12">
        <v>110.6</v>
      </c>
      <c r="S12">
        <v>108.8</v>
      </c>
      <c r="T12">
        <v>108.5</v>
      </c>
      <c r="U12">
        <v>107.9</v>
      </c>
      <c r="V12">
        <v>106.4</v>
      </c>
      <c r="W12">
        <v>107.7</v>
      </c>
      <c r="X12">
        <v>100.5</v>
      </c>
      <c r="Y12">
        <v>106.4</v>
      </c>
      <c r="Z12">
        <v>106.5</v>
      </c>
      <c r="AA12">
        <v>105.7</v>
      </c>
      <c r="AB12">
        <v>105</v>
      </c>
      <c r="AC12">
        <v>104</v>
      </c>
      <c r="AD12">
        <v>105.2</v>
      </c>
      <c r="AE12">
        <v>103.2</v>
      </c>
      <c r="AF12">
        <v>105.1</v>
      </c>
      <c r="AG12">
        <v>105.7</v>
      </c>
      <c r="AH12">
        <f t="shared" si="2"/>
        <v>1397.6999999999998</v>
      </c>
      <c r="AI12">
        <f t="shared" si="3"/>
        <v>106.4</v>
      </c>
      <c r="AJ12">
        <f t="shared" si="4"/>
        <v>105</v>
      </c>
      <c r="AK12">
        <f t="shared" si="5"/>
        <v>105.2</v>
      </c>
      <c r="AL12">
        <f t="shared" si="6"/>
        <v>1055.5</v>
      </c>
      <c r="AM12" t="str">
        <f t="shared" si="7"/>
        <v>No</v>
      </c>
    </row>
    <row r="13" spans="1:40" x14ac:dyDescent="0.3">
      <c r="A13" t="s">
        <v>33</v>
      </c>
      <c r="B13" s="28">
        <f t="shared" si="0"/>
        <v>41365</v>
      </c>
      <c r="C13">
        <v>2013</v>
      </c>
      <c r="D13" t="s">
        <v>36</v>
      </c>
      <c r="E13" t="str">
        <f t="shared" si="1"/>
        <v>Apr-13</v>
      </c>
      <c r="F13">
        <f>VLOOKUP(D13,'Problem Statement 4'!$G$2:$H$13,2,0)</f>
        <v>4</v>
      </c>
      <c r="G13">
        <v>111.6</v>
      </c>
      <c r="H13">
        <v>110.9</v>
      </c>
      <c r="I13">
        <v>106.6</v>
      </c>
      <c r="J13">
        <v>105.7</v>
      </c>
      <c r="K13">
        <v>104.4</v>
      </c>
      <c r="L13">
        <v>108.9</v>
      </c>
      <c r="M13">
        <v>105.5</v>
      </c>
      <c r="N13">
        <v>105.3</v>
      </c>
      <c r="O13">
        <v>103.5</v>
      </c>
      <c r="P13">
        <v>103.3</v>
      </c>
      <c r="Q13">
        <v>107.2</v>
      </c>
      <c r="R13">
        <v>109.6</v>
      </c>
      <c r="S13">
        <v>107.7</v>
      </c>
      <c r="T13">
        <v>107.5</v>
      </c>
      <c r="U13">
        <v>108</v>
      </c>
      <c r="V13">
        <v>107</v>
      </c>
      <c r="W13">
        <v>107.9</v>
      </c>
      <c r="X13">
        <v>100.5</v>
      </c>
      <c r="Y13">
        <v>106.5</v>
      </c>
      <c r="Z13">
        <v>106.3</v>
      </c>
      <c r="AA13">
        <v>105.3</v>
      </c>
      <c r="AB13">
        <v>104.7</v>
      </c>
      <c r="AC13">
        <v>104.2</v>
      </c>
      <c r="AD13">
        <v>105</v>
      </c>
      <c r="AE13">
        <v>102.9</v>
      </c>
      <c r="AF13">
        <v>104.8</v>
      </c>
      <c r="AG13">
        <v>106.1</v>
      </c>
      <c r="AH13">
        <f t="shared" si="2"/>
        <v>1390.2</v>
      </c>
      <c r="AI13">
        <f t="shared" si="3"/>
        <v>106.5</v>
      </c>
      <c r="AJ13">
        <f t="shared" si="4"/>
        <v>104.7</v>
      </c>
      <c r="AK13">
        <f t="shared" si="5"/>
        <v>105</v>
      </c>
      <c r="AL13">
        <f t="shared" si="6"/>
        <v>1054.3999999999999</v>
      </c>
      <c r="AM13" t="str">
        <f t="shared" si="7"/>
        <v>No</v>
      </c>
    </row>
    <row r="14" spans="1:40" x14ac:dyDescent="0.3">
      <c r="A14" t="s">
        <v>30</v>
      </c>
      <c r="B14" s="28">
        <f t="shared" si="0"/>
        <v>41395</v>
      </c>
      <c r="C14">
        <v>2013</v>
      </c>
      <c r="D14" t="s">
        <v>37</v>
      </c>
      <c r="E14" t="str">
        <f t="shared" si="1"/>
        <v>May-13</v>
      </c>
      <c r="F14">
        <f>VLOOKUP(D14,'Problem Statement 4'!$G$2:$H$13,2,0)</f>
        <v>5</v>
      </c>
      <c r="G14">
        <v>110.9</v>
      </c>
      <c r="H14">
        <v>109.8</v>
      </c>
      <c r="I14">
        <v>105.9</v>
      </c>
      <c r="J14">
        <v>107.5</v>
      </c>
      <c r="K14">
        <v>105.3</v>
      </c>
      <c r="L14">
        <v>108.1</v>
      </c>
      <c r="M14">
        <v>107.3</v>
      </c>
      <c r="N14">
        <v>106.1</v>
      </c>
      <c r="O14">
        <v>103.7</v>
      </c>
      <c r="P14">
        <v>104</v>
      </c>
      <c r="Q14">
        <v>107.4</v>
      </c>
      <c r="R14">
        <v>109.9</v>
      </c>
      <c r="S14">
        <v>108.1</v>
      </c>
      <c r="T14">
        <v>108.1</v>
      </c>
      <c r="U14">
        <v>108.8</v>
      </c>
      <c r="V14">
        <v>107.9</v>
      </c>
      <c r="W14">
        <v>108.6</v>
      </c>
      <c r="X14">
        <v>100.5</v>
      </c>
      <c r="Y14">
        <v>107.5</v>
      </c>
      <c r="Z14">
        <v>106.8</v>
      </c>
      <c r="AA14">
        <v>105.7</v>
      </c>
      <c r="AB14">
        <v>104.1</v>
      </c>
      <c r="AC14">
        <v>105</v>
      </c>
      <c r="AD14">
        <v>105.5</v>
      </c>
      <c r="AE14">
        <v>102.1</v>
      </c>
      <c r="AF14">
        <v>104.8</v>
      </c>
      <c r="AG14">
        <v>107.2</v>
      </c>
      <c r="AH14">
        <f t="shared" si="2"/>
        <v>1394</v>
      </c>
      <c r="AI14">
        <f t="shared" si="3"/>
        <v>107.5</v>
      </c>
      <c r="AJ14">
        <f t="shared" si="4"/>
        <v>104.1</v>
      </c>
      <c r="AK14">
        <f t="shared" si="5"/>
        <v>105.5</v>
      </c>
      <c r="AL14">
        <f t="shared" si="6"/>
        <v>1058.3</v>
      </c>
      <c r="AM14" t="str">
        <f t="shared" si="7"/>
        <v>No</v>
      </c>
    </row>
    <row r="15" spans="1:40" x14ac:dyDescent="0.3">
      <c r="A15" t="s">
        <v>32</v>
      </c>
      <c r="B15" s="28">
        <f t="shared" si="0"/>
        <v>41395</v>
      </c>
      <c r="C15">
        <v>2013</v>
      </c>
      <c r="D15" t="s">
        <v>37</v>
      </c>
      <c r="E15" t="str">
        <f t="shared" si="1"/>
        <v>May-13</v>
      </c>
      <c r="F15">
        <f>VLOOKUP(D15,'Problem Statement 4'!$G$2:$H$13,2,0)</f>
        <v>5</v>
      </c>
      <c r="G15">
        <v>115.4</v>
      </c>
      <c r="H15">
        <v>114.2</v>
      </c>
      <c r="I15">
        <v>102.7</v>
      </c>
      <c r="J15">
        <v>105.5</v>
      </c>
      <c r="K15">
        <v>101.5</v>
      </c>
      <c r="L15">
        <v>110.6</v>
      </c>
      <c r="M15">
        <v>123.7</v>
      </c>
      <c r="N15">
        <v>105.2</v>
      </c>
      <c r="O15">
        <v>101.9</v>
      </c>
      <c r="P15">
        <v>105</v>
      </c>
      <c r="Q15">
        <v>109.1</v>
      </c>
      <c r="R15">
        <v>111.3</v>
      </c>
      <c r="S15">
        <v>111.1</v>
      </c>
      <c r="T15">
        <v>109.8</v>
      </c>
      <c r="U15">
        <v>108.5</v>
      </c>
      <c r="V15">
        <v>106.7</v>
      </c>
      <c r="W15">
        <v>108.3</v>
      </c>
      <c r="X15">
        <v>100.5</v>
      </c>
      <c r="Y15">
        <v>107.2</v>
      </c>
      <c r="Z15">
        <v>107.1</v>
      </c>
      <c r="AA15">
        <v>106.2</v>
      </c>
      <c r="AB15">
        <v>103.9</v>
      </c>
      <c r="AC15">
        <v>104.6</v>
      </c>
      <c r="AD15">
        <v>105.7</v>
      </c>
      <c r="AE15">
        <v>102.6</v>
      </c>
      <c r="AF15">
        <v>104.9</v>
      </c>
      <c r="AG15">
        <v>106.6</v>
      </c>
      <c r="AH15">
        <f t="shared" si="2"/>
        <v>1417.1999999999998</v>
      </c>
      <c r="AI15">
        <f t="shared" si="3"/>
        <v>107.2</v>
      </c>
      <c r="AJ15">
        <f t="shared" si="4"/>
        <v>103.9</v>
      </c>
      <c r="AK15">
        <f t="shared" si="5"/>
        <v>105.7</v>
      </c>
      <c r="AL15">
        <f t="shared" si="6"/>
        <v>1059.2</v>
      </c>
      <c r="AM15" t="str">
        <f t="shared" si="7"/>
        <v>No</v>
      </c>
    </row>
    <row r="16" spans="1:40" x14ac:dyDescent="0.3">
      <c r="A16" t="s">
        <v>33</v>
      </c>
      <c r="B16" s="28">
        <f t="shared" si="0"/>
        <v>41395</v>
      </c>
      <c r="C16">
        <v>2013</v>
      </c>
      <c r="D16" t="s">
        <v>37</v>
      </c>
      <c r="E16" t="str">
        <f t="shared" si="1"/>
        <v>May-13</v>
      </c>
      <c r="F16">
        <f>VLOOKUP(D16,'Problem Statement 4'!$G$2:$H$13,2,0)</f>
        <v>5</v>
      </c>
      <c r="G16">
        <v>112.3</v>
      </c>
      <c r="H16">
        <v>111.3</v>
      </c>
      <c r="I16">
        <v>104.7</v>
      </c>
      <c r="J16">
        <v>106.8</v>
      </c>
      <c r="K16">
        <v>103.9</v>
      </c>
      <c r="L16">
        <v>109.3</v>
      </c>
      <c r="M16">
        <v>112.9</v>
      </c>
      <c r="N16">
        <v>105.8</v>
      </c>
      <c r="O16">
        <v>103.1</v>
      </c>
      <c r="P16">
        <v>104.3</v>
      </c>
      <c r="Q16">
        <v>108.1</v>
      </c>
      <c r="R16">
        <v>110.5</v>
      </c>
      <c r="S16">
        <v>109.2</v>
      </c>
      <c r="T16">
        <v>108.6</v>
      </c>
      <c r="U16">
        <v>108.7</v>
      </c>
      <c r="V16">
        <v>107.4</v>
      </c>
      <c r="W16">
        <v>108.5</v>
      </c>
      <c r="X16">
        <v>100.5</v>
      </c>
      <c r="Y16">
        <v>107.4</v>
      </c>
      <c r="Z16">
        <v>106.9</v>
      </c>
      <c r="AA16">
        <v>105.9</v>
      </c>
      <c r="AB16">
        <v>104</v>
      </c>
      <c r="AC16">
        <v>104.8</v>
      </c>
      <c r="AD16">
        <v>105.6</v>
      </c>
      <c r="AE16">
        <v>102.3</v>
      </c>
      <c r="AF16">
        <v>104.8</v>
      </c>
      <c r="AG16">
        <v>106.9</v>
      </c>
      <c r="AH16">
        <f t="shared" si="2"/>
        <v>1402.1999999999998</v>
      </c>
      <c r="AI16">
        <f t="shared" si="3"/>
        <v>107.4</v>
      </c>
      <c r="AJ16">
        <f t="shared" si="4"/>
        <v>104</v>
      </c>
      <c r="AK16">
        <f t="shared" si="5"/>
        <v>105.6</v>
      </c>
      <c r="AL16">
        <f t="shared" si="6"/>
        <v>1058.3999999999999</v>
      </c>
      <c r="AM16" t="str">
        <f t="shared" si="7"/>
        <v>No</v>
      </c>
    </row>
    <row r="17" spans="1:39" x14ac:dyDescent="0.3">
      <c r="A17" t="s">
        <v>30</v>
      </c>
      <c r="B17" s="28">
        <f t="shared" si="0"/>
        <v>41426</v>
      </c>
      <c r="C17">
        <v>2013</v>
      </c>
      <c r="D17" t="s">
        <v>38</v>
      </c>
      <c r="E17" t="str">
        <f t="shared" si="1"/>
        <v>Jun-13</v>
      </c>
      <c r="F17">
        <f>VLOOKUP(D17,'Problem Statement 4'!$G$2:$H$13,2,0)</f>
        <v>6</v>
      </c>
      <c r="G17">
        <v>112.3</v>
      </c>
      <c r="H17">
        <v>112.1</v>
      </c>
      <c r="I17">
        <v>108.1</v>
      </c>
      <c r="J17">
        <v>108.3</v>
      </c>
      <c r="K17">
        <v>105.9</v>
      </c>
      <c r="L17">
        <v>109.2</v>
      </c>
      <c r="M17">
        <v>118</v>
      </c>
      <c r="N17">
        <v>106.8</v>
      </c>
      <c r="O17">
        <v>104.1</v>
      </c>
      <c r="P17">
        <v>105.4</v>
      </c>
      <c r="Q17">
        <v>108.2</v>
      </c>
      <c r="R17">
        <v>111</v>
      </c>
      <c r="S17">
        <v>110.6</v>
      </c>
      <c r="T17">
        <v>109</v>
      </c>
      <c r="U17">
        <v>109.7</v>
      </c>
      <c r="V17">
        <v>108.8</v>
      </c>
      <c r="W17">
        <v>109.5</v>
      </c>
      <c r="X17">
        <v>106.6</v>
      </c>
      <c r="Y17">
        <v>108.5</v>
      </c>
      <c r="Z17">
        <v>107.5</v>
      </c>
      <c r="AA17">
        <v>106.3</v>
      </c>
      <c r="AB17">
        <v>105</v>
      </c>
      <c r="AC17">
        <v>105.6</v>
      </c>
      <c r="AD17">
        <v>106.5</v>
      </c>
      <c r="AE17">
        <v>102.5</v>
      </c>
      <c r="AF17">
        <v>105.5</v>
      </c>
      <c r="AG17">
        <v>108.9</v>
      </c>
      <c r="AH17">
        <f t="shared" si="2"/>
        <v>1420</v>
      </c>
      <c r="AI17">
        <f t="shared" si="3"/>
        <v>108.5</v>
      </c>
      <c r="AJ17">
        <f t="shared" si="4"/>
        <v>105</v>
      </c>
      <c r="AK17">
        <f t="shared" si="5"/>
        <v>106.5</v>
      </c>
      <c r="AL17">
        <f t="shared" si="6"/>
        <v>1071</v>
      </c>
      <c r="AM17" t="str">
        <f t="shared" si="7"/>
        <v>No</v>
      </c>
    </row>
    <row r="18" spans="1:39" x14ac:dyDescent="0.3">
      <c r="A18" t="s">
        <v>32</v>
      </c>
      <c r="B18" s="28">
        <f t="shared" si="0"/>
        <v>41426</v>
      </c>
      <c r="C18">
        <v>2013</v>
      </c>
      <c r="D18" t="s">
        <v>38</v>
      </c>
      <c r="E18" t="str">
        <f t="shared" si="1"/>
        <v>Jun-13</v>
      </c>
      <c r="F18">
        <f>VLOOKUP(D18,'Problem Statement 4'!$G$2:$H$13,2,0)</f>
        <v>6</v>
      </c>
      <c r="G18">
        <v>117</v>
      </c>
      <c r="H18">
        <v>120.1</v>
      </c>
      <c r="I18">
        <v>112.5</v>
      </c>
      <c r="J18">
        <v>107.3</v>
      </c>
      <c r="K18">
        <v>101.3</v>
      </c>
      <c r="L18">
        <v>112.4</v>
      </c>
      <c r="M18">
        <v>143.6</v>
      </c>
      <c r="N18">
        <v>105.4</v>
      </c>
      <c r="O18">
        <v>101.4</v>
      </c>
      <c r="P18">
        <v>106.4</v>
      </c>
      <c r="Q18">
        <v>110</v>
      </c>
      <c r="R18">
        <v>112.2</v>
      </c>
      <c r="S18">
        <v>115</v>
      </c>
      <c r="T18">
        <v>110.9</v>
      </c>
      <c r="U18">
        <v>109.2</v>
      </c>
      <c r="V18">
        <v>107.2</v>
      </c>
      <c r="W18">
        <v>108.9</v>
      </c>
      <c r="X18">
        <v>106.6</v>
      </c>
      <c r="Y18">
        <v>108</v>
      </c>
      <c r="Z18">
        <v>107.7</v>
      </c>
      <c r="AA18">
        <v>106.5</v>
      </c>
      <c r="AB18">
        <v>105.2</v>
      </c>
      <c r="AC18">
        <v>105.2</v>
      </c>
      <c r="AD18">
        <v>108.1</v>
      </c>
      <c r="AE18">
        <v>103.3</v>
      </c>
      <c r="AF18">
        <v>106.1</v>
      </c>
      <c r="AG18">
        <v>109.7</v>
      </c>
      <c r="AH18">
        <f t="shared" si="2"/>
        <v>1464.6000000000001</v>
      </c>
      <c r="AI18">
        <f t="shared" si="3"/>
        <v>108</v>
      </c>
      <c r="AJ18">
        <f t="shared" si="4"/>
        <v>105.2</v>
      </c>
      <c r="AK18">
        <f t="shared" si="5"/>
        <v>108.1</v>
      </c>
      <c r="AL18">
        <f t="shared" si="6"/>
        <v>1071.6000000000001</v>
      </c>
      <c r="AM18" t="str">
        <f t="shared" si="7"/>
        <v>No</v>
      </c>
    </row>
    <row r="19" spans="1:39" x14ac:dyDescent="0.3">
      <c r="A19" t="s">
        <v>33</v>
      </c>
      <c r="B19" s="28">
        <f t="shared" si="0"/>
        <v>41426</v>
      </c>
      <c r="C19">
        <v>2013</v>
      </c>
      <c r="D19" t="s">
        <v>38</v>
      </c>
      <c r="E19" t="str">
        <f t="shared" si="1"/>
        <v>Jun-13</v>
      </c>
      <c r="F19">
        <f>VLOOKUP(D19,'Problem Statement 4'!$G$2:$H$13,2,0)</f>
        <v>6</v>
      </c>
      <c r="G19">
        <v>113.8</v>
      </c>
      <c r="H19">
        <v>114.9</v>
      </c>
      <c r="I19">
        <v>109.8</v>
      </c>
      <c r="J19">
        <v>107.9</v>
      </c>
      <c r="K19">
        <v>104.2</v>
      </c>
      <c r="L19">
        <v>110.7</v>
      </c>
      <c r="M19">
        <v>126.7</v>
      </c>
      <c r="N19">
        <v>106.3</v>
      </c>
      <c r="O19">
        <v>103.2</v>
      </c>
      <c r="P19">
        <v>105.7</v>
      </c>
      <c r="Q19">
        <v>109</v>
      </c>
      <c r="R19">
        <v>111.6</v>
      </c>
      <c r="S19">
        <v>112.2</v>
      </c>
      <c r="T19">
        <v>109.5</v>
      </c>
      <c r="U19">
        <v>109.5</v>
      </c>
      <c r="V19">
        <v>108.1</v>
      </c>
      <c r="W19">
        <v>109.3</v>
      </c>
      <c r="X19">
        <v>106.6</v>
      </c>
      <c r="Y19">
        <v>108.3</v>
      </c>
      <c r="Z19">
        <v>107.6</v>
      </c>
      <c r="AA19">
        <v>106.4</v>
      </c>
      <c r="AB19">
        <v>105.1</v>
      </c>
      <c r="AC19">
        <v>105.4</v>
      </c>
      <c r="AD19">
        <v>107.4</v>
      </c>
      <c r="AE19">
        <v>102.8</v>
      </c>
      <c r="AF19">
        <v>105.8</v>
      </c>
      <c r="AG19">
        <v>109.3</v>
      </c>
      <c r="AH19">
        <f t="shared" si="2"/>
        <v>1436</v>
      </c>
      <c r="AI19">
        <f t="shared" si="3"/>
        <v>108.3</v>
      </c>
      <c r="AJ19">
        <f t="shared" si="4"/>
        <v>105.1</v>
      </c>
      <c r="AK19">
        <f t="shared" si="5"/>
        <v>107.4</v>
      </c>
      <c r="AL19">
        <f t="shared" si="6"/>
        <v>1071</v>
      </c>
      <c r="AM19" t="str">
        <f t="shared" si="7"/>
        <v>No</v>
      </c>
    </row>
    <row r="20" spans="1:39" x14ac:dyDescent="0.3">
      <c r="A20" t="s">
        <v>30</v>
      </c>
      <c r="B20" s="28">
        <f t="shared" si="0"/>
        <v>41456</v>
      </c>
      <c r="C20">
        <v>2013</v>
      </c>
      <c r="D20" t="s">
        <v>39</v>
      </c>
      <c r="E20" t="str">
        <f t="shared" si="1"/>
        <v>Jul-13</v>
      </c>
      <c r="F20">
        <f>VLOOKUP(D20,'Problem Statement 4'!$G$2:$H$13,2,0)</f>
        <v>7</v>
      </c>
      <c r="G20">
        <v>113.4</v>
      </c>
      <c r="H20">
        <v>114.9</v>
      </c>
      <c r="I20">
        <v>110.5</v>
      </c>
      <c r="J20">
        <v>109.3</v>
      </c>
      <c r="K20">
        <v>106.2</v>
      </c>
      <c r="L20">
        <v>110.3</v>
      </c>
      <c r="M20">
        <v>129.19999999999999</v>
      </c>
      <c r="N20">
        <v>107.1</v>
      </c>
      <c r="O20">
        <v>104.3</v>
      </c>
      <c r="P20">
        <v>106.4</v>
      </c>
      <c r="Q20">
        <v>109.1</v>
      </c>
      <c r="R20">
        <v>112.1</v>
      </c>
      <c r="S20">
        <v>113.1</v>
      </c>
      <c r="T20">
        <v>109.8</v>
      </c>
      <c r="U20">
        <v>110.5</v>
      </c>
      <c r="V20">
        <v>109.5</v>
      </c>
      <c r="W20">
        <v>110.3</v>
      </c>
      <c r="X20">
        <v>107.7</v>
      </c>
      <c r="Y20">
        <v>109.5</v>
      </c>
      <c r="Z20">
        <v>108.3</v>
      </c>
      <c r="AA20">
        <v>106.9</v>
      </c>
      <c r="AB20">
        <v>106.8</v>
      </c>
      <c r="AC20">
        <v>106.4</v>
      </c>
      <c r="AD20">
        <v>107.8</v>
      </c>
      <c r="AE20">
        <v>102.5</v>
      </c>
      <c r="AF20">
        <v>106.5</v>
      </c>
      <c r="AG20">
        <v>110.7</v>
      </c>
      <c r="AH20">
        <f t="shared" si="2"/>
        <v>1445.8999999999996</v>
      </c>
      <c r="AI20">
        <f t="shared" si="3"/>
        <v>109.5</v>
      </c>
      <c r="AJ20">
        <f t="shared" si="4"/>
        <v>106.8</v>
      </c>
      <c r="AK20">
        <f t="shared" si="5"/>
        <v>107.8</v>
      </c>
      <c r="AL20">
        <f t="shared" si="6"/>
        <v>1078.4000000000001</v>
      </c>
      <c r="AM20" t="str">
        <f t="shared" si="7"/>
        <v>No</v>
      </c>
    </row>
    <row r="21" spans="1:39" x14ac:dyDescent="0.3">
      <c r="A21" t="s">
        <v>32</v>
      </c>
      <c r="B21" s="28">
        <f t="shared" si="0"/>
        <v>41456</v>
      </c>
      <c r="C21">
        <v>2013</v>
      </c>
      <c r="D21" t="s">
        <v>39</v>
      </c>
      <c r="E21" t="str">
        <f t="shared" si="1"/>
        <v>Jul-13</v>
      </c>
      <c r="F21">
        <f>VLOOKUP(D21,'Problem Statement 4'!$G$2:$H$13,2,0)</f>
        <v>7</v>
      </c>
      <c r="G21">
        <v>117.8</v>
      </c>
      <c r="H21">
        <v>119.2</v>
      </c>
      <c r="I21">
        <v>114</v>
      </c>
      <c r="J21">
        <v>108.3</v>
      </c>
      <c r="K21">
        <v>101.1</v>
      </c>
      <c r="L21">
        <v>113.2</v>
      </c>
      <c r="M21">
        <v>160.9</v>
      </c>
      <c r="N21">
        <v>105.1</v>
      </c>
      <c r="O21">
        <v>101.3</v>
      </c>
      <c r="P21">
        <v>107.5</v>
      </c>
      <c r="Q21">
        <v>110.4</v>
      </c>
      <c r="R21">
        <v>113.1</v>
      </c>
      <c r="S21">
        <v>117.5</v>
      </c>
      <c r="T21">
        <v>111.7</v>
      </c>
      <c r="U21">
        <v>109.8</v>
      </c>
      <c r="V21">
        <v>107.8</v>
      </c>
      <c r="W21">
        <v>109.5</v>
      </c>
      <c r="X21">
        <v>107.7</v>
      </c>
      <c r="Y21">
        <v>108.6</v>
      </c>
      <c r="Z21">
        <v>108.1</v>
      </c>
      <c r="AA21">
        <v>107.1</v>
      </c>
      <c r="AB21">
        <v>107.3</v>
      </c>
      <c r="AC21">
        <v>105.9</v>
      </c>
      <c r="AD21">
        <v>110.1</v>
      </c>
      <c r="AE21">
        <v>103.2</v>
      </c>
      <c r="AF21">
        <v>107.3</v>
      </c>
      <c r="AG21">
        <v>111.4</v>
      </c>
      <c r="AH21">
        <f t="shared" si="2"/>
        <v>1489.4</v>
      </c>
      <c r="AI21">
        <f t="shared" si="3"/>
        <v>108.6</v>
      </c>
      <c r="AJ21">
        <f t="shared" si="4"/>
        <v>107.3</v>
      </c>
      <c r="AK21">
        <f t="shared" si="5"/>
        <v>110.1</v>
      </c>
      <c r="AL21">
        <f t="shared" si="6"/>
        <v>1078.1000000000001</v>
      </c>
      <c r="AM21" t="str">
        <f t="shared" si="7"/>
        <v>No</v>
      </c>
    </row>
    <row r="22" spans="1:39" x14ac:dyDescent="0.3">
      <c r="A22" t="s">
        <v>33</v>
      </c>
      <c r="B22" s="28">
        <f t="shared" si="0"/>
        <v>41456</v>
      </c>
      <c r="C22">
        <v>2013</v>
      </c>
      <c r="D22" t="s">
        <v>39</v>
      </c>
      <c r="E22" t="str">
        <f t="shared" si="1"/>
        <v>Jul-13</v>
      </c>
      <c r="F22">
        <f>VLOOKUP(D22,'Problem Statement 4'!$G$2:$H$13,2,0)</f>
        <v>7</v>
      </c>
      <c r="G22">
        <v>114.8</v>
      </c>
      <c r="H22">
        <v>116.4</v>
      </c>
      <c r="I22">
        <v>111.9</v>
      </c>
      <c r="J22">
        <v>108.9</v>
      </c>
      <c r="K22">
        <v>104.3</v>
      </c>
      <c r="L22">
        <v>111.7</v>
      </c>
      <c r="M22">
        <v>140</v>
      </c>
      <c r="N22">
        <v>106.4</v>
      </c>
      <c r="O22">
        <v>103.3</v>
      </c>
      <c r="P22">
        <v>106.8</v>
      </c>
      <c r="Q22">
        <v>109.6</v>
      </c>
      <c r="R22">
        <v>112.6</v>
      </c>
      <c r="S22">
        <v>114.7</v>
      </c>
      <c r="T22">
        <v>110.3</v>
      </c>
      <c r="U22">
        <v>110.2</v>
      </c>
      <c r="V22">
        <v>108.8</v>
      </c>
      <c r="W22">
        <v>110</v>
      </c>
      <c r="X22">
        <v>107.7</v>
      </c>
      <c r="Y22">
        <v>109.2</v>
      </c>
      <c r="Z22">
        <v>108.2</v>
      </c>
      <c r="AA22">
        <v>107</v>
      </c>
      <c r="AB22">
        <v>107.1</v>
      </c>
      <c r="AC22">
        <v>106.1</v>
      </c>
      <c r="AD22">
        <v>109.1</v>
      </c>
      <c r="AE22">
        <v>102.8</v>
      </c>
      <c r="AF22">
        <v>106.9</v>
      </c>
      <c r="AG22">
        <v>111</v>
      </c>
      <c r="AH22">
        <f t="shared" si="2"/>
        <v>1461.3999999999999</v>
      </c>
      <c r="AI22">
        <f t="shared" si="3"/>
        <v>109.2</v>
      </c>
      <c r="AJ22">
        <f t="shared" si="4"/>
        <v>107.1</v>
      </c>
      <c r="AK22">
        <f t="shared" si="5"/>
        <v>109.1</v>
      </c>
      <c r="AL22">
        <f t="shared" si="6"/>
        <v>1078</v>
      </c>
      <c r="AM22" t="str">
        <f t="shared" si="7"/>
        <v>No</v>
      </c>
    </row>
    <row r="23" spans="1:39" x14ac:dyDescent="0.3">
      <c r="A23" t="s">
        <v>30</v>
      </c>
      <c r="B23" s="28">
        <f t="shared" si="0"/>
        <v>41487</v>
      </c>
      <c r="C23">
        <v>2013</v>
      </c>
      <c r="D23" t="s">
        <v>40</v>
      </c>
      <c r="E23" t="str">
        <f t="shared" si="1"/>
        <v>Aug-13</v>
      </c>
      <c r="F23">
        <f>VLOOKUP(D23,'Problem Statement 4'!$G$2:$H$13,2,0)</f>
        <v>8</v>
      </c>
      <c r="G23">
        <v>114.3</v>
      </c>
      <c r="H23">
        <v>115.4</v>
      </c>
      <c r="I23">
        <v>111.1</v>
      </c>
      <c r="J23">
        <v>110</v>
      </c>
      <c r="K23">
        <v>106.4</v>
      </c>
      <c r="L23">
        <v>110.8</v>
      </c>
      <c r="M23">
        <v>138.9</v>
      </c>
      <c r="N23">
        <v>107.4</v>
      </c>
      <c r="O23">
        <v>104.1</v>
      </c>
      <c r="P23">
        <v>106.9</v>
      </c>
      <c r="Q23">
        <v>109.7</v>
      </c>
      <c r="R23">
        <v>112.6</v>
      </c>
      <c r="S23">
        <v>114.9</v>
      </c>
      <c r="T23">
        <v>110.7</v>
      </c>
      <c r="U23">
        <v>111.3</v>
      </c>
      <c r="V23">
        <v>110.2</v>
      </c>
      <c r="W23">
        <v>111.1</v>
      </c>
      <c r="X23">
        <v>108.9</v>
      </c>
      <c r="Y23">
        <v>109.9</v>
      </c>
      <c r="Z23">
        <v>108.7</v>
      </c>
      <c r="AA23">
        <v>107.5</v>
      </c>
      <c r="AB23">
        <v>107.8</v>
      </c>
      <c r="AC23">
        <v>106.8</v>
      </c>
      <c r="AD23">
        <v>108.7</v>
      </c>
      <c r="AE23">
        <v>105</v>
      </c>
      <c r="AF23">
        <v>107.5</v>
      </c>
      <c r="AG23">
        <v>112.1</v>
      </c>
      <c r="AH23">
        <f t="shared" si="2"/>
        <v>1462.5</v>
      </c>
      <c r="AI23">
        <f t="shared" si="3"/>
        <v>109.9</v>
      </c>
      <c r="AJ23">
        <f t="shared" si="4"/>
        <v>107.8</v>
      </c>
      <c r="AK23">
        <f t="shared" si="5"/>
        <v>108.7</v>
      </c>
      <c r="AL23">
        <f t="shared" si="6"/>
        <v>1087.6999999999998</v>
      </c>
      <c r="AM23" t="str">
        <f t="shared" si="7"/>
        <v>No</v>
      </c>
    </row>
    <row r="24" spans="1:39" x14ac:dyDescent="0.3">
      <c r="A24" t="s">
        <v>32</v>
      </c>
      <c r="B24" s="28">
        <f t="shared" si="0"/>
        <v>41487</v>
      </c>
      <c r="C24">
        <v>2013</v>
      </c>
      <c r="D24" t="s">
        <v>40</v>
      </c>
      <c r="E24" t="str">
        <f t="shared" si="1"/>
        <v>Aug-13</v>
      </c>
      <c r="F24">
        <f>VLOOKUP(D24,'Problem Statement 4'!$G$2:$H$13,2,0)</f>
        <v>8</v>
      </c>
      <c r="G24">
        <v>118.3</v>
      </c>
      <c r="H24">
        <v>120.4</v>
      </c>
      <c r="I24">
        <v>112.7</v>
      </c>
      <c r="J24">
        <v>108.9</v>
      </c>
      <c r="K24">
        <v>101.1</v>
      </c>
      <c r="L24">
        <v>108.7</v>
      </c>
      <c r="M24">
        <v>177</v>
      </c>
      <c r="N24">
        <v>104.7</v>
      </c>
      <c r="O24">
        <v>101</v>
      </c>
      <c r="P24">
        <v>108.5</v>
      </c>
      <c r="Q24">
        <v>110.9</v>
      </c>
      <c r="R24">
        <v>114.3</v>
      </c>
      <c r="S24">
        <v>119.6</v>
      </c>
      <c r="T24">
        <v>112.4</v>
      </c>
      <c r="U24">
        <v>110.6</v>
      </c>
      <c r="V24">
        <v>108.3</v>
      </c>
      <c r="W24">
        <v>110.2</v>
      </c>
      <c r="X24">
        <v>108.9</v>
      </c>
      <c r="Y24">
        <v>109.3</v>
      </c>
      <c r="Z24">
        <v>108.7</v>
      </c>
      <c r="AA24">
        <v>107.6</v>
      </c>
      <c r="AB24">
        <v>108.1</v>
      </c>
      <c r="AC24">
        <v>106.5</v>
      </c>
      <c r="AD24">
        <v>110.8</v>
      </c>
      <c r="AE24">
        <v>106</v>
      </c>
      <c r="AF24">
        <v>108.3</v>
      </c>
      <c r="AG24">
        <v>112.7</v>
      </c>
      <c r="AH24">
        <f t="shared" si="2"/>
        <v>1506.1000000000001</v>
      </c>
      <c r="AI24">
        <f t="shared" si="3"/>
        <v>109.3</v>
      </c>
      <c r="AJ24">
        <f t="shared" si="4"/>
        <v>108.1</v>
      </c>
      <c r="AK24">
        <f t="shared" si="5"/>
        <v>110.8</v>
      </c>
      <c r="AL24">
        <f t="shared" si="6"/>
        <v>1087.5</v>
      </c>
      <c r="AM24" t="str">
        <f t="shared" si="7"/>
        <v>No</v>
      </c>
    </row>
    <row r="25" spans="1:39" x14ac:dyDescent="0.3">
      <c r="A25" t="s">
        <v>33</v>
      </c>
      <c r="B25" s="28">
        <f t="shared" si="0"/>
        <v>41487</v>
      </c>
      <c r="C25">
        <v>2013</v>
      </c>
      <c r="D25" t="s">
        <v>40</v>
      </c>
      <c r="E25" t="str">
        <f t="shared" si="1"/>
        <v>Aug-13</v>
      </c>
      <c r="F25">
        <f>VLOOKUP(D25,'Problem Statement 4'!$G$2:$H$13,2,0)</f>
        <v>8</v>
      </c>
      <c r="G25">
        <v>115.6</v>
      </c>
      <c r="H25">
        <v>117.2</v>
      </c>
      <c r="I25">
        <v>111.7</v>
      </c>
      <c r="J25">
        <v>109.6</v>
      </c>
      <c r="K25">
        <v>104.5</v>
      </c>
      <c r="L25">
        <v>109.8</v>
      </c>
      <c r="M25">
        <v>151.80000000000001</v>
      </c>
      <c r="N25">
        <v>106.5</v>
      </c>
      <c r="O25">
        <v>103.1</v>
      </c>
      <c r="P25">
        <v>107.4</v>
      </c>
      <c r="Q25">
        <v>110.2</v>
      </c>
      <c r="R25">
        <v>113.4</v>
      </c>
      <c r="S25">
        <v>116.6</v>
      </c>
      <c r="T25">
        <v>111.2</v>
      </c>
      <c r="U25">
        <v>111</v>
      </c>
      <c r="V25">
        <v>109.4</v>
      </c>
      <c r="W25">
        <v>110.7</v>
      </c>
      <c r="X25">
        <v>108.9</v>
      </c>
      <c r="Y25">
        <v>109.7</v>
      </c>
      <c r="Z25">
        <v>108.7</v>
      </c>
      <c r="AA25">
        <v>107.5</v>
      </c>
      <c r="AB25">
        <v>108</v>
      </c>
      <c r="AC25">
        <v>106.6</v>
      </c>
      <c r="AD25">
        <v>109.9</v>
      </c>
      <c r="AE25">
        <v>105.4</v>
      </c>
      <c r="AF25">
        <v>107.9</v>
      </c>
      <c r="AG25">
        <v>112.4</v>
      </c>
      <c r="AH25">
        <f t="shared" si="2"/>
        <v>1477.4</v>
      </c>
      <c r="AI25">
        <f t="shared" si="3"/>
        <v>109.7</v>
      </c>
      <c r="AJ25">
        <f t="shared" si="4"/>
        <v>108</v>
      </c>
      <c r="AK25">
        <f t="shared" si="5"/>
        <v>109.9</v>
      </c>
      <c r="AL25">
        <f t="shared" si="6"/>
        <v>1087.3000000000002</v>
      </c>
      <c r="AM25" t="str">
        <f t="shared" si="7"/>
        <v>No</v>
      </c>
    </row>
    <row r="26" spans="1:39" x14ac:dyDescent="0.3">
      <c r="A26" t="s">
        <v>30</v>
      </c>
      <c r="B26" s="28">
        <f t="shared" si="0"/>
        <v>41518</v>
      </c>
      <c r="C26">
        <v>2013</v>
      </c>
      <c r="D26" t="s">
        <v>41</v>
      </c>
      <c r="E26" t="str">
        <f t="shared" si="1"/>
        <v>Sep-13</v>
      </c>
      <c r="F26">
        <f>VLOOKUP(D26,'Problem Statement 4'!$G$2:$H$13,2,0)</f>
        <v>9</v>
      </c>
      <c r="G26">
        <v>115.4</v>
      </c>
      <c r="H26">
        <v>115.7</v>
      </c>
      <c r="I26">
        <v>111.7</v>
      </c>
      <c r="J26">
        <v>111</v>
      </c>
      <c r="K26">
        <v>107.4</v>
      </c>
      <c r="L26">
        <v>110.9</v>
      </c>
      <c r="M26">
        <v>154</v>
      </c>
      <c r="N26">
        <v>108.1</v>
      </c>
      <c r="O26">
        <v>104.2</v>
      </c>
      <c r="P26">
        <v>107.9</v>
      </c>
      <c r="Q26">
        <v>110.4</v>
      </c>
      <c r="R26">
        <v>114</v>
      </c>
      <c r="S26">
        <v>117.8</v>
      </c>
      <c r="T26">
        <v>111.7</v>
      </c>
      <c r="U26">
        <v>112.7</v>
      </c>
      <c r="V26">
        <v>111.4</v>
      </c>
      <c r="W26">
        <v>112.5</v>
      </c>
      <c r="X26">
        <v>109.7</v>
      </c>
      <c r="Y26">
        <v>111.1</v>
      </c>
      <c r="Z26">
        <v>109.6</v>
      </c>
      <c r="AA26">
        <v>108.3</v>
      </c>
      <c r="AB26">
        <v>109.3</v>
      </c>
      <c r="AC26">
        <v>107.7</v>
      </c>
      <c r="AD26">
        <v>109.8</v>
      </c>
      <c r="AE26">
        <v>106.7</v>
      </c>
      <c r="AF26">
        <v>108.7</v>
      </c>
      <c r="AG26">
        <v>114.2</v>
      </c>
      <c r="AH26">
        <f t="shared" si="2"/>
        <v>1488.5000000000002</v>
      </c>
      <c r="AI26">
        <f t="shared" si="3"/>
        <v>111.1</v>
      </c>
      <c r="AJ26">
        <f t="shared" si="4"/>
        <v>109.3</v>
      </c>
      <c r="AK26">
        <f t="shared" si="5"/>
        <v>109.8</v>
      </c>
      <c r="AL26">
        <f t="shared" si="6"/>
        <v>1099</v>
      </c>
      <c r="AM26" t="str">
        <f t="shared" si="7"/>
        <v>No</v>
      </c>
    </row>
    <row r="27" spans="1:39" x14ac:dyDescent="0.3">
      <c r="A27" t="s">
        <v>32</v>
      </c>
      <c r="B27" s="28">
        <f t="shared" si="0"/>
        <v>41518</v>
      </c>
      <c r="C27">
        <v>2013</v>
      </c>
      <c r="D27" t="s">
        <v>41</v>
      </c>
      <c r="E27" t="str">
        <f t="shared" si="1"/>
        <v>Sep-13</v>
      </c>
      <c r="F27">
        <f>VLOOKUP(D27,'Problem Statement 4'!$G$2:$H$13,2,0)</f>
        <v>9</v>
      </c>
      <c r="G27">
        <v>118.6</v>
      </c>
      <c r="H27">
        <v>119.1</v>
      </c>
      <c r="I27">
        <v>113.2</v>
      </c>
      <c r="J27">
        <v>109.6</v>
      </c>
      <c r="K27">
        <v>101.7</v>
      </c>
      <c r="L27">
        <v>103.2</v>
      </c>
      <c r="M27">
        <v>174.3</v>
      </c>
      <c r="N27">
        <v>105.1</v>
      </c>
      <c r="O27">
        <v>100.8</v>
      </c>
      <c r="P27">
        <v>109.1</v>
      </c>
      <c r="Q27">
        <v>111.1</v>
      </c>
      <c r="R27">
        <v>115.4</v>
      </c>
      <c r="S27">
        <v>119.2</v>
      </c>
      <c r="T27">
        <v>112.9</v>
      </c>
      <c r="U27">
        <v>111.4</v>
      </c>
      <c r="V27">
        <v>109</v>
      </c>
      <c r="W27">
        <v>111.1</v>
      </c>
      <c r="X27">
        <v>109.7</v>
      </c>
      <c r="Y27">
        <v>109.5</v>
      </c>
      <c r="Z27">
        <v>109.6</v>
      </c>
      <c r="AA27">
        <v>107.9</v>
      </c>
      <c r="AB27">
        <v>110.4</v>
      </c>
      <c r="AC27">
        <v>107.4</v>
      </c>
      <c r="AD27">
        <v>111.2</v>
      </c>
      <c r="AE27">
        <v>106.9</v>
      </c>
      <c r="AF27">
        <v>109.4</v>
      </c>
      <c r="AG27">
        <v>113.2</v>
      </c>
      <c r="AH27">
        <f t="shared" si="2"/>
        <v>1500.4</v>
      </c>
      <c r="AI27">
        <f t="shared" si="3"/>
        <v>109.5</v>
      </c>
      <c r="AJ27">
        <f t="shared" si="4"/>
        <v>110.4</v>
      </c>
      <c r="AK27">
        <f t="shared" si="5"/>
        <v>111.2</v>
      </c>
      <c r="AL27">
        <f t="shared" si="6"/>
        <v>1095.3</v>
      </c>
      <c r="AM27" t="str">
        <f t="shared" si="7"/>
        <v>No</v>
      </c>
    </row>
    <row r="28" spans="1:39" x14ac:dyDescent="0.3">
      <c r="A28" t="s">
        <v>33</v>
      </c>
      <c r="B28" s="28">
        <f t="shared" si="0"/>
        <v>41518</v>
      </c>
      <c r="C28">
        <v>2013</v>
      </c>
      <c r="D28" t="s">
        <v>41</v>
      </c>
      <c r="E28" t="str">
        <f t="shared" si="1"/>
        <v>Sep-13</v>
      </c>
      <c r="F28">
        <f>VLOOKUP(D28,'Problem Statement 4'!$G$2:$H$13,2,0)</f>
        <v>9</v>
      </c>
      <c r="G28">
        <v>116.4</v>
      </c>
      <c r="H28">
        <v>116.9</v>
      </c>
      <c r="I28">
        <v>112.3</v>
      </c>
      <c r="J28">
        <v>110.5</v>
      </c>
      <c r="K28">
        <v>105.3</v>
      </c>
      <c r="L28">
        <v>107.3</v>
      </c>
      <c r="M28">
        <v>160.9</v>
      </c>
      <c r="N28">
        <v>107.1</v>
      </c>
      <c r="O28">
        <v>103.1</v>
      </c>
      <c r="P28">
        <v>108.3</v>
      </c>
      <c r="Q28">
        <v>110.7</v>
      </c>
      <c r="R28">
        <v>114.6</v>
      </c>
      <c r="S28">
        <v>118.3</v>
      </c>
      <c r="T28">
        <v>112</v>
      </c>
      <c r="U28">
        <v>112.2</v>
      </c>
      <c r="V28">
        <v>110.4</v>
      </c>
      <c r="W28">
        <v>111.9</v>
      </c>
      <c r="X28">
        <v>109.7</v>
      </c>
      <c r="Y28">
        <v>110.5</v>
      </c>
      <c r="Z28">
        <v>109.6</v>
      </c>
      <c r="AA28">
        <v>108.1</v>
      </c>
      <c r="AB28">
        <v>109.9</v>
      </c>
      <c r="AC28">
        <v>107.5</v>
      </c>
      <c r="AD28">
        <v>110.6</v>
      </c>
      <c r="AE28">
        <v>106.8</v>
      </c>
      <c r="AF28">
        <v>109</v>
      </c>
      <c r="AG28">
        <v>113.7</v>
      </c>
      <c r="AH28">
        <f t="shared" si="2"/>
        <v>1491.6999999999998</v>
      </c>
      <c r="AI28">
        <f t="shared" si="3"/>
        <v>110.5</v>
      </c>
      <c r="AJ28">
        <f t="shared" si="4"/>
        <v>109.9</v>
      </c>
      <c r="AK28">
        <f t="shared" si="5"/>
        <v>110.6</v>
      </c>
      <c r="AL28">
        <f t="shared" si="6"/>
        <v>1097.2</v>
      </c>
      <c r="AM28" t="str">
        <f t="shared" si="7"/>
        <v>No</v>
      </c>
    </row>
    <row r="29" spans="1:39" x14ac:dyDescent="0.3">
      <c r="A29" t="s">
        <v>30</v>
      </c>
      <c r="B29" s="28">
        <f t="shared" si="0"/>
        <v>41548</v>
      </c>
      <c r="C29">
        <v>2013</v>
      </c>
      <c r="D29" t="s">
        <v>42</v>
      </c>
      <c r="E29" t="str">
        <f t="shared" si="1"/>
        <v>Oct-13</v>
      </c>
      <c r="F29">
        <f>VLOOKUP(D29,'Problem Statement 4'!$G$2:$H$13,2,0)</f>
        <v>10</v>
      </c>
      <c r="G29">
        <v>116.3</v>
      </c>
      <c r="H29">
        <v>115.4</v>
      </c>
      <c r="I29">
        <v>112.6</v>
      </c>
      <c r="J29">
        <v>111.7</v>
      </c>
      <c r="K29">
        <v>107.7</v>
      </c>
      <c r="L29">
        <v>113.2</v>
      </c>
      <c r="M29">
        <v>164.9</v>
      </c>
      <c r="N29">
        <v>108.3</v>
      </c>
      <c r="O29">
        <v>103.9</v>
      </c>
      <c r="P29">
        <v>108.2</v>
      </c>
      <c r="Q29">
        <v>111.1</v>
      </c>
      <c r="R29">
        <v>114.9</v>
      </c>
      <c r="S29">
        <v>119.8</v>
      </c>
      <c r="T29">
        <v>112.2</v>
      </c>
      <c r="U29">
        <v>113.6</v>
      </c>
      <c r="V29">
        <v>112.3</v>
      </c>
      <c r="W29">
        <v>113.4</v>
      </c>
      <c r="X29">
        <v>110.5</v>
      </c>
      <c r="Y29">
        <v>111.6</v>
      </c>
      <c r="Z29">
        <v>110.4</v>
      </c>
      <c r="AA29">
        <v>108.9</v>
      </c>
      <c r="AB29">
        <v>109.3</v>
      </c>
      <c r="AC29">
        <v>108.3</v>
      </c>
      <c r="AD29">
        <v>110.2</v>
      </c>
      <c r="AE29">
        <v>107.5</v>
      </c>
      <c r="AF29">
        <v>109.1</v>
      </c>
      <c r="AG29">
        <v>115.5</v>
      </c>
      <c r="AH29">
        <f t="shared" si="2"/>
        <v>1508</v>
      </c>
      <c r="AI29">
        <f t="shared" si="3"/>
        <v>111.6</v>
      </c>
      <c r="AJ29">
        <f t="shared" si="4"/>
        <v>109.3</v>
      </c>
      <c r="AK29">
        <f t="shared" si="5"/>
        <v>110.2</v>
      </c>
      <c r="AL29">
        <f t="shared" si="6"/>
        <v>1106.1999999999998</v>
      </c>
      <c r="AM29" t="str">
        <f t="shared" si="7"/>
        <v>No</v>
      </c>
    </row>
    <row r="30" spans="1:39" x14ac:dyDescent="0.3">
      <c r="A30" t="s">
        <v>32</v>
      </c>
      <c r="B30" s="28">
        <f t="shared" si="0"/>
        <v>41548</v>
      </c>
      <c r="C30">
        <v>2013</v>
      </c>
      <c r="D30" t="s">
        <v>42</v>
      </c>
      <c r="E30" t="str">
        <f t="shared" si="1"/>
        <v>Oct-13</v>
      </c>
      <c r="F30">
        <f>VLOOKUP(D30,'Problem Statement 4'!$G$2:$H$13,2,0)</f>
        <v>10</v>
      </c>
      <c r="G30">
        <v>118.9</v>
      </c>
      <c r="H30">
        <v>118.1</v>
      </c>
      <c r="I30">
        <v>114.5</v>
      </c>
      <c r="J30">
        <v>110.4</v>
      </c>
      <c r="K30">
        <v>102.3</v>
      </c>
      <c r="L30">
        <v>106.2</v>
      </c>
      <c r="M30">
        <v>183.5</v>
      </c>
      <c r="N30">
        <v>105.3</v>
      </c>
      <c r="O30">
        <v>100.2</v>
      </c>
      <c r="P30">
        <v>109.6</v>
      </c>
      <c r="Q30">
        <v>111.4</v>
      </c>
      <c r="R30">
        <v>116</v>
      </c>
      <c r="S30">
        <v>120.8</v>
      </c>
      <c r="T30">
        <v>113.5</v>
      </c>
      <c r="U30">
        <v>112.5</v>
      </c>
      <c r="V30">
        <v>109.7</v>
      </c>
      <c r="W30">
        <v>112</v>
      </c>
      <c r="X30">
        <v>110.5</v>
      </c>
      <c r="Y30">
        <v>109.7</v>
      </c>
      <c r="Z30">
        <v>110.2</v>
      </c>
      <c r="AA30">
        <v>108.2</v>
      </c>
      <c r="AB30">
        <v>109.7</v>
      </c>
      <c r="AC30">
        <v>108</v>
      </c>
      <c r="AD30">
        <v>111.3</v>
      </c>
      <c r="AE30">
        <v>107.3</v>
      </c>
      <c r="AF30">
        <v>109.4</v>
      </c>
      <c r="AG30">
        <v>114</v>
      </c>
      <c r="AH30">
        <f t="shared" si="2"/>
        <v>1517.1999999999998</v>
      </c>
      <c r="AI30">
        <f t="shared" si="3"/>
        <v>109.7</v>
      </c>
      <c r="AJ30">
        <f t="shared" si="4"/>
        <v>109.7</v>
      </c>
      <c r="AK30">
        <f t="shared" si="5"/>
        <v>111.3</v>
      </c>
      <c r="AL30">
        <f t="shared" si="6"/>
        <v>1101.3000000000002</v>
      </c>
      <c r="AM30" t="str">
        <f t="shared" si="7"/>
        <v>No</v>
      </c>
    </row>
    <row r="31" spans="1:39" x14ac:dyDescent="0.3">
      <c r="A31" t="s">
        <v>33</v>
      </c>
      <c r="B31" s="28">
        <f t="shared" si="0"/>
        <v>41548</v>
      </c>
      <c r="C31">
        <v>2013</v>
      </c>
      <c r="D31" t="s">
        <v>42</v>
      </c>
      <c r="E31" t="str">
        <f t="shared" si="1"/>
        <v>Oct-13</v>
      </c>
      <c r="F31">
        <f>VLOOKUP(D31,'Problem Statement 4'!$G$2:$H$13,2,0)</f>
        <v>10</v>
      </c>
      <c r="G31">
        <v>117.1</v>
      </c>
      <c r="H31">
        <v>116.3</v>
      </c>
      <c r="I31">
        <v>113.3</v>
      </c>
      <c r="J31">
        <v>111.2</v>
      </c>
      <c r="K31">
        <v>105.7</v>
      </c>
      <c r="L31">
        <v>109.9</v>
      </c>
      <c r="M31">
        <v>171.2</v>
      </c>
      <c r="N31">
        <v>107.3</v>
      </c>
      <c r="O31">
        <v>102.7</v>
      </c>
      <c r="P31">
        <v>108.7</v>
      </c>
      <c r="Q31">
        <v>111.2</v>
      </c>
      <c r="R31">
        <v>115.4</v>
      </c>
      <c r="S31">
        <v>120.2</v>
      </c>
      <c r="T31">
        <v>112.5</v>
      </c>
      <c r="U31">
        <v>113.2</v>
      </c>
      <c r="V31">
        <v>111.2</v>
      </c>
      <c r="W31">
        <v>112.8</v>
      </c>
      <c r="X31">
        <v>110.5</v>
      </c>
      <c r="Y31">
        <v>110.9</v>
      </c>
      <c r="Z31">
        <v>110.3</v>
      </c>
      <c r="AA31">
        <v>108.6</v>
      </c>
      <c r="AB31">
        <v>109.5</v>
      </c>
      <c r="AC31">
        <v>108.1</v>
      </c>
      <c r="AD31">
        <v>110.8</v>
      </c>
      <c r="AE31">
        <v>107.4</v>
      </c>
      <c r="AF31">
        <v>109.2</v>
      </c>
      <c r="AG31">
        <v>114.8</v>
      </c>
      <c r="AH31">
        <f t="shared" si="2"/>
        <v>1510.2000000000003</v>
      </c>
      <c r="AI31">
        <f t="shared" si="3"/>
        <v>110.9</v>
      </c>
      <c r="AJ31">
        <f t="shared" si="4"/>
        <v>109.5</v>
      </c>
      <c r="AK31">
        <f t="shared" si="5"/>
        <v>110.8</v>
      </c>
      <c r="AL31">
        <f t="shared" si="6"/>
        <v>1103.8</v>
      </c>
      <c r="AM31" t="str">
        <f t="shared" si="7"/>
        <v>No</v>
      </c>
    </row>
    <row r="32" spans="1:39" x14ac:dyDescent="0.3">
      <c r="A32" t="s">
        <v>30</v>
      </c>
      <c r="B32" s="28" t="e">
        <f t="shared" si="0"/>
        <v>#N/A</v>
      </c>
      <c r="C32">
        <v>2013</v>
      </c>
      <c r="D32" t="s">
        <v>43</v>
      </c>
      <c r="E32" t="e">
        <f t="shared" si="1"/>
        <v>#N/A</v>
      </c>
      <c r="F32" t="e">
        <f>VLOOKUP(D32,'Problem Statement 4'!$G$2:$H$13,2,0)</f>
        <v>#N/A</v>
      </c>
      <c r="G32">
        <v>117.3</v>
      </c>
      <c r="H32">
        <v>114.9</v>
      </c>
      <c r="I32">
        <v>116.2</v>
      </c>
      <c r="J32">
        <v>112.8</v>
      </c>
      <c r="K32">
        <v>108.9</v>
      </c>
      <c r="L32">
        <v>116.6</v>
      </c>
      <c r="M32">
        <v>178.1</v>
      </c>
      <c r="N32">
        <v>109.1</v>
      </c>
      <c r="O32">
        <v>103.6</v>
      </c>
      <c r="P32">
        <v>109</v>
      </c>
      <c r="Q32">
        <v>111.8</v>
      </c>
      <c r="R32">
        <v>116</v>
      </c>
      <c r="S32">
        <v>122.5</v>
      </c>
      <c r="T32">
        <v>112.8</v>
      </c>
      <c r="U32">
        <v>114.6</v>
      </c>
      <c r="V32">
        <v>113.1</v>
      </c>
      <c r="W32">
        <v>114.4</v>
      </c>
      <c r="X32">
        <v>111.1</v>
      </c>
      <c r="Y32">
        <v>112.6</v>
      </c>
      <c r="Z32">
        <v>111.3</v>
      </c>
      <c r="AA32">
        <v>109.7</v>
      </c>
      <c r="AB32">
        <v>109.6</v>
      </c>
      <c r="AC32">
        <v>108.7</v>
      </c>
      <c r="AD32">
        <v>111</v>
      </c>
      <c r="AE32">
        <v>108.2</v>
      </c>
      <c r="AF32">
        <v>109.8</v>
      </c>
      <c r="AG32">
        <v>117.4</v>
      </c>
      <c r="AH32">
        <f t="shared" si="2"/>
        <v>1536.8</v>
      </c>
      <c r="AI32">
        <f t="shared" si="3"/>
        <v>112.6</v>
      </c>
      <c r="AJ32">
        <f t="shared" si="4"/>
        <v>109.6</v>
      </c>
      <c r="AK32">
        <f t="shared" si="5"/>
        <v>111</v>
      </c>
      <c r="AL32">
        <f t="shared" si="6"/>
        <v>1113.7</v>
      </c>
      <c r="AM32" t="str">
        <f t="shared" si="7"/>
        <v>No</v>
      </c>
    </row>
    <row r="33" spans="1:39" x14ac:dyDescent="0.3">
      <c r="A33" t="s">
        <v>32</v>
      </c>
      <c r="B33" s="28">
        <f t="shared" si="0"/>
        <v>41579</v>
      </c>
      <c r="C33">
        <v>2013</v>
      </c>
      <c r="D33" t="s">
        <v>44</v>
      </c>
      <c r="E33" t="str">
        <f t="shared" si="1"/>
        <v>Nov-13</v>
      </c>
      <c r="F33">
        <f>VLOOKUP(D33,'Problem Statement 4'!$G$2:$H$13,2,0)</f>
        <v>11</v>
      </c>
      <c r="G33">
        <v>119.8</v>
      </c>
      <c r="H33">
        <v>116.3</v>
      </c>
      <c r="I33">
        <v>122.6</v>
      </c>
      <c r="J33">
        <v>112</v>
      </c>
      <c r="K33">
        <v>103.2</v>
      </c>
      <c r="L33">
        <v>110</v>
      </c>
      <c r="M33">
        <v>192.8</v>
      </c>
      <c r="N33">
        <v>106.3</v>
      </c>
      <c r="O33">
        <v>99.5</v>
      </c>
      <c r="P33">
        <v>110.3</v>
      </c>
      <c r="Q33">
        <v>111.8</v>
      </c>
      <c r="R33">
        <v>117.1</v>
      </c>
      <c r="S33">
        <v>122.9</v>
      </c>
      <c r="T33">
        <v>114.1</v>
      </c>
      <c r="U33">
        <v>113.5</v>
      </c>
      <c r="V33">
        <v>110.3</v>
      </c>
      <c r="W33">
        <v>113</v>
      </c>
      <c r="X33">
        <v>111.1</v>
      </c>
      <c r="Y33">
        <v>110</v>
      </c>
      <c r="Z33">
        <v>110.9</v>
      </c>
      <c r="AA33">
        <v>108.6</v>
      </c>
      <c r="AB33">
        <v>109.5</v>
      </c>
      <c r="AC33">
        <v>108.5</v>
      </c>
      <c r="AD33">
        <v>111.3</v>
      </c>
      <c r="AE33">
        <v>107.9</v>
      </c>
      <c r="AF33">
        <v>109.6</v>
      </c>
      <c r="AG33">
        <v>115</v>
      </c>
      <c r="AH33">
        <f t="shared" si="2"/>
        <v>1544.6</v>
      </c>
      <c r="AI33">
        <f t="shared" si="3"/>
        <v>110</v>
      </c>
      <c r="AJ33">
        <f t="shared" si="4"/>
        <v>109.5</v>
      </c>
      <c r="AK33">
        <f t="shared" si="5"/>
        <v>111.3</v>
      </c>
      <c r="AL33">
        <f t="shared" si="6"/>
        <v>1107.5</v>
      </c>
      <c r="AM33" t="str">
        <f t="shared" si="7"/>
        <v>No</v>
      </c>
    </row>
    <row r="34" spans="1:39" x14ac:dyDescent="0.3">
      <c r="A34" t="s">
        <v>33</v>
      </c>
      <c r="B34" s="28">
        <f t="shared" si="0"/>
        <v>41579</v>
      </c>
      <c r="C34">
        <v>2013</v>
      </c>
      <c r="D34" t="s">
        <v>44</v>
      </c>
      <c r="E34" t="str">
        <f t="shared" si="1"/>
        <v>Nov-13</v>
      </c>
      <c r="F34">
        <f>VLOOKUP(D34,'Problem Statement 4'!$G$2:$H$13,2,0)</f>
        <v>11</v>
      </c>
      <c r="G34">
        <v>118.1</v>
      </c>
      <c r="H34">
        <v>115.4</v>
      </c>
      <c r="I34">
        <v>118.7</v>
      </c>
      <c r="J34">
        <v>112.5</v>
      </c>
      <c r="K34">
        <v>106.8</v>
      </c>
      <c r="L34">
        <v>113.5</v>
      </c>
      <c r="M34">
        <v>183.1</v>
      </c>
      <c r="N34">
        <v>108.2</v>
      </c>
      <c r="O34">
        <v>102.2</v>
      </c>
      <c r="P34">
        <v>109.4</v>
      </c>
      <c r="Q34">
        <v>111.8</v>
      </c>
      <c r="R34">
        <v>116.5</v>
      </c>
      <c r="S34">
        <v>122.6</v>
      </c>
      <c r="T34">
        <v>113.1</v>
      </c>
      <c r="U34">
        <v>114.2</v>
      </c>
      <c r="V34">
        <v>111.9</v>
      </c>
      <c r="W34">
        <v>113.8</v>
      </c>
      <c r="X34">
        <v>111.1</v>
      </c>
      <c r="Y34">
        <v>111.6</v>
      </c>
      <c r="Z34">
        <v>111.1</v>
      </c>
      <c r="AA34">
        <v>109.3</v>
      </c>
      <c r="AB34">
        <v>109.5</v>
      </c>
      <c r="AC34">
        <v>108.6</v>
      </c>
      <c r="AD34">
        <v>111.2</v>
      </c>
      <c r="AE34">
        <v>108.1</v>
      </c>
      <c r="AF34">
        <v>109.7</v>
      </c>
      <c r="AG34">
        <v>116.3</v>
      </c>
      <c r="AH34">
        <f t="shared" si="2"/>
        <v>1538.8</v>
      </c>
      <c r="AI34">
        <f t="shared" si="3"/>
        <v>111.6</v>
      </c>
      <c r="AJ34">
        <f t="shared" si="4"/>
        <v>109.5</v>
      </c>
      <c r="AK34">
        <f t="shared" si="5"/>
        <v>111.2</v>
      </c>
      <c r="AL34">
        <f t="shared" si="6"/>
        <v>1110.9000000000001</v>
      </c>
      <c r="AM34" t="str">
        <f t="shared" si="7"/>
        <v>No</v>
      </c>
    </row>
    <row r="35" spans="1:39" x14ac:dyDescent="0.3">
      <c r="A35" t="s">
        <v>30</v>
      </c>
      <c r="B35" s="28">
        <f t="shared" si="0"/>
        <v>41609</v>
      </c>
      <c r="C35">
        <v>2013</v>
      </c>
      <c r="D35" t="s">
        <v>45</v>
      </c>
      <c r="E35" t="str">
        <f t="shared" si="1"/>
        <v>Dec-13</v>
      </c>
      <c r="F35">
        <f>VLOOKUP(D35,'Problem Statement 4'!$G$2:$H$13,2,0)</f>
        <v>12</v>
      </c>
      <c r="G35">
        <v>118.4</v>
      </c>
      <c r="H35">
        <v>115.9</v>
      </c>
      <c r="I35">
        <v>120.4</v>
      </c>
      <c r="J35">
        <v>113.8</v>
      </c>
      <c r="K35">
        <v>109.5</v>
      </c>
      <c r="L35">
        <v>115.5</v>
      </c>
      <c r="M35">
        <v>145.69999999999999</v>
      </c>
      <c r="N35">
        <v>109.5</v>
      </c>
      <c r="O35">
        <v>102.9</v>
      </c>
      <c r="P35">
        <v>109.8</v>
      </c>
      <c r="Q35">
        <v>112.1</v>
      </c>
      <c r="R35">
        <v>116.8</v>
      </c>
      <c r="S35">
        <v>118.7</v>
      </c>
      <c r="T35">
        <v>113.6</v>
      </c>
      <c r="U35">
        <v>115.8</v>
      </c>
      <c r="V35">
        <v>114</v>
      </c>
      <c r="W35">
        <v>115.5</v>
      </c>
      <c r="X35">
        <v>110.7</v>
      </c>
      <c r="Y35">
        <v>112.8</v>
      </c>
      <c r="Z35">
        <v>112.1</v>
      </c>
      <c r="AA35">
        <v>110.1</v>
      </c>
      <c r="AB35">
        <v>109.9</v>
      </c>
      <c r="AC35">
        <v>109.2</v>
      </c>
      <c r="AD35">
        <v>111.6</v>
      </c>
      <c r="AE35">
        <v>108.1</v>
      </c>
      <c r="AF35">
        <v>110.1</v>
      </c>
      <c r="AG35">
        <v>115.5</v>
      </c>
      <c r="AH35">
        <f t="shared" si="2"/>
        <v>1509</v>
      </c>
      <c r="AI35">
        <f t="shared" si="3"/>
        <v>112.8</v>
      </c>
      <c r="AJ35">
        <f t="shared" si="4"/>
        <v>109.9</v>
      </c>
      <c r="AK35">
        <f t="shared" si="5"/>
        <v>111.6</v>
      </c>
      <c r="AL35">
        <f t="shared" si="6"/>
        <v>1119.2</v>
      </c>
      <c r="AM35" t="str">
        <f t="shared" si="7"/>
        <v>No</v>
      </c>
    </row>
    <row r="36" spans="1:39" x14ac:dyDescent="0.3">
      <c r="A36" t="s">
        <v>32</v>
      </c>
      <c r="B36" s="28">
        <f t="shared" si="0"/>
        <v>41609</v>
      </c>
      <c r="C36">
        <v>2013</v>
      </c>
      <c r="D36" t="s">
        <v>45</v>
      </c>
      <c r="E36" t="str">
        <f t="shared" si="1"/>
        <v>Dec-13</v>
      </c>
      <c r="F36">
        <f>VLOOKUP(D36,'Problem Statement 4'!$G$2:$H$13,2,0)</f>
        <v>12</v>
      </c>
      <c r="G36">
        <v>120.5</v>
      </c>
      <c r="H36">
        <v>118.1</v>
      </c>
      <c r="I36">
        <v>128.5</v>
      </c>
      <c r="J36">
        <v>112.8</v>
      </c>
      <c r="K36">
        <v>103.4</v>
      </c>
      <c r="L36">
        <v>110.7</v>
      </c>
      <c r="M36">
        <v>144.80000000000001</v>
      </c>
      <c r="N36">
        <v>107.1</v>
      </c>
      <c r="O36">
        <v>98.6</v>
      </c>
      <c r="P36">
        <v>111.9</v>
      </c>
      <c r="Q36">
        <v>112.1</v>
      </c>
      <c r="R36">
        <v>118.1</v>
      </c>
      <c r="S36">
        <v>117.8</v>
      </c>
      <c r="T36">
        <v>115</v>
      </c>
      <c r="U36">
        <v>114.2</v>
      </c>
      <c r="V36">
        <v>110.9</v>
      </c>
      <c r="W36">
        <v>113.7</v>
      </c>
      <c r="X36">
        <v>110.7</v>
      </c>
      <c r="Y36">
        <v>110.4</v>
      </c>
      <c r="Z36">
        <v>111.3</v>
      </c>
      <c r="AA36">
        <v>109</v>
      </c>
      <c r="AB36">
        <v>109.7</v>
      </c>
      <c r="AC36">
        <v>108.9</v>
      </c>
      <c r="AD36">
        <v>111.4</v>
      </c>
      <c r="AE36">
        <v>107.7</v>
      </c>
      <c r="AF36">
        <v>109.8</v>
      </c>
      <c r="AG36">
        <v>113.3</v>
      </c>
      <c r="AH36">
        <f t="shared" si="2"/>
        <v>1504.4</v>
      </c>
      <c r="AI36">
        <f t="shared" si="3"/>
        <v>110.4</v>
      </c>
      <c r="AJ36">
        <f t="shared" si="4"/>
        <v>109.7</v>
      </c>
      <c r="AK36">
        <f t="shared" si="5"/>
        <v>111.4</v>
      </c>
      <c r="AL36">
        <f t="shared" si="6"/>
        <v>1111.2</v>
      </c>
      <c r="AM36" t="str">
        <f t="shared" si="7"/>
        <v>No</v>
      </c>
    </row>
    <row r="37" spans="1:39" x14ac:dyDescent="0.3">
      <c r="A37" t="s">
        <v>33</v>
      </c>
      <c r="B37" s="28">
        <f t="shared" si="0"/>
        <v>41609</v>
      </c>
      <c r="C37">
        <v>2013</v>
      </c>
      <c r="D37" t="s">
        <v>45</v>
      </c>
      <c r="E37" t="str">
        <f t="shared" si="1"/>
        <v>Dec-13</v>
      </c>
      <c r="F37">
        <f>VLOOKUP(D37,'Problem Statement 4'!$G$2:$H$13,2,0)</f>
        <v>12</v>
      </c>
      <c r="G37">
        <v>119.1</v>
      </c>
      <c r="H37">
        <v>116.7</v>
      </c>
      <c r="I37">
        <v>123.5</v>
      </c>
      <c r="J37">
        <v>113.4</v>
      </c>
      <c r="K37">
        <v>107.3</v>
      </c>
      <c r="L37">
        <v>113.3</v>
      </c>
      <c r="M37">
        <v>145.4</v>
      </c>
      <c r="N37">
        <v>108.7</v>
      </c>
      <c r="O37">
        <v>101.5</v>
      </c>
      <c r="P37">
        <v>110.5</v>
      </c>
      <c r="Q37">
        <v>112.1</v>
      </c>
      <c r="R37">
        <v>117.4</v>
      </c>
      <c r="S37">
        <v>118.4</v>
      </c>
      <c r="T37">
        <v>114</v>
      </c>
      <c r="U37">
        <v>115.2</v>
      </c>
      <c r="V37">
        <v>112.7</v>
      </c>
      <c r="W37">
        <v>114.8</v>
      </c>
      <c r="X37">
        <v>110.7</v>
      </c>
      <c r="Y37">
        <v>111.9</v>
      </c>
      <c r="Z37">
        <v>111.7</v>
      </c>
      <c r="AA37">
        <v>109.7</v>
      </c>
      <c r="AB37">
        <v>109.8</v>
      </c>
      <c r="AC37">
        <v>109</v>
      </c>
      <c r="AD37">
        <v>111.5</v>
      </c>
      <c r="AE37">
        <v>107.9</v>
      </c>
      <c r="AF37">
        <v>110</v>
      </c>
      <c r="AG37">
        <v>114.5</v>
      </c>
      <c r="AH37">
        <f t="shared" si="2"/>
        <v>1507.3000000000002</v>
      </c>
      <c r="AI37">
        <f t="shared" si="3"/>
        <v>111.9</v>
      </c>
      <c r="AJ37">
        <f t="shared" si="4"/>
        <v>109.8</v>
      </c>
      <c r="AK37">
        <f t="shared" si="5"/>
        <v>111.5</v>
      </c>
      <c r="AL37">
        <f t="shared" si="6"/>
        <v>1115.7</v>
      </c>
      <c r="AM37" t="str">
        <f t="shared" si="7"/>
        <v>No</v>
      </c>
    </row>
    <row r="38" spans="1:39" x14ac:dyDescent="0.3">
      <c r="A38" t="s">
        <v>30</v>
      </c>
      <c r="B38" s="28">
        <f t="shared" si="0"/>
        <v>41640</v>
      </c>
      <c r="C38">
        <v>2014</v>
      </c>
      <c r="D38" t="s">
        <v>31</v>
      </c>
      <c r="E38" t="str">
        <f t="shared" si="1"/>
        <v>Jan-14</v>
      </c>
      <c r="F38">
        <f>VLOOKUP(D38,'Problem Statement 4'!$G$2:$H$13,2,0)</f>
        <v>1</v>
      </c>
      <c r="G38">
        <v>118.9</v>
      </c>
      <c r="H38">
        <v>117.1</v>
      </c>
      <c r="I38">
        <v>120.5</v>
      </c>
      <c r="J38">
        <v>114.4</v>
      </c>
      <c r="K38">
        <v>109</v>
      </c>
      <c r="L38">
        <v>115.5</v>
      </c>
      <c r="M38">
        <v>123.9</v>
      </c>
      <c r="N38">
        <v>109.6</v>
      </c>
      <c r="O38">
        <v>101.8</v>
      </c>
      <c r="P38">
        <v>110.2</v>
      </c>
      <c r="Q38">
        <v>112.4</v>
      </c>
      <c r="R38">
        <v>117.3</v>
      </c>
      <c r="S38">
        <v>116</v>
      </c>
      <c r="T38">
        <v>114</v>
      </c>
      <c r="U38">
        <v>116.5</v>
      </c>
      <c r="V38">
        <v>114.5</v>
      </c>
      <c r="W38">
        <v>116.2</v>
      </c>
      <c r="X38">
        <v>111.6</v>
      </c>
      <c r="Y38">
        <v>113</v>
      </c>
      <c r="Z38">
        <v>112.6</v>
      </c>
      <c r="AA38">
        <v>110.6</v>
      </c>
      <c r="AB38">
        <v>110.5</v>
      </c>
      <c r="AC38">
        <v>109.6</v>
      </c>
      <c r="AD38">
        <v>111.8</v>
      </c>
      <c r="AE38">
        <v>108.3</v>
      </c>
      <c r="AF38">
        <v>110.6</v>
      </c>
      <c r="AG38">
        <v>114.2</v>
      </c>
      <c r="AH38">
        <f t="shared" si="2"/>
        <v>1486.6000000000001</v>
      </c>
      <c r="AI38">
        <f t="shared" si="3"/>
        <v>113</v>
      </c>
      <c r="AJ38">
        <f t="shared" si="4"/>
        <v>110.5</v>
      </c>
      <c r="AK38">
        <f t="shared" si="5"/>
        <v>111.8</v>
      </c>
      <c r="AL38">
        <f t="shared" si="6"/>
        <v>1124.5</v>
      </c>
      <c r="AM38" t="str">
        <f t="shared" si="7"/>
        <v>No</v>
      </c>
    </row>
    <row r="39" spans="1:39" x14ac:dyDescent="0.3">
      <c r="A39" t="s">
        <v>32</v>
      </c>
      <c r="B39" s="28">
        <f t="shared" si="0"/>
        <v>41640</v>
      </c>
      <c r="C39">
        <v>2014</v>
      </c>
      <c r="D39" t="s">
        <v>31</v>
      </c>
      <c r="E39" t="str">
        <f t="shared" si="1"/>
        <v>Jan-14</v>
      </c>
      <c r="F39">
        <f>VLOOKUP(D39,'Problem Statement 4'!$G$2:$H$13,2,0)</f>
        <v>1</v>
      </c>
      <c r="G39">
        <v>121.2</v>
      </c>
      <c r="H39">
        <v>122</v>
      </c>
      <c r="I39">
        <v>129.9</v>
      </c>
      <c r="J39">
        <v>113.6</v>
      </c>
      <c r="K39">
        <v>102.9</v>
      </c>
      <c r="L39">
        <v>112.1</v>
      </c>
      <c r="M39">
        <v>118.9</v>
      </c>
      <c r="N39">
        <v>107.5</v>
      </c>
      <c r="O39">
        <v>96.9</v>
      </c>
      <c r="P39">
        <v>112.7</v>
      </c>
      <c r="Q39">
        <v>112.1</v>
      </c>
      <c r="R39">
        <v>119</v>
      </c>
      <c r="S39">
        <v>115.5</v>
      </c>
      <c r="T39">
        <v>115.7</v>
      </c>
      <c r="U39">
        <v>114.8</v>
      </c>
      <c r="V39">
        <v>111.3</v>
      </c>
      <c r="W39">
        <v>114.3</v>
      </c>
      <c r="X39">
        <v>111.6</v>
      </c>
      <c r="Y39">
        <v>111</v>
      </c>
      <c r="Z39">
        <v>111.9</v>
      </c>
      <c r="AA39">
        <v>109.7</v>
      </c>
      <c r="AB39">
        <v>110.8</v>
      </c>
      <c r="AC39">
        <v>109.8</v>
      </c>
      <c r="AD39">
        <v>111.5</v>
      </c>
      <c r="AE39">
        <v>108</v>
      </c>
      <c r="AF39">
        <v>110.5</v>
      </c>
      <c r="AG39">
        <v>112.9</v>
      </c>
      <c r="AH39">
        <f t="shared" si="2"/>
        <v>1484.3</v>
      </c>
      <c r="AI39">
        <f t="shared" si="3"/>
        <v>111</v>
      </c>
      <c r="AJ39">
        <f t="shared" si="4"/>
        <v>110.8</v>
      </c>
      <c r="AK39">
        <f t="shared" si="5"/>
        <v>111.5</v>
      </c>
      <c r="AL39">
        <f t="shared" si="6"/>
        <v>1117.5999999999999</v>
      </c>
      <c r="AM39" t="str">
        <f t="shared" si="7"/>
        <v>No</v>
      </c>
    </row>
    <row r="40" spans="1:39" x14ac:dyDescent="0.3">
      <c r="A40" t="s">
        <v>33</v>
      </c>
      <c r="B40" s="28">
        <f t="shared" si="0"/>
        <v>41640</v>
      </c>
      <c r="C40">
        <v>2014</v>
      </c>
      <c r="D40" t="s">
        <v>31</v>
      </c>
      <c r="E40" t="str">
        <f t="shared" si="1"/>
        <v>Jan-14</v>
      </c>
      <c r="F40">
        <f>VLOOKUP(D40,'Problem Statement 4'!$G$2:$H$13,2,0)</f>
        <v>1</v>
      </c>
      <c r="G40">
        <v>119.6</v>
      </c>
      <c r="H40">
        <v>118.8</v>
      </c>
      <c r="I40">
        <v>124.1</v>
      </c>
      <c r="J40">
        <v>114.1</v>
      </c>
      <c r="K40">
        <v>106.8</v>
      </c>
      <c r="L40">
        <v>113.9</v>
      </c>
      <c r="M40">
        <v>122.2</v>
      </c>
      <c r="N40">
        <v>108.9</v>
      </c>
      <c r="O40">
        <v>100.2</v>
      </c>
      <c r="P40">
        <v>111</v>
      </c>
      <c r="Q40">
        <v>112.3</v>
      </c>
      <c r="R40">
        <v>118.1</v>
      </c>
      <c r="S40">
        <v>115.8</v>
      </c>
      <c r="T40">
        <v>114.5</v>
      </c>
      <c r="U40">
        <v>115.8</v>
      </c>
      <c r="V40">
        <v>113.2</v>
      </c>
      <c r="W40">
        <v>115.4</v>
      </c>
      <c r="X40">
        <v>111.6</v>
      </c>
      <c r="Y40">
        <v>112.2</v>
      </c>
      <c r="Z40">
        <v>112.3</v>
      </c>
      <c r="AA40">
        <v>110.3</v>
      </c>
      <c r="AB40">
        <v>110.7</v>
      </c>
      <c r="AC40">
        <v>109.7</v>
      </c>
      <c r="AD40">
        <v>111.6</v>
      </c>
      <c r="AE40">
        <v>108.2</v>
      </c>
      <c r="AF40">
        <v>110.6</v>
      </c>
      <c r="AG40">
        <v>113.6</v>
      </c>
      <c r="AH40">
        <f t="shared" si="2"/>
        <v>1485.7999999999997</v>
      </c>
      <c r="AI40">
        <f t="shared" si="3"/>
        <v>112.2</v>
      </c>
      <c r="AJ40">
        <f t="shared" si="4"/>
        <v>110.7</v>
      </c>
      <c r="AK40">
        <f t="shared" si="5"/>
        <v>111.6</v>
      </c>
      <c r="AL40">
        <f t="shared" si="6"/>
        <v>1121.5999999999999</v>
      </c>
      <c r="AM40" t="str">
        <f t="shared" si="7"/>
        <v>No</v>
      </c>
    </row>
    <row r="41" spans="1:39" x14ac:dyDescent="0.3">
      <c r="A41" t="s">
        <v>30</v>
      </c>
      <c r="B41" s="28">
        <f t="shared" si="0"/>
        <v>41671</v>
      </c>
      <c r="C41">
        <v>2014</v>
      </c>
      <c r="D41" t="s">
        <v>34</v>
      </c>
      <c r="E41" t="str">
        <f t="shared" si="1"/>
        <v>Feb-14</v>
      </c>
      <c r="F41">
        <f>VLOOKUP(D41,'Problem Statement 4'!$G$2:$H$13,2,0)</f>
        <v>2</v>
      </c>
      <c r="G41">
        <v>119.4</v>
      </c>
      <c r="H41">
        <v>117.7</v>
      </c>
      <c r="I41">
        <v>121.2</v>
      </c>
      <c r="J41">
        <v>115</v>
      </c>
      <c r="K41">
        <v>109</v>
      </c>
      <c r="L41">
        <v>116.6</v>
      </c>
      <c r="M41">
        <v>116</v>
      </c>
      <c r="N41">
        <v>109.8</v>
      </c>
      <c r="O41">
        <v>101.1</v>
      </c>
      <c r="P41">
        <v>110.4</v>
      </c>
      <c r="Q41">
        <v>112.9</v>
      </c>
      <c r="R41">
        <v>117.8</v>
      </c>
      <c r="S41">
        <v>115.3</v>
      </c>
      <c r="T41">
        <v>114.2</v>
      </c>
      <c r="U41">
        <v>117.1</v>
      </c>
      <c r="V41">
        <v>114.5</v>
      </c>
      <c r="W41">
        <v>116.7</v>
      </c>
      <c r="X41">
        <v>112.5</v>
      </c>
      <c r="Y41">
        <v>113.2</v>
      </c>
      <c r="Z41">
        <v>112.9</v>
      </c>
      <c r="AA41">
        <v>110.9</v>
      </c>
      <c r="AB41">
        <v>110.8</v>
      </c>
      <c r="AC41">
        <v>109.9</v>
      </c>
      <c r="AD41">
        <v>112</v>
      </c>
      <c r="AE41">
        <v>108.7</v>
      </c>
      <c r="AF41">
        <v>110.9</v>
      </c>
      <c r="AG41">
        <v>114</v>
      </c>
      <c r="AH41">
        <f t="shared" si="2"/>
        <v>1482.2</v>
      </c>
      <c r="AI41">
        <f t="shared" si="3"/>
        <v>113.2</v>
      </c>
      <c r="AJ41">
        <f t="shared" si="4"/>
        <v>110.8</v>
      </c>
      <c r="AK41">
        <f t="shared" si="5"/>
        <v>112</v>
      </c>
      <c r="AL41">
        <f t="shared" si="6"/>
        <v>1128.3</v>
      </c>
      <c r="AM41" t="str">
        <f t="shared" si="7"/>
        <v>No</v>
      </c>
    </row>
    <row r="42" spans="1:39" x14ac:dyDescent="0.3">
      <c r="A42" t="s">
        <v>32</v>
      </c>
      <c r="B42" s="28">
        <f t="shared" si="0"/>
        <v>41671</v>
      </c>
      <c r="C42">
        <v>2014</v>
      </c>
      <c r="D42" t="s">
        <v>34</v>
      </c>
      <c r="E42" t="str">
        <f t="shared" si="1"/>
        <v>Feb-14</v>
      </c>
      <c r="F42">
        <f>VLOOKUP(D42,'Problem Statement 4'!$G$2:$H$13,2,0)</f>
        <v>2</v>
      </c>
      <c r="G42">
        <v>121.9</v>
      </c>
      <c r="H42">
        <v>122</v>
      </c>
      <c r="I42">
        <v>124.5</v>
      </c>
      <c r="J42">
        <v>115.2</v>
      </c>
      <c r="K42">
        <v>102.5</v>
      </c>
      <c r="L42">
        <v>114.1</v>
      </c>
      <c r="M42">
        <v>111.5</v>
      </c>
      <c r="N42">
        <v>108.2</v>
      </c>
      <c r="O42">
        <v>95.4</v>
      </c>
      <c r="P42">
        <v>113.5</v>
      </c>
      <c r="Q42">
        <v>112.1</v>
      </c>
      <c r="R42">
        <v>119.9</v>
      </c>
      <c r="S42">
        <v>115.2</v>
      </c>
      <c r="T42">
        <v>116.2</v>
      </c>
      <c r="U42">
        <v>115.3</v>
      </c>
      <c r="V42">
        <v>111.7</v>
      </c>
      <c r="W42">
        <v>114.7</v>
      </c>
      <c r="X42">
        <v>112.5</v>
      </c>
      <c r="Y42">
        <v>111.1</v>
      </c>
      <c r="Z42">
        <v>112.6</v>
      </c>
      <c r="AA42">
        <v>110.4</v>
      </c>
      <c r="AB42">
        <v>111.3</v>
      </c>
      <c r="AC42">
        <v>110.3</v>
      </c>
      <c r="AD42">
        <v>111.6</v>
      </c>
      <c r="AE42">
        <v>108.7</v>
      </c>
      <c r="AF42">
        <v>111</v>
      </c>
      <c r="AG42">
        <v>113.1</v>
      </c>
      <c r="AH42">
        <f t="shared" si="2"/>
        <v>1476</v>
      </c>
      <c r="AI42">
        <f t="shared" si="3"/>
        <v>111.1</v>
      </c>
      <c r="AJ42">
        <f t="shared" si="4"/>
        <v>111.3</v>
      </c>
      <c r="AK42">
        <f t="shared" si="5"/>
        <v>111.6</v>
      </c>
      <c r="AL42">
        <f t="shared" si="6"/>
        <v>1123.4000000000001</v>
      </c>
      <c r="AM42" t="str">
        <f t="shared" si="7"/>
        <v>No</v>
      </c>
    </row>
    <row r="43" spans="1:39" x14ac:dyDescent="0.3">
      <c r="A43" t="s">
        <v>33</v>
      </c>
      <c r="B43" s="28">
        <f t="shared" si="0"/>
        <v>41671</v>
      </c>
      <c r="C43">
        <v>2014</v>
      </c>
      <c r="D43" t="s">
        <v>34</v>
      </c>
      <c r="E43" t="str">
        <f t="shared" si="1"/>
        <v>Feb-14</v>
      </c>
      <c r="F43">
        <f>VLOOKUP(D43,'Problem Statement 4'!$G$2:$H$13,2,0)</f>
        <v>2</v>
      </c>
      <c r="G43">
        <v>120.2</v>
      </c>
      <c r="H43">
        <v>119.2</v>
      </c>
      <c r="I43">
        <v>122.5</v>
      </c>
      <c r="J43">
        <v>115.1</v>
      </c>
      <c r="K43">
        <v>106.6</v>
      </c>
      <c r="L43">
        <v>115.4</v>
      </c>
      <c r="M43">
        <v>114.5</v>
      </c>
      <c r="N43">
        <v>109.3</v>
      </c>
      <c r="O43">
        <v>99.2</v>
      </c>
      <c r="P43">
        <v>111.4</v>
      </c>
      <c r="Q43">
        <v>112.6</v>
      </c>
      <c r="R43">
        <v>118.8</v>
      </c>
      <c r="S43">
        <v>115.3</v>
      </c>
      <c r="T43">
        <v>114.7</v>
      </c>
      <c r="U43">
        <v>116.4</v>
      </c>
      <c r="V43">
        <v>113.3</v>
      </c>
      <c r="W43">
        <v>115.9</v>
      </c>
      <c r="X43">
        <v>112.5</v>
      </c>
      <c r="Y43">
        <v>112.4</v>
      </c>
      <c r="Z43">
        <v>112.8</v>
      </c>
      <c r="AA43">
        <v>110.7</v>
      </c>
      <c r="AB43">
        <v>111.1</v>
      </c>
      <c r="AC43">
        <v>110.1</v>
      </c>
      <c r="AD43">
        <v>111.8</v>
      </c>
      <c r="AE43">
        <v>108.7</v>
      </c>
      <c r="AF43">
        <v>110.9</v>
      </c>
      <c r="AG43">
        <v>113.6</v>
      </c>
      <c r="AH43">
        <f t="shared" si="2"/>
        <v>1480.1</v>
      </c>
      <c r="AI43">
        <f t="shared" si="3"/>
        <v>112.4</v>
      </c>
      <c r="AJ43">
        <f t="shared" si="4"/>
        <v>111.1</v>
      </c>
      <c r="AK43">
        <f t="shared" si="5"/>
        <v>111.8</v>
      </c>
      <c r="AL43">
        <f t="shared" si="6"/>
        <v>1126.0000000000002</v>
      </c>
      <c r="AM43" t="str">
        <f t="shared" si="7"/>
        <v>No</v>
      </c>
    </row>
    <row r="44" spans="1:39" x14ac:dyDescent="0.3">
      <c r="A44" t="s">
        <v>30</v>
      </c>
      <c r="B44" s="28">
        <f t="shared" si="0"/>
        <v>41699</v>
      </c>
      <c r="C44">
        <v>2014</v>
      </c>
      <c r="D44" t="s">
        <v>35</v>
      </c>
      <c r="E44" t="str">
        <f t="shared" si="1"/>
        <v>Mar-14</v>
      </c>
      <c r="F44">
        <f>VLOOKUP(D44,'Problem Statement 4'!$G$2:$H$13,2,0)</f>
        <v>3</v>
      </c>
      <c r="G44">
        <v>120.1</v>
      </c>
      <c r="H44">
        <v>118.1</v>
      </c>
      <c r="I44">
        <v>120.7</v>
      </c>
      <c r="J44">
        <v>116.1</v>
      </c>
      <c r="K44">
        <v>109.3</v>
      </c>
      <c r="L44">
        <v>119.6</v>
      </c>
      <c r="M44">
        <v>117.9</v>
      </c>
      <c r="N44">
        <v>110.2</v>
      </c>
      <c r="O44">
        <v>101.2</v>
      </c>
      <c r="P44">
        <v>110.7</v>
      </c>
      <c r="Q44">
        <v>113</v>
      </c>
      <c r="R44">
        <v>118.3</v>
      </c>
      <c r="S44">
        <v>116.2</v>
      </c>
      <c r="T44">
        <v>114.6</v>
      </c>
      <c r="U44">
        <v>117.5</v>
      </c>
      <c r="V44">
        <v>114.9</v>
      </c>
      <c r="W44">
        <v>117.2</v>
      </c>
      <c r="X44">
        <v>113.2</v>
      </c>
      <c r="Y44">
        <v>113.4</v>
      </c>
      <c r="Z44">
        <v>113.4</v>
      </c>
      <c r="AA44">
        <v>111.4</v>
      </c>
      <c r="AB44">
        <v>111.2</v>
      </c>
      <c r="AC44">
        <v>110.2</v>
      </c>
      <c r="AD44">
        <v>112.4</v>
      </c>
      <c r="AE44">
        <v>108.9</v>
      </c>
      <c r="AF44">
        <v>111.3</v>
      </c>
      <c r="AG44">
        <v>114.6</v>
      </c>
      <c r="AH44">
        <f t="shared" si="2"/>
        <v>1491.4</v>
      </c>
      <c r="AI44">
        <f t="shared" si="3"/>
        <v>113.4</v>
      </c>
      <c r="AJ44">
        <f t="shared" si="4"/>
        <v>111.2</v>
      </c>
      <c r="AK44">
        <f t="shared" si="5"/>
        <v>112.4</v>
      </c>
      <c r="AL44">
        <f t="shared" si="6"/>
        <v>1132.5999999999999</v>
      </c>
      <c r="AM44" t="str">
        <f t="shared" si="7"/>
        <v>No</v>
      </c>
    </row>
    <row r="45" spans="1:39" x14ac:dyDescent="0.3">
      <c r="A45" t="s">
        <v>32</v>
      </c>
      <c r="B45" s="28">
        <f t="shared" si="0"/>
        <v>41699</v>
      </c>
      <c r="C45">
        <v>2014</v>
      </c>
      <c r="D45" t="s">
        <v>35</v>
      </c>
      <c r="E45" t="str">
        <f t="shared" si="1"/>
        <v>Mar-14</v>
      </c>
      <c r="F45">
        <f>VLOOKUP(D45,'Problem Statement 4'!$G$2:$H$13,2,0)</f>
        <v>3</v>
      </c>
      <c r="G45">
        <v>122.1</v>
      </c>
      <c r="H45">
        <v>121.4</v>
      </c>
      <c r="I45">
        <v>121.5</v>
      </c>
      <c r="J45">
        <v>116.2</v>
      </c>
      <c r="K45">
        <v>102.8</v>
      </c>
      <c r="L45">
        <v>117.7</v>
      </c>
      <c r="M45">
        <v>113.3</v>
      </c>
      <c r="N45">
        <v>108.9</v>
      </c>
      <c r="O45">
        <v>96.3</v>
      </c>
      <c r="P45">
        <v>114.1</v>
      </c>
      <c r="Q45">
        <v>112.2</v>
      </c>
      <c r="R45">
        <v>120.5</v>
      </c>
      <c r="S45">
        <v>116</v>
      </c>
      <c r="T45">
        <v>116.7</v>
      </c>
      <c r="U45">
        <v>115.8</v>
      </c>
      <c r="V45">
        <v>112.1</v>
      </c>
      <c r="W45">
        <v>115.2</v>
      </c>
      <c r="X45">
        <v>113.2</v>
      </c>
      <c r="Y45">
        <v>110.9</v>
      </c>
      <c r="Z45">
        <v>113</v>
      </c>
      <c r="AA45">
        <v>110.8</v>
      </c>
      <c r="AB45">
        <v>111.6</v>
      </c>
      <c r="AC45">
        <v>110.9</v>
      </c>
      <c r="AD45">
        <v>111.8</v>
      </c>
      <c r="AE45">
        <v>109.2</v>
      </c>
      <c r="AF45">
        <v>111.4</v>
      </c>
      <c r="AG45">
        <v>113.7</v>
      </c>
      <c r="AH45">
        <f t="shared" si="2"/>
        <v>1483</v>
      </c>
      <c r="AI45">
        <f t="shared" si="3"/>
        <v>110.9</v>
      </c>
      <c r="AJ45">
        <f t="shared" si="4"/>
        <v>111.6</v>
      </c>
      <c r="AK45">
        <f t="shared" si="5"/>
        <v>111.8</v>
      </c>
      <c r="AL45">
        <f t="shared" si="6"/>
        <v>1128.3</v>
      </c>
      <c r="AM45" t="str">
        <f t="shared" si="7"/>
        <v>No</v>
      </c>
    </row>
    <row r="46" spans="1:39" x14ac:dyDescent="0.3">
      <c r="A46" t="s">
        <v>33</v>
      </c>
      <c r="B46" s="28">
        <f t="shared" si="0"/>
        <v>41699</v>
      </c>
      <c r="C46">
        <v>2014</v>
      </c>
      <c r="D46" t="s">
        <v>35</v>
      </c>
      <c r="E46" t="str">
        <f t="shared" si="1"/>
        <v>Mar-14</v>
      </c>
      <c r="F46">
        <f>VLOOKUP(D46,'Problem Statement 4'!$G$2:$H$13,2,0)</f>
        <v>3</v>
      </c>
      <c r="G46">
        <v>120.7</v>
      </c>
      <c r="H46">
        <v>119.3</v>
      </c>
      <c r="I46">
        <v>121</v>
      </c>
      <c r="J46">
        <v>116.1</v>
      </c>
      <c r="K46">
        <v>106.9</v>
      </c>
      <c r="L46">
        <v>118.7</v>
      </c>
      <c r="M46">
        <v>116.3</v>
      </c>
      <c r="N46">
        <v>109.8</v>
      </c>
      <c r="O46">
        <v>99.6</v>
      </c>
      <c r="P46">
        <v>111.8</v>
      </c>
      <c r="Q46">
        <v>112.7</v>
      </c>
      <c r="R46">
        <v>119.3</v>
      </c>
      <c r="S46">
        <v>116.1</v>
      </c>
      <c r="T46">
        <v>115.2</v>
      </c>
      <c r="U46">
        <v>116.8</v>
      </c>
      <c r="V46">
        <v>113.7</v>
      </c>
      <c r="W46">
        <v>116.4</v>
      </c>
      <c r="X46">
        <v>113.2</v>
      </c>
      <c r="Y46">
        <v>112.5</v>
      </c>
      <c r="Z46">
        <v>113.2</v>
      </c>
      <c r="AA46">
        <v>111.2</v>
      </c>
      <c r="AB46">
        <v>111.4</v>
      </c>
      <c r="AC46">
        <v>110.6</v>
      </c>
      <c r="AD46">
        <v>112</v>
      </c>
      <c r="AE46">
        <v>109</v>
      </c>
      <c r="AF46">
        <v>111.3</v>
      </c>
      <c r="AG46">
        <v>114.2</v>
      </c>
      <c r="AH46">
        <f t="shared" si="2"/>
        <v>1488.2999999999997</v>
      </c>
      <c r="AI46">
        <f t="shared" si="3"/>
        <v>112.5</v>
      </c>
      <c r="AJ46">
        <f t="shared" si="4"/>
        <v>111.4</v>
      </c>
      <c r="AK46">
        <f t="shared" si="5"/>
        <v>112</v>
      </c>
      <c r="AL46">
        <f t="shared" si="6"/>
        <v>1130.6000000000001</v>
      </c>
      <c r="AM46" t="str">
        <f t="shared" si="7"/>
        <v>No</v>
      </c>
    </row>
    <row r="47" spans="1:39" x14ac:dyDescent="0.3">
      <c r="A47" t="s">
        <v>30</v>
      </c>
      <c r="B47" s="28">
        <f t="shared" si="0"/>
        <v>41730</v>
      </c>
      <c r="C47">
        <v>2014</v>
      </c>
      <c r="D47" t="s">
        <v>36</v>
      </c>
      <c r="E47" t="str">
        <f t="shared" si="1"/>
        <v>Apr-14</v>
      </c>
      <c r="F47">
        <f>VLOOKUP(D47,'Problem Statement 4'!$G$2:$H$13,2,0)</f>
        <v>4</v>
      </c>
      <c r="G47">
        <v>120.2</v>
      </c>
      <c r="H47">
        <v>118.9</v>
      </c>
      <c r="I47">
        <v>118.1</v>
      </c>
      <c r="J47">
        <v>117</v>
      </c>
      <c r="K47">
        <v>109.7</v>
      </c>
      <c r="L47">
        <v>125.5</v>
      </c>
      <c r="M47">
        <v>120.5</v>
      </c>
      <c r="N47">
        <v>111</v>
      </c>
      <c r="O47">
        <v>102.6</v>
      </c>
      <c r="P47">
        <v>111.2</v>
      </c>
      <c r="Q47">
        <v>113.5</v>
      </c>
      <c r="R47">
        <v>118.7</v>
      </c>
      <c r="S47">
        <v>117.2</v>
      </c>
      <c r="T47">
        <v>115.4</v>
      </c>
      <c r="U47">
        <v>118.1</v>
      </c>
      <c r="V47">
        <v>116.1</v>
      </c>
      <c r="W47">
        <v>117.8</v>
      </c>
      <c r="X47">
        <v>113.9</v>
      </c>
      <c r="Y47">
        <v>113.4</v>
      </c>
      <c r="Z47">
        <v>113.7</v>
      </c>
      <c r="AA47">
        <v>111.8</v>
      </c>
      <c r="AB47">
        <v>111.2</v>
      </c>
      <c r="AC47">
        <v>110.5</v>
      </c>
      <c r="AD47">
        <v>113</v>
      </c>
      <c r="AE47">
        <v>108.9</v>
      </c>
      <c r="AF47">
        <v>111.5</v>
      </c>
      <c r="AG47">
        <v>115.4</v>
      </c>
      <c r="AH47">
        <f t="shared" si="2"/>
        <v>1504.1000000000001</v>
      </c>
      <c r="AI47">
        <f t="shared" si="3"/>
        <v>113.4</v>
      </c>
      <c r="AJ47">
        <f t="shared" si="4"/>
        <v>111.2</v>
      </c>
      <c r="AK47">
        <f t="shared" si="5"/>
        <v>113</v>
      </c>
      <c r="AL47">
        <f t="shared" si="6"/>
        <v>1137.7</v>
      </c>
      <c r="AM47" t="str">
        <f t="shared" si="7"/>
        <v>No</v>
      </c>
    </row>
    <row r="48" spans="1:39" x14ac:dyDescent="0.3">
      <c r="A48" t="s">
        <v>32</v>
      </c>
      <c r="B48" s="28">
        <f t="shared" si="0"/>
        <v>41730</v>
      </c>
      <c r="C48">
        <v>2014</v>
      </c>
      <c r="D48" t="s">
        <v>36</v>
      </c>
      <c r="E48" t="str">
        <f t="shared" si="1"/>
        <v>Apr-14</v>
      </c>
      <c r="F48">
        <f>VLOOKUP(D48,'Problem Statement 4'!$G$2:$H$13,2,0)</f>
        <v>4</v>
      </c>
      <c r="G48">
        <v>122.5</v>
      </c>
      <c r="H48">
        <v>121.7</v>
      </c>
      <c r="I48">
        <v>113.3</v>
      </c>
      <c r="J48">
        <v>117</v>
      </c>
      <c r="K48">
        <v>103.1</v>
      </c>
      <c r="L48">
        <v>126.7</v>
      </c>
      <c r="M48">
        <v>121.2</v>
      </c>
      <c r="N48">
        <v>111</v>
      </c>
      <c r="O48">
        <v>100.3</v>
      </c>
      <c r="P48">
        <v>115.3</v>
      </c>
      <c r="Q48">
        <v>112.7</v>
      </c>
      <c r="R48">
        <v>121</v>
      </c>
      <c r="S48">
        <v>118.2</v>
      </c>
      <c r="T48">
        <v>117.6</v>
      </c>
      <c r="U48">
        <v>116.3</v>
      </c>
      <c r="V48">
        <v>112.5</v>
      </c>
      <c r="W48">
        <v>115.7</v>
      </c>
      <c r="X48">
        <v>113.9</v>
      </c>
      <c r="Y48">
        <v>110.9</v>
      </c>
      <c r="Z48">
        <v>113.4</v>
      </c>
      <c r="AA48">
        <v>111</v>
      </c>
      <c r="AB48">
        <v>111.2</v>
      </c>
      <c r="AC48">
        <v>111.2</v>
      </c>
      <c r="AD48">
        <v>112.5</v>
      </c>
      <c r="AE48">
        <v>109.1</v>
      </c>
      <c r="AF48">
        <v>111.4</v>
      </c>
      <c r="AG48">
        <v>114.7</v>
      </c>
      <c r="AH48">
        <f t="shared" si="2"/>
        <v>1504.0000000000002</v>
      </c>
      <c r="AI48">
        <f t="shared" si="3"/>
        <v>110.9</v>
      </c>
      <c r="AJ48">
        <f t="shared" si="4"/>
        <v>111.2</v>
      </c>
      <c r="AK48">
        <f t="shared" si="5"/>
        <v>112.5</v>
      </c>
      <c r="AL48">
        <f t="shared" si="6"/>
        <v>1132.1000000000001</v>
      </c>
      <c r="AM48" t="str">
        <f t="shared" si="7"/>
        <v>No</v>
      </c>
    </row>
    <row r="49" spans="1:39" x14ac:dyDescent="0.3">
      <c r="A49" t="s">
        <v>33</v>
      </c>
      <c r="B49" s="28">
        <f t="shared" si="0"/>
        <v>41730</v>
      </c>
      <c r="C49">
        <v>2014</v>
      </c>
      <c r="D49" t="s">
        <v>36</v>
      </c>
      <c r="E49" t="str">
        <f t="shared" si="1"/>
        <v>Apr-14</v>
      </c>
      <c r="F49">
        <f>VLOOKUP(D49,'Problem Statement 4'!$G$2:$H$13,2,0)</f>
        <v>4</v>
      </c>
      <c r="G49">
        <v>120.9</v>
      </c>
      <c r="H49">
        <v>119.9</v>
      </c>
      <c r="I49">
        <v>116.2</v>
      </c>
      <c r="J49">
        <v>117</v>
      </c>
      <c r="K49">
        <v>107.3</v>
      </c>
      <c r="L49">
        <v>126.1</v>
      </c>
      <c r="M49">
        <v>120.7</v>
      </c>
      <c r="N49">
        <v>111</v>
      </c>
      <c r="O49">
        <v>101.8</v>
      </c>
      <c r="P49">
        <v>112.6</v>
      </c>
      <c r="Q49">
        <v>113.2</v>
      </c>
      <c r="R49">
        <v>119.8</v>
      </c>
      <c r="S49">
        <v>117.6</v>
      </c>
      <c r="T49">
        <v>116</v>
      </c>
      <c r="U49">
        <v>117.4</v>
      </c>
      <c r="V49">
        <v>114.6</v>
      </c>
      <c r="W49">
        <v>117</v>
      </c>
      <c r="X49">
        <v>113.9</v>
      </c>
      <c r="Y49">
        <v>112.5</v>
      </c>
      <c r="Z49">
        <v>113.6</v>
      </c>
      <c r="AA49">
        <v>111.5</v>
      </c>
      <c r="AB49">
        <v>111.2</v>
      </c>
      <c r="AC49">
        <v>110.9</v>
      </c>
      <c r="AD49">
        <v>112.7</v>
      </c>
      <c r="AE49">
        <v>109</v>
      </c>
      <c r="AF49">
        <v>111.5</v>
      </c>
      <c r="AG49">
        <v>115.1</v>
      </c>
      <c r="AH49">
        <f t="shared" si="2"/>
        <v>1504.1</v>
      </c>
      <c r="AI49">
        <f t="shared" si="3"/>
        <v>112.5</v>
      </c>
      <c r="AJ49">
        <f t="shared" si="4"/>
        <v>111.2</v>
      </c>
      <c r="AK49">
        <f t="shared" si="5"/>
        <v>112.7</v>
      </c>
      <c r="AL49">
        <f t="shared" si="6"/>
        <v>1135.4000000000001</v>
      </c>
      <c r="AM49" t="str">
        <f t="shared" si="7"/>
        <v>No</v>
      </c>
    </row>
    <row r="50" spans="1:39" x14ac:dyDescent="0.3">
      <c r="A50" t="s">
        <v>30</v>
      </c>
      <c r="B50" s="28">
        <f t="shared" si="0"/>
        <v>41760</v>
      </c>
      <c r="C50">
        <v>2014</v>
      </c>
      <c r="D50" t="s">
        <v>37</v>
      </c>
      <c r="E50" t="str">
        <f t="shared" si="1"/>
        <v>May-14</v>
      </c>
      <c r="F50">
        <f>VLOOKUP(D50,'Problem Statement 4'!$G$2:$H$13,2,0)</f>
        <v>5</v>
      </c>
      <c r="G50">
        <v>120.3</v>
      </c>
      <c r="H50">
        <v>120.2</v>
      </c>
      <c r="I50">
        <v>116.9</v>
      </c>
      <c r="J50">
        <v>118</v>
      </c>
      <c r="K50">
        <v>110.1</v>
      </c>
      <c r="L50">
        <v>126.3</v>
      </c>
      <c r="M50">
        <v>123.9</v>
      </c>
      <c r="N50">
        <v>111.5</v>
      </c>
      <c r="O50">
        <v>103.5</v>
      </c>
      <c r="P50">
        <v>111.6</v>
      </c>
      <c r="Q50">
        <v>114.2</v>
      </c>
      <c r="R50">
        <v>119.2</v>
      </c>
      <c r="S50">
        <v>118.2</v>
      </c>
      <c r="T50">
        <v>116.3</v>
      </c>
      <c r="U50">
        <v>118.7</v>
      </c>
      <c r="V50">
        <v>116.8</v>
      </c>
      <c r="W50">
        <v>118.5</v>
      </c>
      <c r="X50">
        <v>114.3</v>
      </c>
      <c r="Y50">
        <v>113.4</v>
      </c>
      <c r="Z50">
        <v>114.1</v>
      </c>
      <c r="AA50">
        <v>112.1</v>
      </c>
      <c r="AB50">
        <v>111.4</v>
      </c>
      <c r="AC50">
        <v>110.9</v>
      </c>
      <c r="AD50">
        <v>113.1</v>
      </c>
      <c r="AE50">
        <v>108.9</v>
      </c>
      <c r="AF50">
        <v>111.8</v>
      </c>
      <c r="AG50">
        <v>116</v>
      </c>
      <c r="AH50">
        <f t="shared" si="2"/>
        <v>1513.8999999999999</v>
      </c>
      <c r="AI50">
        <f t="shared" si="3"/>
        <v>113.4</v>
      </c>
      <c r="AJ50">
        <f t="shared" si="4"/>
        <v>111.4</v>
      </c>
      <c r="AK50">
        <f t="shared" si="5"/>
        <v>113.1</v>
      </c>
      <c r="AL50">
        <f t="shared" si="6"/>
        <v>1142.4000000000001</v>
      </c>
      <c r="AM50" t="str">
        <f t="shared" si="7"/>
        <v>No</v>
      </c>
    </row>
    <row r="51" spans="1:39" x14ac:dyDescent="0.3">
      <c r="A51" t="s">
        <v>32</v>
      </c>
      <c r="B51" s="28">
        <f t="shared" si="0"/>
        <v>41760</v>
      </c>
      <c r="C51">
        <v>2014</v>
      </c>
      <c r="D51" t="s">
        <v>37</v>
      </c>
      <c r="E51" t="str">
        <f t="shared" si="1"/>
        <v>May-14</v>
      </c>
      <c r="F51">
        <f>VLOOKUP(D51,'Problem Statement 4'!$G$2:$H$13,2,0)</f>
        <v>5</v>
      </c>
      <c r="G51">
        <v>122.7</v>
      </c>
      <c r="H51">
        <v>124.1</v>
      </c>
      <c r="I51">
        <v>114.2</v>
      </c>
      <c r="J51">
        <v>119.1</v>
      </c>
      <c r="K51">
        <v>103.5</v>
      </c>
      <c r="L51">
        <v>129.19999999999999</v>
      </c>
      <c r="M51">
        <v>127</v>
      </c>
      <c r="N51">
        <v>112.6</v>
      </c>
      <c r="O51">
        <v>101.3</v>
      </c>
      <c r="P51">
        <v>117</v>
      </c>
      <c r="Q51">
        <v>112.9</v>
      </c>
      <c r="R51">
        <v>121.7</v>
      </c>
      <c r="S51">
        <v>120</v>
      </c>
      <c r="T51">
        <v>118.3</v>
      </c>
      <c r="U51">
        <v>116.8</v>
      </c>
      <c r="V51">
        <v>112.9</v>
      </c>
      <c r="W51">
        <v>116.2</v>
      </c>
      <c r="X51">
        <v>114.3</v>
      </c>
      <c r="Y51">
        <v>111.1</v>
      </c>
      <c r="Z51">
        <v>114.1</v>
      </c>
      <c r="AA51">
        <v>111.2</v>
      </c>
      <c r="AB51">
        <v>111.3</v>
      </c>
      <c r="AC51">
        <v>111.5</v>
      </c>
      <c r="AD51">
        <v>112.9</v>
      </c>
      <c r="AE51">
        <v>109.3</v>
      </c>
      <c r="AF51">
        <v>111.7</v>
      </c>
      <c r="AG51">
        <v>115.6</v>
      </c>
      <c r="AH51">
        <f t="shared" si="2"/>
        <v>1525.3000000000002</v>
      </c>
      <c r="AI51">
        <f t="shared" si="3"/>
        <v>111.1</v>
      </c>
      <c r="AJ51">
        <f t="shared" si="4"/>
        <v>111.3</v>
      </c>
      <c r="AK51">
        <f t="shared" si="5"/>
        <v>112.9</v>
      </c>
      <c r="AL51">
        <f t="shared" si="6"/>
        <v>1136.3000000000002</v>
      </c>
      <c r="AM51" t="str">
        <f t="shared" si="7"/>
        <v>No</v>
      </c>
    </row>
    <row r="52" spans="1:39" x14ac:dyDescent="0.3">
      <c r="A52" t="s">
        <v>33</v>
      </c>
      <c r="B52" s="28">
        <f t="shared" si="0"/>
        <v>41760</v>
      </c>
      <c r="C52">
        <v>2014</v>
      </c>
      <c r="D52" t="s">
        <v>37</v>
      </c>
      <c r="E52" t="str">
        <f t="shared" si="1"/>
        <v>May-14</v>
      </c>
      <c r="F52">
        <f>VLOOKUP(D52,'Problem Statement 4'!$G$2:$H$13,2,0)</f>
        <v>5</v>
      </c>
      <c r="G52">
        <v>121.1</v>
      </c>
      <c r="H52">
        <v>121.6</v>
      </c>
      <c r="I52">
        <v>115.9</v>
      </c>
      <c r="J52">
        <v>118.4</v>
      </c>
      <c r="K52">
        <v>107.7</v>
      </c>
      <c r="L52">
        <v>127.7</v>
      </c>
      <c r="M52">
        <v>125</v>
      </c>
      <c r="N52">
        <v>111.9</v>
      </c>
      <c r="O52">
        <v>102.8</v>
      </c>
      <c r="P52">
        <v>113.4</v>
      </c>
      <c r="Q52">
        <v>113.7</v>
      </c>
      <c r="R52">
        <v>120.4</v>
      </c>
      <c r="S52">
        <v>118.9</v>
      </c>
      <c r="T52">
        <v>116.8</v>
      </c>
      <c r="U52">
        <v>118</v>
      </c>
      <c r="V52">
        <v>115.2</v>
      </c>
      <c r="W52">
        <v>117.6</v>
      </c>
      <c r="X52">
        <v>114.3</v>
      </c>
      <c r="Y52">
        <v>112.5</v>
      </c>
      <c r="Z52">
        <v>114.1</v>
      </c>
      <c r="AA52">
        <v>111.8</v>
      </c>
      <c r="AB52">
        <v>111.3</v>
      </c>
      <c r="AC52">
        <v>111.2</v>
      </c>
      <c r="AD52">
        <v>113</v>
      </c>
      <c r="AE52">
        <v>109.1</v>
      </c>
      <c r="AF52">
        <v>111.8</v>
      </c>
      <c r="AG52">
        <v>115.8</v>
      </c>
      <c r="AH52">
        <f t="shared" si="2"/>
        <v>1518.5000000000005</v>
      </c>
      <c r="AI52">
        <f t="shared" si="3"/>
        <v>112.5</v>
      </c>
      <c r="AJ52">
        <f t="shared" si="4"/>
        <v>111.3</v>
      </c>
      <c r="AK52">
        <f t="shared" si="5"/>
        <v>113</v>
      </c>
      <c r="AL52">
        <f t="shared" si="6"/>
        <v>1139.8999999999999</v>
      </c>
      <c r="AM52" t="str">
        <f t="shared" si="7"/>
        <v>No</v>
      </c>
    </row>
    <row r="53" spans="1:39" x14ac:dyDescent="0.3">
      <c r="A53" t="s">
        <v>30</v>
      </c>
      <c r="B53" s="28">
        <f t="shared" si="0"/>
        <v>41791</v>
      </c>
      <c r="C53">
        <v>2014</v>
      </c>
      <c r="D53" t="s">
        <v>38</v>
      </c>
      <c r="E53" t="str">
        <f t="shared" si="1"/>
        <v>Jun-14</v>
      </c>
      <c r="F53">
        <f>VLOOKUP(D53,'Problem Statement 4'!$G$2:$H$13,2,0)</f>
        <v>6</v>
      </c>
      <c r="G53">
        <v>120.7</v>
      </c>
      <c r="H53">
        <v>121.6</v>
      </c>
      <c r="I53">
        <v>116.1</v>
      </c>
      <c r="J53">
        <v>119.3</v>
      </c>
      <c r="K53">
        <v>110.3</v>
      </c>
      <c r="L53">
        <v>125.8</v>
      </c>
      <c r="M53">
        <v>129.30000000000001</v>
      </c>
      <c r="N53">
        <v>112.2</v>
      </c>
      <c r="O53">
        <v>103.6</v>
      </c>
      <c r="P53">
        <v>112.3</v>
      </c>
      <c r="Q53">
        <v>114.9</v>
      </c>
      <c r="R53">
        <v>120.1</v>
      </c>
      <c r="S53">
        <v>119.5</v>
      </c>
      <c r="T53">
        <v>117.3</v>
      </c>
      <c r="U53">
        <v>119.7</v>
      </c>
      <c r="V53">
        <v>117.3</v>
      </c>
      <c r="W53">
        <v>119.3</v>
      </c>
      <c r="X53">
        <v>113.9</v>
      </c>
      <c r="Y53">
        <v>114.4</v>
      </c>
      <c r="Z53">
        <v>114.9</v>
      </c>
      <c r="AA53">
        <v>112.8</v>
      </c>
      <c r="AB53">
        <v>112.2</v>
      </c>
      <c r="AC53">
        <v>111.4</v>
      </c>
      <c r="AD53">
        <v>114.3</v>
      </c>
      <c r="AE53">
        <v>108</v>
      </c>
      <c r="AF53">
        <v>112.3</v>
      </c>
      <c r="AG53">
        <v>117</v>
      </c>
      <c r="AH53">
        <f t="shared" si="2"/>
        <v>1525.6999999999998</v>
      </c>
      <c r="AI53">
        <f t="shared" si="3"/>
        <v>114.4</v>
      </c>
      <c r="AJ53">
        <f t="shared" si="4"/>
        <v>112.2</v>
      </c>
      <c r="AK53">
        <f t="shared" si="5"/>
        <v>114.3</v>
      </c>
      <c r="AL53">
        <f t="shared" si="6"/>
        <v>1146.8999999999999</v>
      </c>
      <c r="AM53" t="str">
        <f t="shared" si="7"/>
        <v>No</v>
      </c>
    </row>
    <row r="54" spans="1:39" x14ac:dyDescent="0.3">
      <c r="A54" t="s">
        <v>32</v>
      </c>
      <c r="B54" s="28">
        <f t="shared" si="0"/>
        <v>41791</v>
      </c>
      <c r="C54">
        <v>2014</v>
      </c>
      <c r="D54" t="s">
        <v>38</v>
      </c>
      <c r="E54" t="str">
        <f t="shared" si="1"/>
        <v>Jun-14</v>
      </c>
      <c r="F54">
        <f>VLOOKUP(D54,'Problem Statement 4'!$G$2:$H$13,2,0)</f>
        <v>6</v>
      </c>
      <c r="G54">
        <v>123.1</v>
      </c>
      <c r="H54">
        <v>125.9</v>
      </c>
      <c r="I54">
        <v>115.4</v>
      </c>
      <c r="J54">
        <v>120.4</v>
      </c>
      <c r="K54">
        <v>103.4</v>
      </c>
      <c r="L54">
        <v>131.19999999999999</v>
      </c>
      <c r="M54">
        <v>137.5</v>
      </c>
      <c r="N54">
        <v>112.8</v>
      </c>
      <c r="O54">
        <v>101.4</v>
      </c>
      <c r="P54">
        <v>118.3</v>
      </c>
      <c r="Q54">
        <v>113.2</v>
      </c>
      <c r="R54">
        <v>122.4</v>
      </c>
      <c r="S54">
        <v>122</v>
      </c>
      <c r="T54">
        <v>119</v>
      </c>
      <c r="U54">
        <v>117.4</v>
      </c>
      <c r="V54">
        <v>113.2</v>
      </c>
      <c r="W54">
        <v>116.7</v>
      </c>
      <c r="X54">
        <v>113.9</v>
      </c>
      <c r="Y54">
        <v>111.2</v>
      </c>
      <c r="Z54">
        <v>114.3</v>
      </c>
      <c r="AA54">
        <v>111.4</v>
      </c>
      <c r="AB54">
        <v>111.5</v>
      </c>
      <c r="AC54">
        <v>111.8</v>
      </c>
      <c r="AD54">
        <v>115.1</v>
      </c>
      <c r="AE54">
        <v>108.7</v>
      </c>
      <c r="AF54">
        <v>112.2</v>
      </c>
      <c r="AG54">
        <v>116.4</v>
      </c>
      <c r="AH54">
        <f t="shared" si="2"/>
        <v>1547</v>
      </c>
      <c r="AI54">
        <f t="shared" si="3"/>
        <v>111.2</v>
      </c>
      <c r="AJ54">
        <f t="shared" si="4"/>
        <v>111.5</v>
      </c>
      <c r="AK54">
        <f t="shared" si="5"/>
        <v>115.1</v>
      </c>
      <c r="AL54">
        <f t="shared" si="6"/>
        <v>1138.5999999999999</v>
      </c>
      <c r="AM54" t="str">
        <f t="shared" si="7"/>
        <v>No</v>
      </c>
    </row>
    <row r="55" spans="1:39" x14ac:dyDescent="0.3">
      <c r="A55" t="s">
        <v>33</v>
      </c>
      <c r="B55" s="28">
        <f t="shared" si="0"/>
        <v>41791</v>
      </c>
      <c r="C55">
        <v>2014</v>
      </c>
      <c r="D55" t="s">
        <v>38</v>
      </c>
      <c r="E55" t="str">
        <f t="shared" si="1"/>
        <v>Jun-14</v>
      </c>
      <c r="F55">
        <f>VLOOKUP(D55,'Problem Statement 4'!$G$2:$H$13,2,0)</f>
        <v>6</v>
      </c>
      <c r="G55">
        <v>121.5</v>
      </c>
      <c r="H55">
        <v>123.1</v>
      </c>
      <c r="I55">
        <v>115.8</v>
      </c>
      <c r="J55">
        <v>119.7</v>
      </c>
      <c r="K55">
        <v>107.8</v>
      </c>
      <c r="L55">
        <v>128.30000000000001</v>
      </c>
      <c r="M55">
        <v>132.1</v>
      </c>
      <c r="N55">
        <v>112.4</v>
      </c>
      <c r="O55">
        <v>102.9</v>
      </c>
      <c r="P55">
        <v>114.3</v>
      </c>
      <c r="Q55">
        <v>114.2</v>
      </c>
      <c r="R55">
        <v>121.2</v>
      </c>
      <c r="S55">
        <v>120.4</v>
      </c>
      <c r="T55">
        <v>117.8</v>
      </c>
      <c r="U55">
        <v>118.8</v>
      </c>
      <c r="V55">
        <v>115.6</v>
      </c>
      <c r="W55">
        <v>118.3</v>
      </c>
      <c r="X55">
        <v>113.9</v>
      </c>
      <c r="Y55">
        <v>113.2</v>
      </c>
      <c r="Z55">
        <v>114.6</v>
      </c>
      <c r="AA55">
        <v>112.3</v>
      </c>
      <c r="AB55">
        <v>111.8</v>
      </c>
      <c r="AC55">
        <v>111.6</v>
      </c>
      <c r="AD55">
        <v>114.8</v>
      </c>
      <c r="AE55">
        <v>108.3</v>
      </c>
      <c r="AF55">
        <v>112.3</v>
      </c>
      <c r="AG55">
        <v>116.7</v>
      </c>
      <c r="AH55">
        <f t="shared" si="2"/>
        <v>1533.7000000000003</v>
      </c>
      <c r="AI55">
        <f t="shared" si="3"/>
        <v>113.2</v>
      </c>
      <c r="AJ55">
        <f t="shared" si="4"/>
        <v>111.8</v>
      </c>
      <c r="AK55">
        <f t="shared" si="5"/>
        <v>114.8</v>
      </c>
      <c r="AL55">
        <f t="shared" si="6"/>
        <v>1143.5</v>
      </c>
      <c r="AM55" t="str">
        <f t="shared" si="7"/>
        <v>No</v>
      </c>
    </row>
    <row r="56" spans="1:39" x14ac:dyDescent="0.3">
      <c r="A56" t="s">
        <v>30</v>
      </c>
      <c r="B56" s="28">
        <f t="shared" si="0"/>
        <v>41821</v>
      </c>
      <c r="C56">
        <v>2014</v>
      </c>
      <c r="D56" t="s">
        <v>39</v>
      </c>
      <c r="E56" t="str">
        <f t="shared" si="1"/>
        <v>Jul-14</v>
      </c>
      <c r="F56">
        <f>VLOOKUP(D56,'Problem Statement 4'!$G$2:$H$13,2,0)</f>
        <v>7</v>
      </c>
      <c r="G56">
        <v>121.7</v>
      </c>
      <c r="H56">
        <v>122.5</v>
      </c>
      <c r="I56">
        <v>117.7</v>
      </c>
      <c r="J56">
        <v>120.6</v>
      </c>
      <c r="K56">
        <v>110.4</v>
      </c>
      <c r="L56">
        <v>129.1</v>
      </c>
      <c r="M56">
        <v>150.1</v>
      </c>
      <c r="N56">
        <v>113.2</v>
      </c>
      <c r="O56">
        <v>104.8</v>
      </c>
      <c r="P56">
        <v>113.3</v>
      </c>
      <c r="Q56">
        <v>115.6</v>
      </c>
      <c r="R56">
        <v>120.9</v>
      </c>
      <c r="S56">
        <v>123.3</v>
      </c>
      <c r="T56">
        <v>118</v>
      </c>
      <c r="U56">
        <v>120.7</v>
      </c>
      <c r="V56">
        <v>118.3</v>
      </c>
      <c r="W56">
        <v>120.3</v>
      </c>
      <c r="X56">
        <v>114.8</v>
      </c>
      <c r="Y56">
        <v>115.3</v>
      </c>
      <c r="Z56">
        <v>115.4</v>
      </c>
      <c r="AA56">
        <v>113.4</v>
      </c>
      <c r="AB56">
        <v>113.2</v>
      </c>
      <c r="AC56">
        <v>111.8</v>
      </c>
      <c r="AD56">
        <v>115.5</v>
      </c>
      <c r="AE56">
        <v>108.8</v>
      </c>
      <c r="AF56">
        <v>113.1</v>
      </c>
      <c r="AG56">
        <v>119.5</v>
      </c>
      <c r="AH56">
        <f t="shared" si="2"/>
        <v>1563.2</v>
      </c>
      <c r="AI56">
        <f t="shared" si="3"/>
        <v>115.3</v>
      </c>
      <c r="AJ56">
        <f t="shared" si="4"/>
        <v>113.2</v>
      </c>
      <c r="AK56">
        <f t="shared" si="5"/>
        <v>115.5</v>
      </c>
      <c r="AL56">
        <f t="shared" si="6"/>
        <v>1154.5999999999999</v>
      </c>
      <c r="AM56" t="str">
        <f t="shared" si="7"/>
        <v>No</v>
      </c>
    </row>
    <row r="57" spans="1:39" x14ac:dyDescent="0.3">
      <c r="A57" t="s">
        <v>32</v>
      </c>
      <c r="B57" s="28">
        <f t="shared" si="0"/>
        <v>41821</v>
      </c>
      <c r="C57">
        <v>2014</v>
      </c>
      <c r="D57" t="s">
        <v>39</v>
      </c>
      <c r="E57" t="str">
        <f t="shared" si="1"/>
        <v>Jul-14</v>
      </c>
      <c r="F57">
        <f>VLOOKUP(D57,'Problem Statement 4'!$G$2:$H$13,2,0)</f>
        <v>7</v>
      </c>
      <c r="G57">
        <v>123.8</v>
      </c>
      <c r="H57">
        <v>126.4</v>
      </c>
      <c r="I57">
        <v>118</v>
      </c>
      <c r="J57">
        <v>121.6</v>
      </c>
      <c r="K57">
        <v>103.5</v>
      </c>
      <c r="L57">
        <v>133.69999999999999</v>
      </c>
      <c r="M57">
        <v>172.4</v>
      </c>
      <c r="N57">
        <v>113.1</v>
      </c>
      <c r="O57">
        <v>102.7</v>
      </c>
      <c r="P57">
        <v>120</v>
      </c>
      <c r="Q57">
        <v>113.8</v>
      </c>
      <c r="R57">
        <v>123.4</v>
      </c>
      <c r="S57">
        <v>127.1</v>
      </c>
      <c r="T57">
        <v>121</v>
      </c>
      <c r="U57">
        <v>118</v>
      </c>
      <c r="V57">
        <v>113.6</v>
      </c>
      <c r="W57">
        <v>117.4</v>
      </c>
      <c r="X57">
        <v>114.8</v>
      </c>
      <c r="Y57">
        <v>111.6</v>
      </c>
      <c r="Z57">
        <v>114.9</v>
      </c>
      <c r="AA57">
        <v>111.5</v>
      </c>
      <c r="AB57">
        <v>113</v>
      </c>
      <c r="AC57">
        <v>112.4</v>
      </c>
      <c r="AD57">
        <v>117.8</v>
      </c>
      <c r="AE57">
        <v>109.7</v>
      </c>
      <c r="AF57">
        <v>113.5</v>
      </c>
      <c r="AG57">
        <v>118.9</v>
      </c>
      <c r="AH57">
        <f t="shared" si="2"/>
        <v>1599.5</v>
      </c>
      <c r="AI57">
        <f t="shared" si="3"/>
        <v>111.6</v>
      </c>
      <c r="AJ57">
        <f t="shared" si="4"/>
        <v>113</v>
      </c>
      <c r="AK57">
        <f t="shared" si="5"/>
        <v>117.8</v>
      </c>
      <c r="AL57">
        <f t="shared" si="6"/>
        <v>1146.8</v>
      </c>
      <c r="AM57" t="str">
        <f t="shared" si="7"/>
        <v>No</v>
      </c>
    </row>
    <row r="58" spans="1:39" x14ac:dyDescent="0.3">
      <c r="A58" t="s">
        <v>33</v>
      </c>
      <c r="B58" s="28">
        <f t="shared" si="0"/>
        <v>41821</v>
      </c>
      <c r="C58">
        <v>2014</v>
      </c>
      <c r="D58" t="s">
        <v>39</v>
      </c>
      <c r="E58" t="str">
        <f t="shared" si="1"/>
        <v>Jul-14</v>
      </c>
      <c r="F58">
        <f>VLOOKUP(D58,'Problem Statement 4'!$G$2:$H$13,2,0)</f>
        <v>7</v>
      </c>
      <c r="G58">
        <v>122.4</v>
      </c>
      <c r="H58">
        <v>123.9</v>
      </c>
      <c r="I58">
        <v>117.8</v>
      </c>
      <c r="J58">
        <v>121</v>
      </c>
      <c r="K58">
        <v>107.9</v>
      </c>
      <c r="L58">
        <v>131.19999999999999</v>
      </c>
      <c r="M58">
        <v>157.69999999999999</v>
      </c>
      <c r="N58">
        <v>113.2</v>
      </c>
      <c r="O58">
        <v>104.1</v>
      </c>
      <c r="P58">
        <v>115.5</v>
      </c>
      <c r="Q58">
        <v>114.8</v>
      </c>
      <c r="R58">
        <v>122.1</v>
      </c>
      <c r="S58">
        <v>124.7</v>
      </c>
      <c r="T58">
        <v>118.8</v>
      </c>
      <c r="U58">
        <v>119.6</v>
      </c>
      <c r="V58">
        <v>116.3</v>
      </c>
      <c r="W58">
        <v>119.1</v>
      </c>
      <c r="X58">
        <v>114.8</v>
      </c>
      <c r="Y58">
        <v>113.9</v>
      </c>
      <c r="Z58">
        <v>115.2</v>
      </c>
      <c r="AA58">
        <v>112.7</v>
      </c>
      <c r="AB58">
        <v>113.1</v>
      </c>
      <c r="AC58">
        <v>112.1</v>
      </c>
      <c r="AD58">
        <v>116.8</v>
      </c>
      <c r="AE58">
        <v>109.2</v>
      </c>
      <c r="AF58">
        <v>113.3</v>
      </c>
      <c r="AG58">
        <v>119.2</v>
      </c>
      <c r="AH58">
        <f t="shared" si="2"/>
        <v>1576.3</v>
      </c>
      <c r="AI58">
        <f t="shared" si="3"/>
        <v>113.9</v>
      </c>
      <c r="AJ58">
        <f t="shared" si="4"/>
        <v>113.1</v>
      </c>
      <c r="AK58">
        <f t="shared" si="5"/>
        <v>116.8</v>
      </c>
      <c r="AL58">
        <f t="shared" si="6"/>
        <v>1151.0999999999999</v>
      </c>
      <c r="AM58" t="str">
        <f t="shared" si="7"/>
        <v>No</v>
      </c>
    </row>
    <row r="59" spans="1:39" x14ac:dyDescent="0.3">
      <c r="A59" t="s">
        <v>30</v>
      </c>
      <c r="B59" s="28">
        <f t="shared" si="0"/>
        <v>41852</v>
      </c>
      <c r="C59">
        <v>2014</v>
      </c>
      <c r="D59" t="s">
        <v>40</v>
      </c>
      <c r="E59" t="str">
        <f t="shared" si="1"/>
        <v>Aug-14</v>
      </c>
      <c r="F59">
        <f>VLOOKUP(D59,'Problem Statement 4'!$G$2:$H$13,2,0)</f>
        <v>8</v>
      </c>
      <c r="G59">
        <v>121.8</v>
      </c>
      <c r="H59">
        <v>122.8</v>
      </c>
      <c r="I59">
        <v>117.8</v>
      </c>
      <c r="J59">
        <v>121.9</v>
      </c>
      <c r="K59">
        <v>110.6</v>
      </c>
      <c r="L59">
        <v>129.69999999999999</v>
      </c>
      <c r="M59">
        <v>161.1</v>
      </c>
      <c r="N59">
        <v>114.1</v>
      </c>
      <c r="O59">
        <v>105.1</v>
      </c>
      <c r="P59">
        <v>114.6</v>
      </c>
      <c r="Q59">
        <v>115.8</v>
      </c>
      <c r="R59">
        <v>121.7</v>
      </c>
      <c r="S59">
        <v>125.3</v>
      </c>
      <c r="T59">
        <v>118.8</v>
      </c>
      <c r="U59">
        <v>120.9</v>
      </c>
      <c r="V59">
        <v>118.8</v>
      </c>
      <c r="W59">
        <v>120.7</v>
      </c>
      <c r="X59">
        <v>115.5</v>
      </c>
      <c r="Y59">
        <v>115.4</v>
      </c>
      <c r="Z59">
        <v>115.9</v>
      </c>
      <c r="AA59">
        <v>114</v>
      </c>
      <c r="AB59">
        <v>113.2</v>
      </c>
      <c r="AC59">
        <v>112.2</v>
      </c>
      <c r="AD59">
        <v>116.2</v>
      </c>
      <c r="AE59">
        <v>109.4</v>
      </c>
      <c r="AF59">
        <v>113.5</v>
      </c>
      <c r="AG59">
        <v>120.7</v>
      </c>
      <c r="AH59">
        <f t="shared" si="2"/>
        <v>1582.2999999999997</v>
      </c>
      <c r="AI59">
        <f t="shared" si="3"/>
        <v>115.4</v>
      </c>
      <c r="AJ59">
        <f t="shared" si="4"/>
        <v>113.2</v>
      </c>
      <c r="AK59">
        <f t="shared" si="5"/>
        <v>116.2</v>
      </c>
      <c r="AL59">
        <f t="shared" si="6"/>
        <v>1159.7</v>
      </c>
      <c r="AM59" t="str">
        <f t="shared" si="7"/>
        <v>No</v>
      </c>
    </row>
    <row r="60" spans="1:39" x14ac:dyDescent="0.3">
      <c r="A60" t="s">
        <v>32</v>
      </c>
      <c r="B60" s="28">
        <f t="shared" si="0"/>
        <v>41852</v>
      </c>
      <c r="C60">
        <v>2014</v>
      </c>
      <c r="D60" t="s">
        <v>40</v>
      </c>
      <c r="E60" t="str">
        <f t="shared" si="1"/>
        <v>Aug-14</v>
      </c>
      <c r="F60">
        <f>VLOOKUP(D60,'Problem Statement 4'!$G$2:$H$13,2,0)</f>
        <v>8</v>
      </c>
      <c r="G60">
        <v>124.8</v>
      </c>
      <c r="H60">
        <v>127.3</v>
      </c>
      <c r="I60">
        <v>116.5</v>
      </c>
      <c r="J60">
        <v>122.2</v>
      </c>
      <c r="K60">
        <v>103.6</v>
      </c>
      <c r="L60">
        <v>132.69999999999999</v>
      </c>
      <c r="M60">
        <v>181.9</v>
      </c>
      <c r="N60">
        <v>115.2</v>
      </c>
      <c r="O60">
        <v>102.7</v>
      </c>
      <c r="P60">
        <v>122.1</v>
      </c>
      <c r="Q60">
        <v>114.4</v>
      </c>
      <c r="R60">
        <v>124.7</v>
      </c>
      <c r="S60">
        <v>128.9</v>
      </c>
      <c r="T60">
        <v>123</v>
      </c>
      <c r="U60">
        <v>118.6</v>
      </c>
      <c r="V60">
        <v>114.1</v>
      </c>
      <c r="W60">
        <v>117.9</v>
      </c>
      <c r="X60">
        <v>115.5</v>
      </c>
      <c r="Y60">
        <v>111.8</v>
      </c>
      <c r="Z60">
        <v>115.3</v>
      </c>
      <c r="AA60">
        <v>112.2</v>
      </c>
      <c r="AB60">
        <v>112.5</v>
      </c>
      <c r="AC60">
        <v>112.9</v>
      </c>
      <c r="AD60">
        <v>119.2</v>
      </c>
      <c r="AE60">
        <v>110.5</v>
      </c>
      <c r="AF60">
        <v>113.9</v>
      </c>
      <c r="AG60">
        <v>119.9</v>
      </c>
      <c r="AH60">
        <f t="shared" si="2"/>
        <v>1617</v>
      </c>
      <c r="AI60">
        <f t="shared" si="3"/>
        <v>111.8</v>
      </c>
      <c r="AJ60">
        <f t="shared" si="4"/>
        <v>112.5</v>
      </c>
      <c r="AK60">
        <f t="shared" si="5"/>
        <v>119.2</v>
      </c>
      <c r="AL60">
        <f t="shared" si="6"/>
        <v>1153.9000000000001</v>
      </c>
      <c r="AM60" t="str">
        <f t="shared" si="7"/>
        <v>No</v>
      </c>
    </row>
    <row r="61" spans="1:39" x14ac:dyDescent="0.3">
      <c r="A61" t="s">
        <v>33</v>
      </c>
      <c r="B61" s="28">
        <f t="shared" si="0"/>
        <v>41852</v>
      </c>
      <c r="C61">
        <v>2014</v>
      </c>
      <c r="D61" t="s">
        <v>40</v>
      </c>
      <c r="E61" t="str">
        <f t="shared" si="1"/>
        <v>Aug-14</v>
      </c>
      <c r="F61">
        <f>VLOOKUP(D61,'Problem Statement 4'!$G$2:$H$13,2,0)</f>
        <v>8</v>
      </c>
      <c r="G61">
        <v>122.7</v>
      </c>
      <c r="H61">
        <v>124.4</v>
      </c>
      <c r="I61">
        <v>117.3</v>
      </c>
      <c r="J61">
        <v>122</v>
      </c>
      <c r="K61">
        <v>108</v>
      </c>
      <c r="L61">
        <v>131.1</v>
      </c>
      <c r="M61">
        <v>168.2</v>
      </c>
      <c r="N61">
        <v>114.5</v>
      </c>
      <c r="O61">
        <v>104.3</v>
      </c>
      <c r="P61">
        <v>117.1</v>
      </c>
      <c r="Q61">
        <v>115.2</v>
      </c>
      <c r="R61">
        <v>123.1</v>
      </c>
      <c r="S61">
        <v>126.6</v>
      </c>
      <c r="T61">
        <v>119.9</v>
      </c>
      <c r="U61">
        <v>120</v>
      </c>
      <c r="V61">
        <v>116.8</v>
      </c>
      <c r="W61">
        <v>119.6</v>
      </c>
      <c r="X61">
        <v>115.5</v>
      </c>
      <c r="Y61">
        <v>114</v>
      </c>
      <c r="Z61">
        <v>115.6</v>
      </c>
      <c r="AA61">
        <v>113.3</v>
      </c>
      <c r="AB61">
        <v>112.8</v>
      </c>
      <c r="AC61">
        <v>112.6</v>
      </c>
      <c r="AD61">
        <v>118</v>
      </c>
      <c r="AE61">
        <v>109.9</v>
      </c>
      <c r="AF61">
        <v>113.7</v>
      </c>
      <c r="AG61">
        <v>120.3</v>
      </c>
      <c r="AH61">
        <f t="shared" si="2"/>
        <v>1594.4999999999998</v>
      </c>
      <c r="AI61">
        <f t="shared" si="3"/>
        <v>114</v>
      </c>
      <c r="AJ61">
        <f t="shared" si="4"/>
        <v>112.8</v>
      </c>
      <c r="AK61">
        <f t="shared" si="5"/>
        <v>118</v>
      </c>
      <c r="AL61">
        <f t="shared" si="6"/>
        <v>1156.9000000000001</v>
      </c>
      <c r="AM61" t="str">
        <f t="shared" si="7"/>
        <v>No</v>
      </c>
    </row>
    <row r="62" spans="1:39" x14ac:dyDescent="0.3">
      <c r="A62" t="s">
        <v>30</v>
      </c>
      <c r="B62" s="28">
        <f t="shared" si="0"/>
        <v>41883</v>
      </c>
      <c r="C62">
        <v>2014</v>
      </c>
      <c r="D62" t="s">
        <v>41</v>
      </c>
      <c r="E62" t="str">
        <f t="shared" si="1"/>
        <v>Sep-14</v>
      </c>
      <c r="F62">
        <f>VLOOKUP(D62,'Problem Statement 4'!$G$2:$H$13,2,0)</f>
        <v>9</v>
      </c>
      <c r="G62">
        <v>122.3</v>
      </c>
      <c r="H62">
        <v>122.4</v>
      </c>
      <c r="I62">
        <v>117.8</v>
      </c>
      <c r="J62">
        <v>122.7</v>
      </c>
      <c r="K62">
        <v>110.4</v>
      </c>
      <c r="L62">
        <v>129.80000000000001</v>
      </c>
      <c r="M62">
        <v>158.80000000000001</v>
      </c>
      <c r="N62">
        <v>115</v>
      </c>
      <c r="O62">
        <v>104.7</v>
      </c>
      <c r="P62">
        <v>114.9</v>
      </c>
      <c r="Q62">
        <v>116.5</v>
      </c>
      <c r="R62">
        <v>122.6</v>
      </c>
      <c r="S62">
        <v>125.3</v>
      </c>
      <c r="T62">
        <v>119.5</v>
      </c>
      <c r="U62">
        <v>121.7</v>
      </c>
      <c r="V62">
        <v>119.2</v>
      </c>
      <c r="W62">
        <v>121.3</v>
      </c>
      <c r="X62">
        <v>116.1</v>
      </c>
      <c r="Y62">
        <v>115.8</v>
      </c>
      <c r="Z62">
        <v>116.7</v>
      </c>
      <c r="AA62">
        <v>114.5</v>
      </c>
      <c r="AB62">
        <v>112.8</v>
      </c>
      <c r="AC62">
        <v>112.6</v>
      </c>
      <c r="AD62">
        <v>116.6</v>
      </c>
      <c r="AE62">
        <v>109.1</v>
      </c>
      <c r="AF62">
        <v>113.7</v>
      </c>
      <c r="AG62">
        <v>120.9</v>
      </c>
      <c r="AH62">
        <f t="shared" si="2"/>
        <v>1583.2</v>
      </c>
      <c r="AI62">
        <f t="shared" si="3"/>
        <v>115.8</v>
      </c>
      <c r="AJ62">
        <f t="shared" si="4"/>
        <v>112.8</v>
      </c>
      <c r="AK62">
        <f t="shared" si="5"/>
        <v>116.6</v>
      </c>
      <c r="AL62">
        <f t="shared" si="6"/>
        <v>1164.4000000000001</v>
      </c>
      <c r="AM62" t="str">
        <f t="shared" si="7"/>
        <v>No</v>
      </c>
    </row>
    <row r="63" spans="1:39" x14ac:dyDescent="0.3">
      <c r="A63" t="s">
        <v>32</v>
      </c>
      <c r="B63" s="28">
        <f t="shared" si="0"/>
        <v>41883</v>
      </c>
      <c r="C63">
        <v>2014</v>
      </c>
      <c r="D63" t="s">
        <v>41</v>
      </c>
      <c r="E63" t="str">
        <f t="shared" si="1"/>
        <v>Sep-14</v>
      </c>
      <c r="F63">
        <f>VLOOKUP(D63,'Problem Statement 4'!$G$2:$H$13,2,0)</f>
        <v>9</v>
      </c>
      <c r="G63">
        <v>124.2</v>
      </c>
      <c r="H63">
        <v>125.4</v>
      </c>
      <c r="I63">
        <v>116.4</v>
      </c>
      <c r="J63">
        <v>122.7</v>
      </c>
      <c r="K63">
        <v>103.5</v>
      </c>
      <c r="L63">
        <v>124.5</v>
      </c>
      <c r="M63">
        <v>168.6</v>
      </c>
      <c r="N63">
        <v>116.9</v>
      </c>
      <c r="O63">
        <v>101.9</v>
      </c>
      <c r="P63">
        <v>122.9</v>
      </c>
      <c r="Q63">
        <v>114.8</v>
      </c>
      <c r="R63">
        <v>125.2</v>
      </c>
      <c r="S63">
        <v>126.7</v>
      </c>
      <c r="T63">
        <v>124.3</v>
      </c>
      <c r="U63">
        <v>119.2</v>
      </c>
      <c r="V63">
        <v>114.5</v>
      </c>
      <c r="W63">
        <v>118.4</v>
      </c>
      <c r="X63">
        <v>116.1</v>
      </c>
      <c r="Y63">
        <v>111.8</v>
      </c>
      <c r="Z63">
        <v>115.5</v>
      </c>
      <c r="AA63">
        <v>112.3</v>
      </c>
      <c r="AB63">
        <v>111.2</v>
      </c>
      <c r="AC63">
        <v>113.4</v>
      </c>
      <c r="AD63">
        <v>120</v>
      </c>
      <c r="AE63">
        <v>110</v>
      </c>
      <c r="AF63">
        <v>113.6</v>
      </c>
      <c r="AG63">
        <v>119.2</v>
      </c>
      <c r="AH63">
        <f t="shared" si="2"/>
        <v>1593.7000000000003</v>
      </c>
      <c r="AI63">
        <f t="shared" si="3"/>
        <v>111.8</v>
      </c>
      <c r="AJ63">
        <f t="shared" si="4"/>
        <v>111.2</v>
      </c>
      <c r="AK63">
        <f t="shared" si="5"/>
        <v>120</v>
      </c>
      <c r="AL63">
        <f t="shared" si="6"/>
        <v>1157.2999999999997</v>
      </c>
      <c r="AM63" t="str">
        <f t="shared" si="7"/>
        <v>No</v>
      </c>
    </row>
    <row r="64" spans="1:39" x14ac:dyDescent="0.3">
      <c r="A64" t="s">
        <v>33</v>
      </c>
      <c r="B64" s="28">
        <f t="shared" si="0"/>
        <v>41883</v>
      </c>
      <c r="C64">
        <v>2014</v>
      </c>
      <c r="D64" t="s">
        <v>41</v>
      </c>
      <c r="E64" t="str">
        <f t="shared" si="1"/>
        <v>Sep-14</v>
      </c>
      <c r="F64">
        <f>VLOOKUP(D64,'Problem Statement 4'!$G$2:$H$13,2,0)</f>
        <v>9</v>
      </c>
      <c r="G64">
        <v>122.9</v>
      </c>
      <c r="H64">
        <v>123.5</v>
      </c>
      <c r="I64">
        <v>117.3</v>
      </c>
      <c r="J64">
        <v>122.7</v>
      </c>
      <c r="K64">
        <v>107.9</v>
      </c>
      <c r="L64">
        <v>127.3</v>
      </c>
      <c r="M64">
        <v>162.1</v>
      </c>
      <c r="N64">
        <v>115.6</v>
      </c>
      <c r="O64">
        <v>103.8</v>
      </c>
      <c r="P64">
        <v>117.6</v>
      </c>
      <c r="Q64">
        <v>115.8</v>
      </c>
      <c r="R64">
        <v>123.8</v>
      </c>
      <c r="S64">
        <v>125.8</v>
      </c>
      <c r="T64">
        <v>120.8</v>
      </c>
      <c r="U64">
        <v>120.7</v>
      </c>
      <c r="V64">
        <v>117.2</v>
      </c>
      <c r="W64">
        <v>120.1</v>
      </c>
      <c r="X64">
        <v>116.1</v>
      </c>
      <c r="Y64">
        <v>114.3</v>
      </c>
      <c r="Z64">
        <v>116.1</v>
      </c>
      <c r="AA64">
        <v>113.7</v>
      </c>
      <c r="AB64">
        <v>112</v>
      </c>
      <c r="AC64">
        <v>113.1</v>
      </c>
      <c r="AD64">
        <v>118.6</v>
      </c>
      <c r="AE64">
        <v>109.5</v>
      </c>
      <c r="AF64">
        <v>113.7</v>
      </c>
      <c r="AG64">
        <v>120.1</v>
      </c>
      <c r="AH64">
        <f t="shared" si="2"/>
        <v>1586.0999999999997</v>
      </c>
      <c r="AI64">
        <f t="shared" si="3"/>
        <v>114.3</v>
      </c>
      <c r="AJ64">
        <f t="shared" si="4"/>
        <v>112</v>
      </c>
      <c r="AK64">
        <f t="shared" si="5"/>
        <v>118.6</v>
      </c>
      <c r="AL64">
        <f t="shared" si="6"/>
        <v>1161.0000000000002</v>
      </c>
      <c r="AM64" t="str">
        <f t="shared" si="7"/>
        <v>No</v>
      </c>
    </row>
    <row r="65" spans="1:39" x14ac:dyDescent="0.3">
      <c r="A65" t="s">
        <v>30</v>
      </c>
      <c r="B65" s="28">
        <f t="shared" si="0"/>
        <v>41913</v>
      </c>
      <c r="C65">
        <v>2014</v>
      </c>
      <c r="D65" t="s">
        <v>42</v>
      </c>
      <c r="E65" t="str">
        <f t="shared" si="1"/>
        <v>Oct-14</v>
      </c>
      <c r="F65">
        <f>VLOOKUP(D65,'Problem Statement 4'!$G$2:$H$13,2,0)</f>
        <v>10</v>
      </c>
      <c r="G65">
        <v>122.6</v>
      </c>
      <c r="H65">
        <v>122.5</v>
      </c>
      <c r="I65">
        <v>118.3</v>
      </c>
      <c r="J65">
        <v>123.2</v>
      </c>
      <c r="K65">
        <v>110.5</v>
      </c>
      <c r="L65">
        <v>128.9</v>
      </c>
      <c r="M65">
        <v>155.30000000000001</v>
      </c>
      <c r="N65">
        <v>115.5</v>
      </c>
      <c r="O65">
        <v>104</v>
      </c>
      <c r="P65">
        <v>115.3</v>
      </c>
      <c r="Q65">
        <v>116.8</v>
      </c>
      <c r="R65">
        <v>123.2</v>
      </c>
      <c r="S65">
        <v>125.1</v>
      </c>
      <c r="T65">
        <v>120</v>
      </c>
      <c r="U65">
        <v>122.7</v>
      </c>
      <c r="V65">
        <v>120.3</v>
      </c>
      <c r="W65">
        <v>122.3</v>
      </c>
      <c r="X65">
        <v>116.7</v>
      </c>
      <c r="Y65">
        <v>116.4</v>
      </c>
      <c r="Z65">
        <v>117.5</v>
      </c>
      <c r="AA65">
        <v>115.3</v>
      </c>
      <c r="AB65">
        <v>112.6</v>
      </c>
      <c r="AC65">
        <v>113</v>
      </c>
      <c r="AD65">
        <v>116.9</v>
      </c>
      <c r="AE65">
        <v>109.3</v>
      </c>
      <c r="AF65">
        <v>114</v>
      </c>
      <c r="AG65">
        <v>121</v>
      </c>
      <c r="AH65">
        <f t="shared" si="2"/>
        <v>1581.1999999999998</v>
      </c>
      <c r="AI65">
        <f t="shared" si="3"/>
        <v>116.4</v>
      </c>
      <c r="AJ65">
        <f t="shared" si="4"/>
        <v>112.6</v>
      </c>
      <c r="AK65">
        <f t="shared" si="5"/>
        <v>116.9</v>
      </c>
      <c r="AL65">
        <f t="shared" si="6"/>
        <v>1171.0999999999999</v>
      </c>
      <c r="AM65" t="str">
        <f t="shared" si="7"/>
        <v>No</v>
      </c>
    </row>
    <row r="66" spans="1:39" x14ac:dyDescent="0.3">
      <c r="A66" t="s">
        <v>32</v>
      </c>
      <c r="B66" s="28">
        <f t="shared" si="0"/>
        <v>41913</v>
      </c>
      <c r="C66">
        <v>2014</v>
      </c>
      <c r="D66" t="s">
        <v>42</v>
      </c>
      <c r="E66" t="str">
        <f t="shared" si="1"/>
        <v>Oct-14</v>
      </c>
      <c r="F66">
        <f>VLOOKUP(D66,'Problem Statement 4'!$G$2:$H$13,2,0)</f>
        <v>10</v>
      </c>
      <c r="G66">
        <v>124.6</v>
      </c>
      <c r="H66">
        <v>126.1</v>
      </c>
      <c r="I66">
        <v>117.8</v>
      </c>
      <c r="J66">
        <v>123.1</v>
      </c>
      <c r="K66">
        <v>103.5</v>
      </c>
      <c r="L66">
        <v>123.5</v>
      </c>
      <c r="M66">
        <v>159.6</v>
      </c>
      <c r="N66">
        <v>117.4</v>
      </c>
      <c r="O66">
        <v>101.2</v>
      </c>
      <c r="P66">
        <v>123.8</v>
      </c>
      <c r="Q66">
        <v>115.2</v>
      </c>
      <c r="R66">
        <v>125.9</v>
      </c>
      <c r="S66">
        <v>125.8</v>
      </c>
      <c r="T66">
        <v>124.3</v>
      </c>
      <c r="U66">
        <v>119.6</v>
      </c>
      <c r="V66">
        <v>114.9</v>
      </c>
      <c r="W66">
        <v>118.9</v>
      </c>
      <c r="X66">
        <v>116.7</v>
      </c>
      <c r="Y66">
        <v>112</v>
      </c>
      <c r="Z66">
        <v>115.8</v>
      </c>
      <c r="AA66">
        <v>112.6</v>
      </c>
      <c r="AB66">
        <v>111</v>
      </c>
      <c r="AC66">
        <v>113.6</v>
      </c>
      <c r="AD66">
        <v>120.2</v>
      </c>
      <c r="AE66">
        <v>110.1</v>
      </c>
      <c r="AF66">
        <v>113.7</v>
      </c>
      <c r="AG66">
        <v>119.1</v>
      </c>
      <c r="AH66">
        <f t="shared" si="2"/>
        <v>1587.5</v>
      </c>
      <c r="AI66">
        <f t="shared" si="3"/>
        <v>112</v>
      </c>
      <c r="AJ66">
        <f t="shared" si="4"/>
        <v>111</v>
      </c>
      <c r="AK66">
        <f t="shared" si="5"/>
        <v>120.2</v>
      </c>
      <c r="AL66">
        <f t="shared" si="6"/>
        <v>1160.2</v>
      </c>
      <c r="AM66" t="str">
        <f t="shared" si="7"/>
        <v>No</v>
      </c>
    </row>
    <row r="67" spans="1:39" x14ac:dyDescent="0.3">
      <c r="A67" t="s">
        <v>33</v>
      </c>
      <c r="B67" s="28">
        <f t="shared" ref="B67:B130" si="8">DATE(C67,F67,1)</f>
        <v>41913</v>
      </c>
      <c r="C67">
        <v>2014</v>
      </c>
      <c r="D67" t="s">
        <v>42</v>
      </c>
      <c r="E67" t="str">
        <f t="shared" ref="E67:E130" si="9">_xlfn.CONCAT(TEXT(B67,"mmm"),,"-",RIGHT(C67,2))</f>
        <v>Oct-14</v>
      </c>
      <c r="F67">
        <f>VLOOKUP(D67,'Problem Statement 4'!$G$2:$H$13,2,0)</f>
        <v>10</v>
      </c>
      <c r="G67">
        <v>123.2</v>
      </c>
      <c r="H67">
        <v>123.8</v>
      </c>
      <c r="I67">
        <v>118.1</v>
      </c>
      <c r="J67">
        <v>123.2</v>
      </c>
      <c r="K67">
        <v>107.9</v>
      </c>
      <c r="L67">
        <v>126.4</v>
      </c>
      <c r="M67">
        <v>156.80000000000001</v>
      </c>
      <c r="N67">
        <v>116.1</v>
      </c>
      <c r="O67">
        <v>103.1</v>
      </c>
      <c r="P67">
        <v>118.1</v>
      </c>
      <c r="Q67">
        <v>116.1</v>
      </c>
      <c r="R67">
        <v>124.5</v>
      </c>
      <c r="S67">
        <v>125.4</v>
      </c>
      <c r="T67">
        <v>121.1</v>
      </c>
      <c r="U67">
        <v>121.5</v>
      </c>
      <c r="V67">
        <v>118.1</v>
      </c>
      <c r="W67">
        <v>121</v>
      </c>
      <c r="X67">
        <v>116.7</v>
      </c>
      <c r="Y67">
        <v>114.7</v>
      </c>
      <c r="Z67">
        <v>116.7</v>
      </c>
      <c r="AA67">
        <v>114.3</v>
      </c>
      <c r="AB67">
        <v>111.8</v>
      </c>
      <c r="AC67">
        <v>113.3</v>
      </c>
      <c r="AD67">
        <v>118.8</v>
      </c>
      <c r="AE67">
        <v>109.6</v>
      </c>
      <c r="AF67">
        <v>113.9</v>
      </c>
      <c r="AG67">
        <v>120.1</v>
      </c>
      <c r="AH67">
        <f t="shared" ref="AH67:AH130" si="10">SUM(G67:S67)</f>
        <v>1582.7</v>
      </c>
      <c r="AI67">
        <f t="shared" ref="AI67:AI130" si="11">SUM(Y67)</f>
        <v>114.7</v>
      </c>
      <c r="AJ67">
        <f t="shared" ref="AJ67:AJ130" si="12">SUM(AB67)</f>
        <v>111.8</v>
      </c>
      <c r="AK67">
        <f t="shared" ref="AK67:AK130" si="13">SUM(AD67)</f>
        <v>118.8</v>
      </c>
      <c r="AL67">
        <f t="shared" ref="AL67:AL130" si="14">SUM(T67:X67,Z67:AA67,AC67,AE67:AF67)</f>
        <v>1166.2</v>
      </c>
      <c r="AM67" t="str">
        <f t="shared" ref="AM67:AM130" si="15">IF(AND(L67&gt;150,M67&gt;150),"Yes","No")</f>
        <v>No</v>
      </c>
    </row>
    <row r="68" spans="1:39" x14ac:dyDescent="0.3">
      <c r="A68" t="s">
        <v>30</v>
      </c>
      <c r="B68" s="28">
        <f t="shared" si="8"/>
        <v>41944</v>
      </c>
      <c r="C68">
        <v>2014</v>
      </c>
      <c r="D68" t="s">
        <v>44</v>
      </c>
      <c r="E68" t="str">
        <f t="shared" si="9"/>
        <v>Nov-14</v>
      </c>
      <c r="F68">
        <f>VLOOKUP(D68,'Problem Statement 4'!$G$2:$H$13,2,0)</f>
        <v>11</v>
      </c>
      <c r="G68">
        <v>122.7</v>
      </c>
      <c r="H68">
        <v>122.6</v>
      </c>
      <c r="I68">
        <v>119.9</v>
      </c>
      <c r="J68">
        <v>124</v>
      </c>
      <c r="K68">
        <v>110.5</v>
      </c>
      <c r="L68">
        <v>128.80000000000001</v>
      </c>
      <c r="M68">
        <v>152</v>
      </c>
      <c r="N68">
        <v>116.2</v>
      </c>
      <c r="O68">
        <v>103.3</v>
      </c>
      <c r="P68">
        <v>115.8</v>
      </c>
      <c r="Q68">
        <v>116.8</v>
      </c>
      <c r="R68">
        <v>124.5</v>
      </c>
      <c r="S68">
        <v>124.9</v>
      </c>
      <c r="T68">
        <v>120.8</v>
      </c>
      <c r="U68">
        <v>123.3</v>
      </c>
      <c r="V68">
        <v>120.5</v>
      </c>
      <c r="W68">
        <v>122.9</v>
      </c>
      <c r="X68">
        <v>117.1</v>
      </c>
      <c r="Y68">
        <v>117.3</v>
      </c>
      <c r="Z68">
        <v>118.1</v>
      </c>
      <c r="AA68">
        <v>115.9</v>
      </c>
      <c r="AB68">
        <v>112</v>
      </c>
      <c r="AC68">
        <v>113.3</v>
      </c>
      <c r="AD68">
        <v>117.2</v>
      </c>
      <c r="AE68">
        <v>108.8</v>
      </c>
      <c r="AF68">
        <v>114.1</v>
      </c>
      <c r="AG68">
        <v>121.1</v>
      </c>
      <c r="AH68">
        <f t="shared" si="10"/>
        <v>1582</v>
      </c>
      <c r="AI68">
        <f t="shared" si="11"/>
        <v>117.3</v>
      </c>
      <c r="AJ68">
        <f t="shared" si="12"/>
        <v>112</v>
      </c>
      <c r="AK68">
        <f t="shared" si="13"/>
        <v>117.2</v>
      </c>
      <c r="AL68">
        <f t="shared" si="14"/>
        <v>1174.8</v>
      </c>
      <c r="AM68" t="str">
        <f t="shared" si="15"/>
        <v>No</v>
      </c>
    </row>
    <row r="69" spans="1:39" x14ac:dyDescent="0.3">
      <c r="A69" t="s">
        <v>32</v>
      </c>
      <c r="B69" s="28">
        <f t="shared" si="8"/>
        <v>41944</v>
      </c>
      <c r="C69">
        <v>2014</v>
      </c>
      <c r="D69" t="s">
        <v>44</v>
      </c>
      <c r="E69" t="str">
        <f t="shared" si="9"/>
        <v>Nov-14</v>
      </c>
      <c r="F69">
        <f>VLOOKUP(D69,'Problem Statement 4'!$G$2:$H$13,2,0)</f>
        <v>11</v>
      </c>
      <c r="G69">
        <v>124.5</v>
      </c>
      <c r="H69">
        <v>125.6</v>
      </c>
      <c r="I69">
        <v>122.7</v>
      </c>
      <c r="J69">
        <v>124.6</v>
      </c>
      <c r="K69">
        <v>103.2</v>
      </c>
      <c r="L69">
        <v>122.2</v>
      </c>
      <c r="M69">
        <v>153.19999999999999</v>
      </c>
      <c r="N69">
        <v>119.3</v>
      </c>
      <c r="O69">
        <v>99.8</v>
      </c>
      <c r="P69">
        <v>124.6</v>
      </c>
      <c r="Q69">
        <v>115.8</v>
      </c>
      <c r="R69">
        <v>126.9</v>
      </c>
      <c r="S69">
        <v>125.4</v>
      </c>
      <c r="T69">
        <v>125.8</v>
      </c>
      <c r="U69">
        <v>120.3</v>
      </c>
      <c r="V69">
        <v>115.4</v>
      </c>
      <c r="W69">
        <v>119.5</v>
      </c>
      <c r="X69">
        <v>117.1</v>
      </c>
      <c r="Y69">
        <v>112.6</v>
      </c>
      <c r="Z69">
        <v>116.4</v>
      </c>
      <c r="AA69">
        <v>113</v>
      </c>
      <c r="AB69">
        <v>109.7</v>
      </c>
      <c r="AC69">
        <v>114</v>
      </c>
      <c r="AD69">
        <v>120.3</v>
      </c>
      <c r="AE69">
        <v>109.6</v>
      </c>
      <c r="AF69">
        <v>113.4</v>
      </c>
      <c r="AG69">
        <v>119</v>
      </c>
      <c r="AH69">
        <f t="shared" si="10"/>
        <v>1587.8</v>
      </c>
      <c r="AI69">
        <f t="shared" si="11"/>
        <v>112.6</v>
      </c>
      <c r="AJ69">
        <f t="shared" si="12"/>
        <v>109.7</v>
      </c>
      <c r="AK69">
        <f t="shared" si="13"/>
        <v>120.3</v>
      </c>
      <c r="AL69">
        <f t="shared" si="14"/>
        <v>1164.5</v>
      </c>
      <c r="AM69" t="str">
        <f t="shared" si="15"/>
        <v>No</v>
      </c>
    </row>
    <row r="70" spans="1:39" x14ac:dyDescent="0.3">
      <c r="A70" t="s">
        <v>33</v>
      </c>
      <c r="B70" s="28">
        <f t="shared" si="8"/>
        <v>41944</v>
      </c>
      <c r="C70">
        <v>2014</v>
      </c>
      <c r="D70" t="s">
        <v>44</v>
      </c>
      <c r="E70" t="str">
        <f t="shared" si="9"/>
        <v>Nov-14</v>
      </c>
      <c r="F70">
        <f>VLOOKUP(D70,'Problem Statement 4'!$G$2:$H$13,2,0)</f>
        <v>11</v>
      </c>
      <c r="G70">
        <v>123.3</v>
      </c>
      <c r="H70">
        <v>123.7</v>
      </c>
      <c r="I70">
        <v>121</v>
      </c>
      <c r="J70">
        <v>124.2</v>
      </c>
      <c r="K70">
        <v>107.8</v>
      </c>
      <c r="L70">
        <v>125.7</v>
      </c>
      <c r="M70">
        <v>152.4</v>
      </c>
      <c r="N70">
        <v>117.2</v>
      </c>
      <c r="O70">
        <v>102.1</v>
      </c>
      <c r="P70">
        <v>118.7</v>
      </c>
      <c r="Q70">
        <v>116.4</v>
      </c>
      <c r="R70">
        <v>125.6</v>
      </c>
      <c r="S70">
        <v>125.1</v>
      </c>
      <c r="T70">
        <v>122.1</v>
      </c>
      <c r="U70">
        <v>122.1</v>
      </c>
      <c r="V70">
        <v>118.4</v>
      </c>
      <c r="W70">
        <v>121.6</v>
      </c>
      <c r="X70">
        <v>117.1</v>
      </c>
      <c r="Y70">
        <v>115.5</v>
      </c>
      <c r="Z70">
        <v>117.3</v>
      </c>
      <c r="AA70">
        <v>114.8</v>
      </c>
      <c r="AB70">
        <v>110.8</v>
      </c>
      <c r="AC70">
        <v>113.7</v>
      </c>
      <c r="AD70">
        <v>119</v>
      </c>
      <c r="AE70">
        <v>109.1</v>
      </c>
      <c r="AF70">
        <v>113.8</v>
      </c>
      <c r="AG70">
        <v>120.1</v>
      </c>
      <c r="AH70">
        <f t="shared" si="10"/>
        <v>1583.2</v>
      </c>
      <c r="AI70">
        <f t="shared" si="11"/>
        <v>115.5</v>
      </c>
      <c r="AJ70">
        <f t="shared" si="12"/>
        <v>110.8</v>
      </c>
      <c r="AK70">
        <f t="shared" si="13"/>
        <v>119</v>
      </c>
      <c r="AL70">
        <f t="shared" si="14"/>
        <v>1170</v>
      </c>
      <c r="AM70" t="str">
        <f t="shared" si="15"/>
        <v>No</v>
      </c>
    </row>
    <row r="71" spans="1:39" x14ac:dyDescent="0.3">
      <c r="A71" t="s">
        <v>30</v>
      </c>
      <c r="B71" s="28">
        <f t="shared" si="8"/>
        <v>41974</v>
      </c>
      <c r="C71">
        <v>2014</v>
      </c>
      <c r="D71" t="s">
        <v>45</v>
      </c>
      <c r="E71" t="str">
        <f t="shared" si="9"/>
        <v>Dec-14</v>
      </c>
      <c r="F71">
        <f>VLOOKUP(D71,'Problem Statement 4'!$G$2:$H$13,2,0)</f>
        <v>12</v>
      </c>
      <c r="G71">
        <v>122.4</v>
      </c>
      <c r="H71">
        <v>122.4</v>
      </c>
      <c r="I71">
        <v>121.8</v>
      </c>
      <c r="J71">
        <v>124.2</v>
      </c>
      <c r="K71">
        <v>110.2</v>
      </c>
      <c r="L71">
        <v>128.6</v>
      </c>
      <c r="M71">
        <v>140.30000000000001</v>
      </c>
      <c r="N71">
        <v>116.3</v>
      </c>
      <c r="O71">
        <v>102</v>
      </c>
      <c r="P71">
        <v>116</v>
      </c>
      <c r="Q71">
        <v>117.3</v>
      </c>
      <c r="R71">
        <v>124.8</v>
      </c>
      <c r="S71">
        <v>123.3</v>
      </c>
      <c r="T71">
        <v>121.7</v>
      </c>
      <c r="U71">
        <v>123.8</v>
      </c>
      <c r="V71">
        <v>120.6</v>
      </c>
      <c r="W71">
        <v>123.3</v>
      </c>
      <c r="X71">
        <v>116.5</v>
      </c>
      <c r="Y71">
        <v>117.4</v>
      </c>
      <c r="Z71">
        <v>118.2</v>
      </c>
      <c r="AA71">
        <v>116.2</v>
      </c>
      <c r="AB71">
        <v>111.5</v>
      </c>
      <c r="AC71">
        <v>113.3</v>
      </c>
      <c r="AD71">
        <v>117.7</v>
      </c>
      <c r="AE71">
        <v>109.4</v>
      </c>
      <c r="AF71">
        <v>114.2</v>
      </c>
      <c r="AG71">
        <v>120.3</v>
      </c>
      <c r="AH71">
        <f t="shared" si="10"/>
        <v>1569.6</v>
      </c>
      <c r="AI71">
        <f t="shared" si="11"/>
        <v>117.4</v>
      </c>
      <c r="AJ71">
        <f t="shared" si="12"/>
        <v>111.5</v>
      </c>
      <c r="AK71">
        <f t="shared" si="13"/>
        <v>117.7</v>
      </c>
      <c r="AL71">
        <f t="shared" si="14"/>
        <v>1177.2000000000003</v>
      </c>
      <c r="AM71" t="str">
        <f t="shared" si="15"/>
        <v>No</v>
      </c>
    </row>
    <row r="72" spans="1:39" x14ac:dyDescent="0.3">
      <c r="A72" t="s">
        <v>32</v>
      </c>
      <c r="B72" s="28">
        <f t="shared" si="8"/>
        <v>41974</v>
      </c>
      <c r="C72">
        <v>2014</v>
      </c>
      <c r="D72" t="s">
        <v>45</v>
      </c>
      <c r="E72" t="str">
        <f t="shared" si="9"/>
        <v>Dec-14</v>
      </c>
      <c r="F72">
        <f>VLOOKUP(D72,'Problem Statement 4'!$G$2:$H$13,2,0)</f>
        <v>12</v>
      </c>
      <c r="G72">
        <v>124</v>
      </c>
      <c r="H72">
        <v>124.7</v>
      </c>
      <c r="I72">
        <v>126.3</v>
      </c>
      <c r="J72">
        <v>124.9</v>
      </c>
      <c r="K72">
        <v>103</v>
      </c>
      <c r="L72">
        <v>122.3</v>
      </c>
      <c r="M72">
        <v>141</v>
      </c>
      <c r="N72">
        <v>120.1</v>
      </c>
      <c r="O72">
        <v>97.8</v>
      </c>
      <c r="P72">
        <v>125.4</v>
      </c>
      <c r="Q72">
        <v>116.1</v>
      </c>
      <c r="R72">
        <v>127.6</v>
      </c>
      <c r="S72">
        <v>124</v>
      </c>
      <c r="T72">
        <v>126.4</v>
      </c>
      <c r="U72">
        <v>120.7</v>
      </c>
      <c r="V72">
        <v>115.8</v>
      </c>
      <c r="W72">
        <v>120</v>
      </c>
      <c r="X72">
        <v>116.5</v>
      </c>
      <c r="Y72">
        <v>113</v>
      </c>
      <c r="Z72">
        <v>116.8</v>
      </c>
      <c r="AA72">
        <v>113.2</v>
      </c>
      <c r="AB72">
        <v>108.8</v>
      </c>
      <c r="AC72">
        <v>114.3</v>
      </c>
      <c r="AD72">
        <v>120.7</v>
      </c>
      <c r="AE72">
        <v>110.4</v>
      </c>
      <c r="AF72">
        <v>113.4</v>
      </c>
      <c r="AG72">
        <v>118.4</v>
      </c>
      <c r="AH72">
        <f t="shared" si="10"/>
        <v>1577.1999999999998</v>
      </c>
      <c r="AI72">
        <f t="shared" si="11"/>
        <v>113</v>
      </c>
      <c r="AJ72">
        <f t="shared" si="12"/>
        <v>108.8</v>
      </c>
      <c r="AK72">
        <f t="shared" si="13"/>
        <v>120.7</v>
      </c>
      <c r="AL72">
        <f t="shared" si="14"/>
        <v>1167.5000000000002</v>
      </c>
      <c r="AM72" t="str">
        <f t="shared" si="15"/>
        <v>No</v>
      </c>
    </row>
    <row r="73" spans="1:39" x14ac:dyDescent="0.3">
      <c r="A73" t="s">
        <v>33</v>
      </c>
      <c r="B73" s="28">
        <f t="shared" si="8"/>
        <v>41974</v>
      </c>
      <c r="C73">
        <v>2014</v>
      </c>
      <c r="D73" t="s">
        <v>45</v>
      </c>
      <c r="E73" t="str">
        <f t="shared" si="9"/>
        <v>Dec-14</v>
      </c>
      <c r="F73">
        <f>VLOOKUP(D73,'Problem Statement 4'!$G$2:$H$13,2,0)</f>
        <v>12</v>
      </c>
      <c r="G73">
        <v>122.9</v>
      </c>
      <c r="H73">
        <v>123.2</v>
      </c>
      <c r="I73">
        <v>123.5</v>
      </c>
      <c r="J73">
        <v>124.5</v>
      </c>
      <c r="K73">
        <v>107.6</v>
      </c>
      <c r="L73">
        <v>125.7</v>
      </c>
      <c r="M73">
        <v>140.5</v>
      </c>
      <c r="N73">
        <v>117.6</v>
      </c>
      <c r="O73">
        <v>100.6</v>
      </c>
      <c r="P73">
        <v>119.1</v>
      </c>
      <c r="Q73">
        <v>116.8</v>
      </c>
      <c r="R73">
        <v>126.1</v>
      </c>
      <c r="S73">
        <v>123.6</v>
      </c>
      <c r="T73">
        <v>123</v>
      </c>
      <c r="U73">
        <v>122.6</v>
      </c>
      <c r="V73">
        <v>118.6</v>
      </c>
      <c r="W73">
        <v>122</v>
      </c>
      <c r="X73">
        <v>116.5</v>
      </c>
      <c r="Y73">
        <v>115.7</v>
      </c>
      <c r="Z73">
        <v>117.5</v>
      </c>
      <c r="AA73">
        <v>115.1</v>
      </c>
      <c r="AB73">
        <v>110.1</v>
      </c>
      <c r="AC73">
        <v>113.9</v>
      </c>
      <c r="AD73">
        <v>119.5</v>
      </c>
      <c r="AE73">
        <v>109.8</v>
      </c>
      <c r="AF73">
        <v>113.8</v>
      </c>
      <c r="AG73">
        <v>119.4</v>
      </c>
      <c r="AH73">
        <f t="shared" si="10"/>
        <v>1571.6999999999998</v>
      </c>
      <c r="AI73">
        <f t="shared" si="11"/>
        <v>115.7</v>
      </c>
      <c r="AJ73">
        <f t="shared" si="12"/>
        <v>110.1</v>
      </c>
      <c r="AK73">
        <f t="shared" si="13"/>
        <v>119.5</v>
      </c>
      <c r="AL73">
        <f t="shared" si="14"/>
        <v>1172.8</v>
      </c>
      <c r="AM73" t="str">
        <f t="shared" si="15"/>
        <v>No</v>
      </c>
    </row>
    <row r="74" spans="1:39" x14ac:dyDescent="0.3">
      <c r="A74" t="s">
        <v>30</v>
      </c>
      <c r="B74" s="28">
        <f t="shared" si="8"/>
        <v>42005</v>
      </c>
      <c r="C74">
        <v>2015</v>
      </c>
      <c r="D74" t="s">
        <v>31</v>
      </c>
      <c r="E74" t="str">
        <f t="shared" si="9"/>
        <v>Jan-15</v>
      </c>
      <c r="F74">
        <f>VLOOKUP(D74,'Problem Statement 4'!$G$2:$H$13,2,0)</f>
        <v>1</v>
      </c>
      <c r="G74">
        <v>123.1</v>
      </c>
      <c r="H74">
        <v>123.1</v>
      </c>
      <c r="I74">
        <v>122.1</v>
      </c>
      <c r="J74">
        <v>124.9</v>
      </c>
      <c r="K74">
        <v>111</v>
      </c>
      <c r="L74">
        <v>130.4</v>
      </c>
      <c r="M74">
        <v>132.30000000000001</v>
      </c>
      <c r="N74">
        <v>117.2</v>
      </c>
      <c r="O74">
        <v>100.5</v>
      </c>
      <c r="P74">
        <v>117.2</v>
      </c>
      <c r="Q74">
        <v>117.9</v>
      </c>
      <c r="R74">
        <v>125.6</v>
      </c>
      <c r="S74">
        <v>122.8</v>
      </c>
      <c r="T74">
        <v>122.7</v>
      </c>
      <c r="U74">
        <v>124.4</v>
      </c>
      <c r="V74">
        <v>121.6</v>
      </c>
      <c r="W74">
        <v>124</v>
      </c>
      <c r="X74">
        <v>117.3</v>
      </c>
      <c r="Y74">
        <v>118.4</v>
      </c>
      <c r="Z74">
        <v>118.9</v>
      </c>
      <c r="AA74">
        <v>116.6</v>
      </c>
      <c r="AB74">
        <v>111</v>
      </c>
      <c r="AC74">
        <v>114</v>
      </c>
      <c r="AD74">
        <v>118.2</v>
      </c>
      <c r="AE74">
        <v>110.2</v>
      </c>
      <c r="AF74">
        <v>114.5</v>
      </c>
      <c r="AG74">
        <v>120.3</v>
      </c>
      <c r="AH74">
        <f t="shared" si="10"/>
        <v>1568.1</v>
      </c>
      <c r="AI74">
        <f t="shared" si="11"/>
        <v>118.4</v>
      </c>
      <c r="AJ74">
        <f t="shared" si="12"/>
        <v>111</v>
      </c>
      <c r="AK74">
        <f t="shared" si="13"/>
        <v>118.2</v>
      </c>
      <c r="AL74">
        <f t="shared" si="14"/>
        <v>1184.2</v>
      </c>
      <c r="AM74" t="str">
        <f t="shared" si="15"/>
        <v>No</v>
      </c>
    </row>
    <row r="75" spans="1:39" x14ac:dyDescent="0.3">
      <c r="A75" t="s">
        <v>32</v>
      </c>
      <c r="B75" s="28">
        <f t="shared" si="8"/>
        <v>42005</v>
      </c>
      <c r="C75">
        <v>2015</v>
      </c>
      <c r="D75" t="s">
        <v>31</v>
      </c>
      <c r="E75" t="str">
        <f t="shared" si="9"/>
        <v>Jan-15</v>
      </c>
      <c r="F75">
        <f>VLOOKUP(D75,'Problem Statement 4'!$G$2:$H$13,2,0)</f>
        <v>1</v>
      </c>
      <c r="G75">
        <v>124</v>
      </c>
      <c r="H75">
        <v>125.5</v>
      </c>
      <c r="I75">
        <v>126.6</v>
      </c>
      <c r="J75">
        <v>125.2</v>
      </c>
      <c r="K75">
        <v>104.3</v>
      </c>
      <c r="L75">
        <v>121.3</v>
      </c>
      <c r="M75">
        <v>134.4</v>
      </c>
      <c r="N75">
        <v>122.9</v>
      </c>
      <c r="O75">
        <v>96.1</v>
      </c>
      <c r="P75">
        <v>126.6</v>
      </c>
      <c r="Q75">
        <v>116.5</v>
      </c>
      <c r="R75">
        <v>128</v>
      </c>
      <c r="S75">
        <v>123.5</v>
      </c>
      <c r="T75">
        <v>127.4</v>
      </c>
      <c r="U75">
        <v>121</v>
      </c>
      <c r="V75">
        <v>116.1</v>
      </c>
      <c r="W75">
        <v>120.2</v>
      </c>
      <c r="X75">
        <v>117.3</v>
      </c>
      <c r="Y75">
        <v>113.4</v>
      </c>
      <c r="Z75">
        <v>117.2</v>
      </c>
      <c r="AA75">
        <v>113.7</v>
      </c>
      <c r="AB75">
        <v>107.9</v>
      </c>
      <c r="AC75">
        <v>114.6</v>
      </c>
      <c r="AD75">
        <v>120.8</v>
      </c>
      <c r="AE75">
        <v>111.4</v>
      </c>
      <c r="AF75">
        <v>113.4</v>
      </c>
      <c r="AG75">
        <v>118.5</v>
      </c>
      <c r="AH75">
        <f t="shared" si="10"/>
        <v>1574.8999999999999</v>
      </c>
      <c r="AI75">
        <f t="shared" si="11"/>
        <v>113.4</v>
      </c>
      <c r="AJ75">
        <f t="shared" si="12"/>
        <v>107.9</v>
      </c>
      <c r="AK75">
        <f t="shared" si="13"/>
        <v>120.8</v>
      </c>
      <c r="AL75">
        <f t="shared" si="14"/>
        <v>1172.3000000000002</v>
      </c>
      <c r="AM75" t="str">
        <f t="shared" si="15"/>
        <v>No</v>
      </c>
    </row>
    <row r="76" spans="1:39" x14ac:dyDescent="0.3">
      <c r="A76" t="s">
        <v>33</v>
      </c>
      <c r="B76" s="28">
        <f t="shared" si="8"/>
        <v>42005</v>
      </c>
      <c r="C76">
        <v>2015</v>
      </c>
      <c r="D76" t="s">
        <v>31</v>
      </c>
      <c r="E76" t="str">
        <f t="shared" si="9"/>
        <v>Jan-15</v>
      </c>
      <c r="F76">
        <f>VLOOKUP(D76,'Problem Statement 4'!$G$2:$H$13,2,0)</f>
        <v>1</v>
      </c>
      <c r="G76">
        <v>123.4</v>
      </c>
      <c r="H76">
        <v>123.9</v>
      </c>
      <c r="I76">
        <v>123.8</v>
      </c>
      <c r="J76">
        <v>125</v>
      </c>
      <c r="K76">
        <v>108.5</v>
      </c>
      <c r="L76">
        <v>126.2</v>
      </c>
      <c r="M76">
        <v>133</v>
      </c>
      <c r="N76">
        <v>119.1</v>
      </c>
      <c r="O76">
        <v>99</v>
      </c>
      <c r="P76">
        <v>120.3</v>
      </c>
      <c r="Q76">
        <v>117.3</v>
      </c>
      <c r="R76">
        <v>126.7</v>
      </c>
      <c r="S76">
        <v>123.1</v>
      </c>
      <c r="T76">
        <v>124</v>
      </c>
      <c r="U76">
        <v>123.1</v>
      </c>
      <c r="V76">
        <v>119.3</v>
      </c>
      <c r="W76">
        <v>122.5</v>
      </c>
      <c r="X76">
        <v>117.3</v>
      </c>
      <c r="Y76">
        <v>116.5</v>
      </c>
      <c r="Z76">
        <v>118.1</v>
      </c>
      <c r="AA76">
        <v>115.5</v>
      </c>
      <c r="AB76">
        <v>109.4</v>
      </c>
      <c r="AC76">
        <v>114.3</v>
      </c>
      <c r="AD76">
        <v>119.7</v>
      </c>
      <c r="AE76">
        <v>110.7</v>
      </c>
      <c r="AF76">
        <v>114</v>
      </c>
      <c r="AG76">
        <v>119.5</v>
      </c>
      <c r="AH76">
        <f t="shared" si="10"/>
        <v>1569.3</v>
      </c>
      <c r="AI76">
        <f t="shared" si="11"/>
        <v>116.5</v>
      </c>
      <c r="AJ76">
        <f t="shared" si="12"/>
        <v>109.4</v>
      </c>
      <c r="AK76">
        <f t="shared" si="13"/>
        <v>119.7</v>
      </c>
      <c r="AL76">
        <f t="shared" si="14"/>
        <v>1178.8</v>
      </c>
      <c r="AM76" t="str">
        <f t="shared" si="15"/>
        <v>No</v>
      </c>
    </row>
    <row r="77" spans="1:39" x14ac:dyDescent="0.3">
      <c r="A77" t="s">
        <v>30</v>
      </c>
      <c r="B77" s="28">
        <f t="shared" si="8"/>
        <v>42036</v>
      </c>
      <c r="C77">
        <v>2015</v>
      </c>
      <c r="D77" t="s">
        <v>34</v>
      </c>
      <c r="E77" t="str">
        <f t="shared" si="9"/>
        <v>Feb-15</v>
      </c>
      <c r="F77">
        <f>VLOOKUP(D77,'Problem Statement 4'!$G$2:$H$13,2,0)</f>
        <v>2</v>
      </c>
      <c r="G77">
        <v>123.4</v>
      </c>
      <c r="H77">
        <v>124.4</v>
      </c>
      <c r="I77">
        <v>122.1</v>
      </c>
      <c r="J77">
        <v>125.8</v>
      </c>
      <c r="K77">
        <v>111.5</v>
      </c>
      <c r="L77">
        <v>129.4</v>
      </c>
      <c r="M77">
        <v>128.19999999999999</v>
      </c>
      <c r="N77">
        <v>118.8</v>
      </c>
      <c r="O77">
        <v>100</v>
      </c>
      <c r="P77">
        <v>118.6</v>
      </c>
      <c r="Q77">
        <v>118.8</v>
      </c>
      <c r="R77">
        <v>126.8</v>
      </c>
      <c r="S77">
        <v>122.8</v>
      </c>
      <c r="T77">
        <v>124.2</v>
      </c>
      <c r="U77">
        <v>125.4</v>
      </c>
      <c r="V77">
        <v>122.7</v>
      </c>
      <c r="W77">
        <v>125</v>
      </c>
      <c r="X77">
        <v>118.1</v>
      </c>
      <c r="Y77">
        <v>120</v>
      </c>
      <c r="Z77">
        <v>119.6</v>
      </c>
      <c r="AA77">
        <v>117.7</v>
      </c>
      <c r="AB77">
        <v>110.9</v>
      </c>
      <c r="AC77">
        <v>114.8</v>
      </c>
      <c r="AD77">
        <v>118.7</v>
      </c>
      <c r="AE77">
        <v>110.8</v>
      </c>
      <c r="AF77">
        <v>115</v>
      </c>
      <c r="AG77">
        <v>120.6</v>
      </c>
      <c r="AH77">
        <f t="shared" si="10"/>
        <v>1570.5999999999997</v>
      </c>
      <c r="AI77">
        <f t="shared" si="11"/>
        <v>120</v>
      </c>
      <c r="AJ77">
        <f t="shared" si="12"/>
        <v>110.9</v>
      </c>
      <c r="AK77">
        <f t="shared" si="13"/>
        <v>118.7</v>
      </c>
      <c r="AL77">
        <f t="shared" si="14"/>
        <v>1193.3</v>
      </c>
      <c r="AM77" t="str">
        <f t="shared" si="15"/>
        <v>No</v>
      </c>
    </row>
    <row r="78" spans="1:39" x14ac:dyDescent="0.3">
      <c r="A78" t="s">
        <v>32</v>
      </c>
      <c r="B78" s="28">
        <f t="shared" si="8"/>
        <v>42036</v>
      </c>
      <c r="C78">
        <v>2015</v>
      </c>
      <c r="D78" t="s">
        <v>34</v>
      </c>
      <c r="E78" t="str">
        <f t="shared" si="9"/>
        <v>Feb-15</v>
      </c>
      <c r="F78">
        <f>VLOOKUP(D78,'Problem Statement 4'!$G$2:$H$13,2,0)</f>
        <v>2</v>
      </c>
      <c r="G78">
        <v>124.3</v>
      </c>
      <c r="H78">
        <v>126.5</v>
      </c>
      <c r="I78">
        <v>119.5</v>
      </c>
      <c r="J78">
        <v>125.6</v>
      </c>
      <c r="K78">
        <v>104.9</v>
      </c>
      <c r="L78">
        <v>121.6</v>
      </c>
      <c r="M78">
        <v>131.80000000000001</v>
      </c>
      <c r="N78">
        <v>125.1</v>
      </c>
      <c r="O78">
        <v>95</v>
      </c>
      <c r="P78">
        <v>127.7</v>
      </c>
      <c r="Q78">
        <v>116.8</v>
      </c>
      <c r="R78">
        <v>128.6</v>
      </c>
      <c r="S78">
        <v>123.7</v>
      </c>
      <c r="T78">
        <v>128.1</v>
      </c>
      <c r="U78">
        <v>121.3</v>
      </c>
      <c r="V78">
        <v>116.5</v>
      </c>
      <c r="W78">
        <v>120.6</v>
      </c>
      <c r="X78">
        <v>118.1</v>
      </c>
      <c r="Y78">
        <v>114</v>
      </c>
      <c r="Z78">
        <v>117.7</v>
      </c>
      <c r="AA78">
        <v>114.1</v>
      </c>
      <c r="AB78">
        <v>106.8</v>
      </c>
      <c r="AC78">
        <v>114.9</v>
      </c>
      <c r="AD78">
        <v>120.4</v>
      </c>
      <c r="AE78">
        <v>111.7</v>
      </c>
      <c r="AF78">
        <v>113.2</v>
      </c>
      <c r="AG78">
        <v>118.7</v>
      </c>
      <c r="AH78">
        <f t="shared" si="10"/>
        <v>1571.1000000000001</v>
      </c>
      <c r="AI78">
        <f t="shared" si="11"/>
        <v>114</v>
      </c>
      <c r="AJ78">
        <f t="shared" si="12"/>
        <v>106.8</v>
      </c>
      <c r="AK78">
        <f t="shared" si="13"/>
        <v>120.4</v>
      </c>
      <c r="AL78">
        <f t="shared" si="14"/>
        <v>1176.2</v>
      </c>
      <c r="AM78" t="str">
        <f t="shared" si="15"/>
        <v>No</v>
      </c>
    </row>
    <row r="79" spans="1:39" x14ac:dyDescent="0.3">
      <c r="A79" t="s">
        <v>33</v>
      </c>
      <c r="B79" s="28">
        <f t="shared" si="8"/>
        <v>42036</v>
      </c>
      <c r="C79">
        <v>2015</v>
      </c>
      <c r="D79" t="s">
        <v>34</v>
      </c>
      <c r="E79" t="str">
        <f t="shared" si="9"/>
        <v>Feb-15</v>
      </c>
      <c r="F79">
        <f>VLOOKUP(D79,'Problem Statement 4'!$G$2:$H$13,2,0)</f>
        <v>2</v>
      </c>
      <c r="G79">
        <v>123.7</v>
      </c>
      <c r="H79">
        <v>125.1</v>
      </c>
      <c r="I79">
        <v>121.1</v>
      </c>
      <c r="J79">
        <v>125.7</v>
      </c>
      <c r="K79">
        <v>109.1</v>
      </c>
      <c r="L79">
        <v>125.8</v>
      </c>
      <c r="M79">
        <v>129.4</v>
      </c>
      <c r="N79">
        <v>120.9</v>
      </c>
      <c r="O79">
        <v>98.3</v>
      </c>
      <c r="P79">
        <v>121.6</v>
      </c>
      <c r="Q79">
        <v>118</v>
      </c>
      <c r="R79">
        <v>127.6</v>
      </c>
      <c r="S79">
        <v>123.1</v>
      </c>
      <c r="T79">
        <v>125.2</v>
      </c>
      <c r="U79">
        <v>123.8</v>
      </c>
      <c r="V79">
        <v>120.1</v>
      </c>
      <c r="W79">
        <v>123.3</v>
      </c>
      <c r="X79">
        <v>118.1</v>
      </c>
      <c r="Y79">
        <v>117.7</v>
      </c>
      <c r="Z79">
        <v>118.7</v>
      </c>
      <c r="AA79">
        <v>116.3</v>
      </c>
      <c r="AB79">
        <v>108.7</v>
      </c>
      <c r="AC79">
        <v>114.9</v>
      </c>
      <c r="AD79">
        <v>119.7</v>
      </c>
      <c r="AE79">
        <v>111.2</v>
      </c>
      <c r="AF79">
        <v>114.1</v>
      </c>
      <c r="AG79">
        <v>119.7</v>
      </c>
      <c r="AH79">
        <f t="shared" si="10"/>
        <v>1569.3999999999996</v>
      </c>
      <c r="AI79">
        <f t="shared" si="11"/>
        <v>117.7</v>
      </c>
      <c r="AJ79">
        <f t="shared" si="12"/>
        <v>108.7</v>
      </c>
      <c r="AK79">
        <f t="shared" si="13"/>
        <v>119.7</v>
      </c>
      <c r="AL79">
        <f t="shared" si="14"/>
        <v>1185.6999999999998</v>
      </c>
      <c r="AM79" t="str">
        <f t="shared" si="15"/>
        <v>No</v>
      </c>
    </row>
    <row r="80" spans="1:39" x14ac:dyDescent="0.3">
      <c r="A80" t="s">
        <v>30</v>
      </c>
      <c r="B80" s="28">
        <f t="shared" si="8"/>
        <v>42064</v>
      </c>
      <c r="C80">
        <v>2015</v>
      </c>
      <c r="D80" t="s">
        <v>35</v>
      </c>
      <c r="E80" t="str">
        <f t="shared" si="9"/>
        <v>Mar-15</v>
      </c>
      <c r="F80">
        <f>VLOOKUP(D80,'Problem Statement 4'!$G$2:$H$13,2,0)</f>
        <v>3</v>
      </c>
      <c r="G80">
        <v>123.3</v>
      </c>
      <c r="H80">
        <v>124.7</v>
      </c>
      <c r="I80">
        <v>118.9</v>
      </c>
      <c r="J80">
        <v>126</v>
      </c>
      <c r="K80">
        <v>111.8</v>
      </c>
      <c r="L80">
        <v>130.9</v>
      </c>
      <c r="M80">
        <v>128</v>
      </c>
      <c r="N80">
        <v>119.9</v>
      </c>
      <c r="O80">
        <v>98.9</v>
      </c>
      <c r="P80">
        <v>119.4</v>
      </c>
      <c r="Q80">
        <v>118.9</v>
      </c>
      <c r="R80">
        <v>127.7</v>
      </c>
      <c r="S80">
        <v>123.1</v>
      </c>
      <c r="T80">
        <v>124.7</v>
      </c>
      <c r="U80">
        <v>126</v>
      </c>
      <c r="V80">
        <v>122.9</v>
      </c>
      <c r="W80">
        <v>125.5</v>
      </c>
      <c r="X80">
        <v>118.6</v>
      </c>
      <c r="Y80">
        <v>120.6</v>
      </c>
      <c r="Z80">
        <v>120.2</v>
      </c>
      <c r="AA80">
        <v>118.2</v>
      </c>
      <c r="AB80">
        <v>111.6</v>
      </c>
      <c r="AC80">
        <v>115.5</v>
      </c>
      <c r="AD80">
        <v>119.4</v>
      </c>
      <c r="AE80">
        <v>110.8</v>
      </c>
      <c r="AF80">
        <v>115.5</v>
      </c>
      <c r="AG80">
        <v>121.1</v>
      </c>
      <c r="AH80">
        <f t="shared" si="10"/>
        <v>1571.5</v>
      </c>
      <c r="AI80">
        <f t="shared" si="11"/>
        <v>120.6</v>
      </c>
      <c r="AJ80">
        <f t="shared" si="12"/>
        <v>111.6</v>
      </c>
      <c r="AK80">
        <f t="shared" si="13"/>
        <v>119.4</v>
      </c>
      <c r="AL80">
        <f t="shared" si="14"/>
        <v>1197.9000000000001</v>
      </c>
      <c r="AM80" t="str">
        <f t="shared" si="15"/>
        <v>No</v>
      </c>
    </row>
    <row r="81" spans="1:39" x14ac:dyDescent="0.3">
      <c r="A81" t="s">
        <v>32</v>
      </c>
      <c r="B81" s="28">
        <f t="shared" si="8"/>
        <v>42064</v>
      </c>
      <c r="C81">
        <v>2015</v>
      </c>
      <c r="D81" t="s">
        <v>35</v>
      </c>
      <c r="E81" t="str">
        <f t="shared" si="9"/>
        <v>Mar-15</v>
      </c>
      <c r="F81">
        <f>VLOOKUP(D81,'Problem Statement 4'!$G$2:$H$13,2,0)</f>
        <v>3</v>
      </c>
      <c r="G81">
        <v>124</v>
      </c>
      <c r="H81">
        <v>126.7</v>
      </c>
      <c r="I81">
        <v>113.5</v>
      </c>
      <c r="J81">
        <v>125.9</v>
      </c>
      <c r="K81">
        <v>104.8</v>
      </c>
      <c r="L81">
        <v>123.8</v>
      </c>
      <c r="M81">
        <v>131.4</v>
      </c>
      <c r="N81">
        <v>127.2</v>
      </c>
      <c r="O81">
        <v>93.2</v>
      </c>
      <c r="P81">
        <v>127.4</v>
      </c>
      <c r="Q81">
        <v>117</v>
      </c>
      <c r="R81">
        <v>129.19999999999999</v>
      </c>
      <c r="S81">
        <v>123.9</v>
      </c>
      <c r="T81">
        <v>128.80000000000001</v>
      </c>
      <c r="U81">
        <v>121.7</v>
      </c>
      <c r="V81">
        <v>116.9</v>
      </c>
      <c r="W81">
        <v>120.9</v>
      </c>
      <c r="X81">
        <v>118.6</v>
      </c>
      <c r="Y81">
        <v>114.4</v>
      </c>
      <c r="Z81">
        <v>118</v>
      </c>
      <c r="AA81">
        <v>114.3</v>
      </c>
      <c r="AB81">
        <v>108.4</v>
      </c>
      <c r="AC81">
        <v>115.4</v>
      </c>
      <c r="AD81">
        <v>120.6</v>
      </c>
      <c r="AE81">
        <v>111.3</v>
      </c>
      <c r="AF81">
        <v>113.8</v>
      </c>
      <c r="AG81">
        <v>119.1</v>
      </c>
      <c r="AH81">
        <f t="shared" si="10"/>
        <v>1568.0000000000002</v>
      </c>
      <c r="AI81">
        <f t="shared" si="11"/>
        <v>114.4</v>
      </c>
      <c r="AJ81">
        <f t="shared" si="12"/>
        <v>108.4</v>
      </c>
      <c r="AK81">
        <f t="shared" si="13"/>
        <v>120.6</v>
      </c>
      <c r="AL81">
        <f t="shared" si="14"/>
        <v>1179.6999999999998</v>
      </c>
      <c r="AM81" t="str">
        <f t="shared" si="15"/>
        <v>No</v>
      </c>
    </row>
    <row r="82" spans="1:39" x14ac:dyDescent="0.3">
      <c r="A82" t="s">
        <v>33</v>
      </c>
      <c r="B82" s="28">
        <f t="shared" si="8"/>
        <v>42064</v>
      </c>
      <c r="C82">
        <v>2015</v>
      </c>
      <c r="D82" t="s">
        <v>35</v>
      </c>
      <c r="E82" t="str">
        <f t="shared" si="9"/>
        <v>Mar-15</v>
      </c>
      <c r="F82">
        <f>VLOOKUP(D82,'Problem Statement 4'!$G$2:$H$13,2,0)</f>
        <v>3</v>
      </c>
      <c r="G82">
        <v>123.5</v>
      </c>
      <c r="H82">
        <v>125.4</v>
      </c>
      <c r="I82">
        <v>116.8</v>
      </c>
      <c r="J82">
        <v>126</v>
      </c>
      <c r="K82">
        <v>109.2</v>
      </c>
      <c r="L82">
        <v>127.6</v>
      </c>
      <c r="M82">
        <v>129.19999999999999</v>
      </c>
      <c r="N82">
        <v>122.4</v>
      </c>
      <c r="O82">
        <v>97</v>
      </c>
      <c r="P82">
        <v>122.1</v>
      </c>
      <c r="Q82">
        <v>118.1</v>
      </c>
      <c r="R82">
        <v>128.4</v>
      </c>
      <c r="S82">
        <v>123.4</v>
      </c>
      <c r="T82">
        <v>125.8</v>
      </c>
      <c r="U82">
        <v>124.3</v>
      </c>
      <c r="V82">
        <v>120.4</v>
      </c>
      <c r="W82">
        <v>123.7</v>
      </c>
      <c r="X82">
        <v>118.6</v>
      </c>
      <c r="Y82">
        <v>118.3</v>
      </c>
      <c r="Z82">
        <v>119.2</v>
      </c>
      <c r="AA82">
        <v>116.7</v>
      </c>
      <c r="AB82">
        <v>109.9</v>
      </c>
      <c r="AC82">
        <v>115.4</v>
      </c>
      <c r="AD82">
        <v>120.1</v>
      </c>
      <c r="AE82">
        <v>111</v>
      </c>
      <c r="AF82">
        <v>114.7</v>
      </c>
      <c r="AG82">
        <v>120.2</v>
      </c>
      <c r="AH82">
        <f t="shared" si="10"/>
        <v>1569.1</v>
      </c>
      <c r="AI82">
        <f t="shared" si="11"/>
        <v>118.3</v>
      </c>
      <c r="AJ82">
        <f t="shared" si="12"/>
        <v>109.9</v>
      </c>
      <c r="AK82">
        <f t="shared" si="13"/>
        <v>120.1</v>
      </c>
      <c r="AL82">
        <f t="shared" si="14"/>
        <v>1189.8</v>
      </c>
      <c r="AM82" t="str">
        <f t="shared" si="15"/>
        <v>No</v>
      </c>
    </row>
    <row r="83" spans="1:39" x14ac:dyDescent="0.3">
      <c r="A83" t="s">
        <v>30</v>
      </c>
      <c r="B83" s="28">
        <f t="shared" si="8"/>
        <v>42095</v>
      </c>
      <c r="C83">
        <v>2015</v>
      </c>
      <c r="D83" t="s">
        <v>36</v>
      </c>
      <c r="E83" t="str">
        <f t="shared" si="9"/>
        <v>Apr-15</v>
      </c>
      <c r="F83">
        <f>VLOOKUP(D83,'Problem Statement 4'!$G$2:$H$13,2,0)</f>
        <v>4</v>
      </c>
      <c r="G83">
        <v>123.3</v>
      </c>
      <c r="H83">
        <v>125.5</v>
      </c>
      <c r="I83">
        <v>117.2</v>
      </c>
      <c r="J83">
        <v>126.8</v>
      </c>
      <c r="K83">
        <v>111.9</v>
      </c>
      <c r="L83">
        <v>134.19999999999999</v>
      </c>
      <c r="M83">
        <v>127.5</v>
      </c>
      <c r="N83">
        <v>121.5</v>
      </c>
      <c r="O83">
        <v>97.8</v>
      </c>
      <c r="P83">
        <v>119.8</v>
      </c>
      <c r="Q83">
        <v>119.4</v>
      </c>
      <c r="R83">
        <v>128.69999999999999</v>
      </c>
      <c r="S83">
        <v>123.6</v>
      </c>
      <c r="T83">
        <v>125.7</v>
      </c>
      <c r="U83">
        <v>126.4</v>
      </c>
      <c r="V83">
        <v>123.3</v>
      </c>
      <c r="W83">
        <v>126</v>
      </c>
      <c r="X83">
        <v>119.2</v>
      </c>
      <c r="Y83">
        <v>121.2</v>
      </c>
      <c r="Z83">
        <v>120.9</v>
      </c>
      <c r="AA83">
        <v>118.6</v>
      </c>
      <c r="AB83">
        <v>111.9</v>
      </c>
      <c r="AC83">
        <v>116.2</v>
      </c>
      <c r="AD83">
        <v>119.9</v>
      </c>
      <c r="AE83">
        <v>111.6</v>
      </c>
      <c r="AF83">
        <v>116</v>
      </c>
      <c r="AG83">
        <v>121.5</v>
      </c>
      <c r="AH83">
        <f t="shared" si="10"/>
        <v>1577.2</v>
      </c>
      <c r="AI83">
        <f t="shared" si="11"/>
        <v>121.2</v>
      </c>
      <c r="AJ83">
        <f t="shared" si="12"/>
        <v>111.9</v>
      </c>
      <c r="AK83">
        <f t="shared" si="13"/>
        <v>119.9</v>
      </c>
      <c r="AL83">
        <f t="shared" si="14"/>
        <v>1203.9000000000001</v>
      </c>
      <c r="AM83" t="str">
        <f t="shared" si="15"/>
        <v>No</v>
      </c>
    </row>
    <row r="84" spans="1:39" x14ac:dyDescent="0.3">
      <c r="A84" t="s">
        <v>32</v>
      </c>
      <c r="B84" s="28">
        <f t="shared" si="8"/>
        <v>42095</v>
      </c>
      <c r="C84">
        <v>2015</v>
      </c>
      <c r="D84" t="s">
        <v>36</v>
      </c>
      <c r="E84" t="str">
        <f t="shared" si="9"/>
        <v>Apr-15</v>
      </c>
      <c r="F84">
        <f>VLOOKUP(D84,'Problem Statement 4'!$G$2:$H$13,2,0)</f>
        <v>4</v>
      </c>
      <c r="G84">
        <v>123.8</v>
      </c>
      <c r="H84">
        <v>128.19999999999999</v>
      </c>
      <c r="I84">
        <v>110</v>
      </c>
      <c r="J84">
        <v>126.3</v>
      </c>
      <c r="K84">
        <v>104.5</v>
      </c>
      <c r="L84">
        <v>130.6</v>
      </c>
      <c r="M84">
        <v>130.80000000000001</v>
      </c>
      <c r="N84">
        <v>131.30000000000001</v>
      </c>
      <c r="O84">
        <v>91.6</v>
      </c>
      <c r="P84">
        <v>127.7</v>
      </c>
      <c r="Q84">
        <v>117.2</v>
      </c>
      <c r="R84">
        <v>129.5</v>
      </c>
      <c r="S84">
        <v>124.6</v>
      </c>
      <c r="T84">
        <v>130.1</v>
      </c>
      <c r="U84">
        <v>122.1</v>
      </c>
      <c r="V84">
        <v>117.2</v>
      </c>
      <c r="W84">
        <v>121.3</v>
      </c>
      <c r="X84">
        <v>119.2</v>
      </c>
      <c r="Y84">
        <v>114.7</v>
      </c>
      <c r="Z84">
        <v>118.4</v>
      </c>
      <c r="AA84">
        <v>114.6</v>
      </c>
      <c r="AB84">
        <v>108.4</v>
      </c>
      <c r="AC84">
        <v>115.6</v>
      </c>
      <c r="AD84">
        <v>121.7</v>
      </c>
      <c r="AE84">
        <v>111.8</v>
      </c>
      <c r="AF84">
        <v>114.2</v>
      </c>
      <c r="AG84">
        <v>119.7</v>
      </c>
      <c r="AH84">
        <f t="shared" si="10"/>
        <v>1576.1</v>
      </c>
      <c r="AI84">
        <f t="shared" si="11"/>
        <v>114.7</v>
      </c>
      <c r="AJ84">
        <f t="shared" si="12"/>
        <v>108.4</v>
      </c>
      <c r="AK84">
        <f t="shared" si="13"/>
        <v>121.7</v>
      </c>
      <c r="AL84">
        <f t="shared" si="14"/>
        <v>1184.5</v>
      </c>
      <c r="AM84" t="str">
        <f t="shared" si="15"/>
        <v>No</v>
      </c>
    </row>
    <row r="85" spans="1:39" x14ac:dyDescent="0.3">
      <c r="A85" t="s">
        <v>33</v>
      </c>
      <c r="B85" s="28">
        <f t="shared" si="8"/>
        <v>42095</v>
      </c>
      <c r="C85">
        <v>2015</v>
      </c>
      <c r="D85" t="s">
        <v>36</v>
      </c>
      <c r="E85" t="str">
        <f t="shared" si="9"/>
        <v>Apr-15</v>
      </c>
      <c r="F85">
        <f>VLOOKUP(D85,'Problem Statement 4'!$G$2:$H$13,2,0)</f>
        <v>4</v>
      </c>
      <c r="G85">
        <v>123.5</v>
      </c>
      <c r="H85">
        <v>126.4</v>
      </c>
      <c r="I85">
        <v>114.4</v>
      </c>
      <c r="J85">
        <v>126.6</v>
      </c>
      <c r="K85">
        <v>109.2</v>
      </c>
      <c r="L85">
        <v>132.5</v>
      </c>
      <c r="M85">
        <v>128.6</v>
      </c>
      <c r="N85">
        <v>124.8</v>
      </c>
      <c r="O85">
        <v>95.7</v>
      </c>
      <c r="P85">
        <v>122.4</v>
      </c>
      <c r="Q85">
        <v>118.5</v>
      </c>
      <c r="R85">
        <v>129.1</v>
      </c>
      <c r="S85">
        <v>124</v>
      </c>
      <c r="T85">
        <v>126.9</v>
      </c>
      <c r="U85">
        <v>124.7</v>
      </c>
      <c r="V85">
        <v>120.8</v>
      </c>
      <c r="W85">
        <v>124.1</v>
      </c>
      <c r="X85">
        <v>119.2</v>
      </c>
      <c r="Y85">
        <v>118.7</v>
      </c>
      <c r="Z85">
        <v>119.7</v>
      </c>
      <c r="AA85">
        <v>117.1</v>
      </c>
      <c r="AB85">
        <v>110.1</v>
      </c>
      <c r="AC85">
        <v>115.9</v>
      </c>
      <c r="AD85">
        <v>121</v>
      </c>
      <c r="AE85">
        <v>111.7</v>
      </c>
      <c r="AF85">
        <v>115.1</v>
      </c>
      <c r="AG85">
        <v>120.7</v>
      </c>
      <c r="AH85">
        <f t="shared" si="10"/>
        <v>1575.7</v>
      </c>
      <c r="AI85">
        <f t="shared" si="11"/>
        <v>118.7</v>
      </c>
      <c r="AJ85">
        <f t="shared" si="12"/>
        <v>110.1</v>
      </c>
      <c r="AK85">
        <f t="shared" si="13"/>
        <v>121</v>
      </c>
      <c r="AL85">
        <f t="shared" si="14"/>
        <v>1195.2</v>
      </c>
      <c r="AM85" t="str">
        <f t="shared" si="15"/>
        <v>No</v>
      </c>
    </row>
    <row r="86" spans="1:39" x14ac:dyDescent="0.3">
      <c r="A86" t="s">
        <v>30</v>
      </c>
      <c r="B86" s="28">
        <f t="shared" si="8"/>
        <v>42125</v>
      </c>
      <c r="C86">
        <v>2015</v>
      </c>
      <c r="D86" t="s">
        <v>37</v>
      </c>
      <c r="E86" t="str">
        <f t="shared" si="9"/>
        <v>May-15</v>
      </c>
      <c r="F86">
        <f>VLOOKUP(D86,'Problem Statement 4'!$G$2:$H$13,2,0)</f>
        <v>5</v>
      </c>
      <c r="G86">
        <v>123.5</v>
      </c>
      <c r="H86">
        <v>127.1</v>
      </c>
      <c r="I86">
        <v>117.3</v>
      </c>
      <c r="J86">
        <v>127.7</v>
      </c>
      <c r="K86">
        <v>112.5</v>
      </c>
      <c r="L86">
        <v>134.1</v>
      </c>
      <c r="M86">
        <v>128.5</v>
      </c>
      <c r="N86">
        <v>124.3</v>
      </c>
      <c r="O86">
        <v>97.6</v>
      </c>
      <c r="P86">
        <v>120.7</v>
      </c>
      <c r="Q86">
        <v>120.2</v>
      </c>
      <c r="R86">
        <v>129.80000000000001</v>
      </c>
      <c r="S86">
        <v>124.4</v>
      </c>
      <c r="T86">
        <v>126.7</v>
      </c>
      <c r="U86">
        <v>127.3</v>
      </c>
      <c r="V86">
        <v>124.1</v>
      </c>
      <c r="W86">
        <v>126.8</v>
      </c>
      <c r="X86">
        <v>119.6</v>
      </c>
      <c r="Y86">
        <v>121.9</v>
      </c>
      <c r="Z86">
        <v>121.5</v>
      </c>
      <c r="AA86">
        <v>119.4</v>
      </c>
      <c r="AB86">
        <v>113.3</v>
      </c>
      <c r="AC86">
        <v>116.7</v>
      </c>
      <c r="AD86">
        <v>120.5</v>
      </c>
      <c r="AE86">
        <v>112.3</v>
      </c>
      <c r="AF86">
        <v>116.9</v>
      </c>
      <c r="AG86">
        <v>122.4</v>
      </c>
      <c r="AH86">
        <f t="shared" si="10"/>
        <v>1587.7</v>
      </c>
      <c r="AI86">
        <f t="shared" si="11"/>
        <v>121.9</v>
      </c>
      <c r="AJ86">
        <f t="shared" si="12"/>
        <v>113.3</v>
      </c>
      <c r="AK86">
        <f t="shared" si="13"/>
        <v>120.5</v>
      </c>
      <c r="AL86">
        <f t="shared" si="14"/>
        <v>1211.3000000000002</v>
      </c>
      <c r="AM86" t="str">
        <f t="shared" si="15"/>
        <v>No</v>
      </c>
    </row>
    <row r="87" spans="1:39" x14ac:dyDescent="0.3">
      <c r="A87" t="s">
        <v>32</v>
      </c>
      <c r="B87" s="28">
        <f t="shared" si="8"/>
        <v>42125</v>
      </c>
      <c r="C87">
        <v>2015</v>
      </c>
      <c r="D87" t="s">
        <v>37</v>
      </c>
      <c r="E87" t="str">
        <f t="shared" si="9"/>
        <v>May-15</v>
      </c>
      <c r="F87">
        <f>VLOOKUP(D87,'Problem Statement 4'!$G$2:$H$13,2,0)</f>
        <v>5</v>
      </c>
      <c r="G87">
        <v>123.8</v>
      </c>
      <c r="H87">
        <v>129.69999999999999</v>
      </c>
      <c r="I87">
        <v>111.3</v>
      </c>
      <c r="J87">
        <v>126.6</v>
      </c>
      <c r="K87">
        <v>105.2</v>
      </c>
      <c r="L87">
        <v>130.80000000000001</v>
      </c>
      <c r="M87">
        <v>135.6</v>
      </c>
      <c r="N87">
        <v>142.6</v>
      </c>
      <c r="O87">
        <v>90.8</v>
      </c>
      <c r="P87">
        <v>128.80000000000001</v>
      </c>
      <c r="Q87">
        <v>117.7</v>
      </c>
      <c r="R87">
        <v>129.9</v>
      </c>
      <c r="S87">
        <v>126.1</v>
      </c>
      <c r="T87">
        <v>131.30000000000001</v>
      </c>
      <c r="U87">
        <v>122.4</v>
      </c>
      <c r="V87">
        <v>117.4</v>
      </c>
      <c r="W87">
        <v>121.6</v>
      </c>
      <c r="X87">
        <v>119.6</v>
      </c>
      <c r="Y87">
        <v>114.9</v>
      </c>
      <c r="Z87">
        <v>118.7</v>
      </c>
      <c r="AA87">
        <v>114.9</v>
      </c>
      <c r="AB87">
        <v>110.8</v>
      </c>
      <c r="AC87">
        <v>116</v>
      </c>
      <c r="AD87">
        <v>122</v>
      </c>
      <c r="AE87">
        <v>112.4</v>
      </c>
      <c r="AF87">
        <v>115.2</v>
      </c>
      <c r="AG87">
        <v>120.7</v>
      </c>
      <c r="AH87">
        <f t="shared" si="10"/>
        <v>1598.9</v>
      </c>
      <c r="AI87">
        <f t="shared" si="11"/>
        <v>114.9</v>
      </c>
      <c r="AJ87">
        <f t="shared" si="12"/>
        <v>110.8</v>
      </c>
      <c r="AK87">
        <f t="shared" si="13"/>
        <v>122</v>
      </c>
      <c r="AL87">
        <f t="shared" si="14"/>
        <v>1189.5000000000002</v>
      </c>
      <c r="AM87" t="str">
        <f t="shared" si="15"/>
        <v>No</v>
      </c>
    </row>
    <row r="88" spans="1:39" x14ac:dyDescent="0.3">
      <c r="A88" t="s">
        <v>33</v>
      </c>
      <c r="B88" s="28">
        <f t="shared" si="8"/>
        <v>42125</v>
      </c>
      <c r="C88">
        <v>2015</v>
      </c>
      <c r="D88" t="s">
        <v>37</v>
      </c>
      <c r="E88" t="str">
        <f t="shared" si="9"/>
        <v>May-15</v>
      </c>
      <c r="F88">
        <f>VLOOKUP(D88,'Problem Statement 4'!$G$2:$H$13,2,0)</f>
        <v>5</v>
      </c>
      <c r="G88">
        <v>123.6</v>
      </c>
      <c r="H88">
        <v>128</v>
      </c>
      <c r="I88">
        <v>115</v>
      </c>
      <c r="J88">
        <v>127.3</v>
      </c>
      <c r="K88">
        <v>109.8</v>
      </c>
      <c r="L88">
        <v>132.6</v>
      </c>
      <c r="M88">
        <v>130.9</v>
      </c>
      <c r="N88">
        <v>130.5</v>
      </c>
      <c r="O88">
        <v>95.3</v>
      </c>
      <c r="P88">
        <v>123.4</v>
      </c>
      <c r="Q88">
        <v>119.2</v>
      </c>
      <c r="R88">
        <v>129.80000000000001</v>
      </c>
      <c r="S88">
        <v>125</v>
      </c>
      <c r="T88">
        <v>127.9</v>
      </c>
      <c r="U88">
        <v>125.4</v>
      </c>
      <c r="V88">
        <v>121.3</v>
      </c>
      <c r="W88">
        <v>124.7</v>
      </c>
      <c r="X88">
        <v>119.6</v>
      </c>
      <c r="Y88">
        <v>119.2</v>
      </c>
      <c r="Z88">
        <v>120.2</v>
      </c>
      <c r="AA88">
        <v>117.7</v>
      </c>
      <c r="AB88">
        <v>112</v>
      </c>
      <c r="AC88">
        <v>116.3</v>
      </c>
      <c r="AD88">
        <v>121.4</v>
      </c>
      <c r="AE88">
        <v>112.3</v>
      </c>
      <c r="AF88">
        <v>116.1</v>
      </c>
      <c r="AG88">
        <v>121.6</v>
      </c>
      <c r="AH88">
        <f t="shared" si="10"/>
        <v>1590.4</v>
      </c>
      <c r="AI88">
        <f t="shared" si="11"/>
        <v>119.2</v>
      </c>
      <c r="AJ88">
        <f t="shared" si="12"/>
        <v>112</v>
      </c>
      <c r="AK88">
        <f t="shared" si="13"/>
        <v>121.4</v>
      </c>
      <c r="AL88">
        <f t="shared" si="14"/>
        <v>1201.5</v>
      </c>
      <c r="AM88" t="str">
        <f t="shared" si="15"/>
        <v>No</v>
      </c>
    </row>
    <row r="89" spans="1:39" x14ac:dyDescent="0.3">
      <c r="A89" t="s">
        <v>30</v>
      </c>
      <c r="B89" s="28">
        <f t="shared" si="8"/>
        <v>42156</v>
      </c>
      <c r="C89">
        <v>2015</v>
      </c>
      <c r="D89" t="s">
        <v>38</v>
      </c>
      <c r="E89" t="str">
        <f t="shared" si="9"/>
        <v>Jun-15</v>
      </c>
      <c r="F89">
        <f>VLOOKUP(D89,'Problem Statement 4'!$G$2:$H$13,2,0)</f>
        <v>6</v>
      </c>
      <c r="G89">
        <v>124.1</v>
      </c>
      <c r="H89">
        <v>130.4</v>
      </c>
      <c r="I89">
        <v>122.1</v>
      </c>
      <c r="J89">
        <v>128.69999999999999</v>
      </c>
      <c r="K89">
        <v>114.1</v>
      </c>
      <c r="L89">
        <v>133.19999999999999</v>
      </c>
      <c r="M89">
        <v>135.19999999999999</v>
      </c>
      <c r="N89">
        <v>131.9</v>
      </c>
      <c r="O89">
        <v>96.3</v>
      </c>
      <c r="P89">
        <v>123</v>
      </c>
      <c r="Q89">
        <v>121.1</v>
      </c>
      <c r="R89">
        <v>131.19999999999999</v>
      </c>
      <c r="S89">
        <v>126.6</v>
      </c>
      <c r="T89">
        <v>128.19999999999999</v>
      </c>
      <c r="U89">
        <v>128.4</v>
      </c>
      <c r="V89">
        <v>125.1</v>
      </c>
      <c r="W89">
        <v>128</v>
      </c>
      <c r="X89">
        <v>119</v>
      </c>
      <c r="Y89">
        <v>122.6</v>
      </c>
      <c r="Z89">
        <v>122.8</v>
      </c>
      <c r="AA89">
        <v>120.4</v>
      </c>
      <c r="AB89">
        <v>114.2</v>
      </c>
      <c r="AC89">
        <v>117.9</v>
      </c>
      <c r="AD89">
        <v>122</v>
      </c>
      <c r="AE89">
        <v>113</v>
      </c>
      <c r="AF89">
        <v>117.9</v>
      </c>
      <c r="AG89">
        <v>124.1</v>
      </c>
      <c r="AH89">
        <f t="shared" si="10"/>
        <v>1617.8999999999999</v>
      </c>
      <c r="AI89">
        <f t="shared" si="11"/>
        <v>122.6</v>
      </c>
      <c r="AJ89">
        <f t="shared" si="12"/>
        <v>114.2</v>
      </c>
      <c r="AK89">
        <f t="shared" si="13"/>
        <v>122</v>
      </c>
      <c r="AL89">
        <f t="shared" si="14"/>
        <v>1220.7</v>
      </c>
      <c r="AM89" t="str">
        <f t="shared" si="15"/>
        <v>No</v>
      </c>
    </row>
    <row r="90" spans="1:39" x14ac:dyDescent="0.3">
      <c r="A90" t="s">
        <v>32</v>
      </c>
      <c r="B90" s="28">
        <f t="shared" si="8"/>
        <v>42156</v>
      </c>
      <c r="C90">
        <v>2015</v>
      </c>
      <c r="D90" t="s">
        <v>38</v>
      </c>
      <c r="E90" t="str">
        <f t="shared" si="9"/>
        <v>Jun-15</v>
      </c>
      <c r="F90">
        <f>VLOOKUP(D90,'Problem Statement 4'!$G$2:$H$13,2,0)</f>
        <v>6</v>
      </c>
      <c r="G90">
        <v>123.6</v>
      </c>
      <c r="H90">
        <v>134.4</v>
      </c>
      <c r="I90">
        <v>120.9</v>
      </c>
      <c r="J90">
        <v>127.3</v>
      </c>
      <c r="K90">
        <v>106</v>
      </c>
      <c r="L90">
        <v>132.30000000000001</v>
      </c>
      <c r="M90">
        <v>146.69999999999999</v>
      </c>
      <c r="N90">
        <v>148.1</v>
      </c>
      <c r="O90">
        <v>89.8</v>
      </c>
      <c r="P90">
        <v>130.5</v>
      </c>
      <c r="Q90">
        <v>118</v>
      </c>
      <c r="R90">
        <v>130.5</v>
      </c>
      <c r="S90">
        <v>128.5</v>
      </c>
      <c r="T90">
        <v>132.1</v>
      </c>
      <c r="U90">
        <v>123.2</v>
      </c>
      <c r="V90">
        <v>117.6</v>
      </c>
      <c r="W90">
        <v>122.3</v>
      </c>
      <c r="X90">
        <v>119</v>
      </c>
      <c r="Y90">
        <v>115.1</v>
      </c>
      <c r="Z90">
        <v>119.2</v>
      </c>
      <c r="AA90">
        <v>115.4</v>
      </c>
      <c r="AB90">
        <v>111.7</v>
      </c>
      <c r="AC90">
        <v>116.2</v>
      </c>
      <c r="AD90">
        <v>123.8</v>
      </c>
      <c r="AE90">
        <v>112.5</v>
      </c>
      <c r="AF90">
        <v>116</v>
      </c>
      <c r="AG90">
        <v>121.7</v>
      </c>
      <c r="AH90">
        <f t="shared" si="10"/>
        <v>1636.6</v>
      </c>
      <c r="AI90">
        <f t="shared" si="11"/>
        <v>115.1</v>
      </c>
      <c r="AJ90">
        <f t="shared" si="12"/>
        <v>111.7</v>
      </c>
      <c r="AK90">
        <f t="shared" si="13"/>
        <v>123.8</v>
      </c>
      <c r="AL90">
        <f t="shared" si="14"/>
        <v>1193.5</v>
      </c>
      <c r="AM90" t="str">
        <f t="shared" si="15"/>
        <v>No</v>
      </c>
    </row>
    <row r="91" spans="1:39" x14ac:dyDescent="0.3">
      <c r="A91" t="s">
        <v>33</v>
      </c>
      <c r="B91" s="28">
        <f t="shared" si="8"/>
        <v>42156</v>
      </c>
      <c r="C91">
        <v>2015</v>
      </c>
      <c r="D91" t="s">
        <v>38</v>
      </c>
      <c r="E91" t="str">
        <f t="shared" si="9"/>
        <v>Jun-15</v>
      </c>
      <c r="F91">
        <f>VLOOKUP(D91,'Problem Statement 4'!$G$2:$H$13,2,0)</f>
        <v>6</v>
      </c>
      <c r="G91">
        <v>123.9</v>
      </c>
      <c r="H91">
        <v>131.80000000000001</v>
      </c>
      <c r="I91">
        <v>121.6</v>
      </c>
      <c r="J91">
        <v>128.19999999999999</v>
      </c>
      <c r="K91">
        <v>111.1</v>
      </c>
      <c r="L91">
        <v>132.80000000000001</v>
      </c>
      <c r="M91">
        <v>139.1</v>
      </c>
      <c r="N91">
        <v>137.4</v>
      </c>
      <c r="O91">
        <v>94.1</v>
      </c>
      <c r="P91">
        <v>125.5</v>
      </c>
      <c r="Q91">
        <v>119.8</v>
      </c>
      <c r="R91">
        <v>130.9</v>
      </c>
      <c r="S91">
        <v>127.3</v>
      </c>
      <c r="T91">
        <v>129.19999999999999</v>
      </c>
      <c r="U91">
        <v>126.4</v>
      </c>
      <c r="V91">
        <v>122</v>
      </c>
      <c r="W91">
        <v>125.7</v>
      </c>
      <c r="X91">
        <v>119</v>
      </c>
      <c r="Y91">
        <v>119.8</v>
      </c>
      <c r="Z91">
        <v>121.1</v>
      </c>
      <c r="AA91">
        <v>118.5</v>
      </c>
      <c r="AB91">
        <v>112.9</v>
      </c>
      <c r="AC91">
        <v>116.9</v>
      </c>
      <c r="AD91">
        <v>123.1</v>
      </c>
      <c r="AE91">
        <v>112.8</v>
      </c>
      <c r="AF91">
        <v>117</v>
      </c>
      <c r="AG91">
        <v>123</v>
      </c>
      <c r="AH91">
        <f t="shared" si="10"/>
        <v>1623.5</v>
      </c>
      <c r="AI91">
        <f t="shared" si="11"/>
        <v>119.8</v>
      </c>
      <c r="AJ91">
        <f t="shared" si="12"/>
        <v>112.9</v>
      </c>
      <c r="AK91">
        <f t="shared" si="13"/>
        <v>123.1</v>
      </c>
      <c r="AL91">
        <f t="shared" si="14"/>
        <v>1208.5999999999999</v>
      </c>
      <c r="AM91" t="str">
        <f t="shared" si="15"/>
        <v>No</v>
      </c>
    </row>
    <row r="92" spans="1:39" x14ac:dyDescent="0.3">
      <c r="A92" t="s">
        <v>30</v>
      </c>
      <c r="B92" s="28">
        <f t="shared" si="8"/>
        <v>42186</v>
      </c>
      <c r="C92">
        <v>2015</v>
      </c>
      <c r="D92" t="s">
        <v>39</v>
      </c>
      <c r="E92" t="str">
        <f t="shared" si="9"/>
        <v>Jul-15</v>
      </c>
      <c r="F92">
        <f>VLOOKUP(D92,'Problem Statement 4'!$G$2:$H$13,2,0)</f>
        <v>7</v>
      </c>
      <c r="G92">
        <v>124</v>
      </c>
      <c r="H92">
        <v>131.5</v>
      </c>
      <c r="I92">
        <v>122</v>
      </c>
      <c r="J92">
        <v>128.69999999999999</v>
      </c>
      <c r="K92">
        <v>113.5</v>
      </c>
      <c r="L92">
        <v>133.30000000000001</v>
      </c>
      <c r="M92">
        <v>140.80000000000001</v>
      </c>
      <c r="N92">
        <v>133.80000000000001</v>
      </c>
      <c r="O92">
        <v>94.1</v>
      </c>
      <c r="P92">
        <v>123.4</v>
      </c>
      <c r="Q92">
        <v>121</v>
      </c>
      <c r="R92">
        <v>131.69999999999999</v>
      </c>
      <c r="S92">
        <v>127.5</v>
      </c>
      <c r="T92">
        <v>129.4</v>
      </c>
      <c r="U92">
        <v>128.80000000000001</v>
      </c>
      <c r="V92">
        <v>125.5</v>
      </c>
      <c r="W92">
        <v>128.30000000000001</v>
      </c>
      <c r="X92">
        <v>119.9</v>
      </c>
      <c r="Y92">
        <v>123</v>
      </c>
      <c r="Z92">
        <v>123</v>
      </c>
      <c r="AA92">
        <v>120.8</v>
      </c>
      <c r="AB92">
        <v>114.1</v>
      </c>
      <c r="AC92">
        <v>118</v>
      </c>
      <c r="AD92">
        <v>122.9</v>
      </c>
      <c r="AE92">
        <v>112.7</v>
      </c>
      <c r="AF92">
        <v>118.1</v>
      </c>
      <c r="AG92">
        <v>124.7</v>
      </c>
      <c r="AH92">
        <f t="shared" si="10"/>
        <v>1625.3</v>
      </c>
      <c r="AI92">
        <f t="shared" si="11"/>
        <v>123</v>
      </c>
      <c r="AJ92">
        <f t="shared" si="12"/>
        <v>114.1</v>
      </c>
      <c r="AK92">
        <f t="shared" si="13"/>
        <v>122.9</v>
      </c>
      <c r="AL92">
        <f t="shared" si="14"/>
        <v>1224.4999999999998</v>
      </c>
      <c r="AM92" t="str">
        <f t="shared" si="15"/>
        <v>No</v>
      </c>
    </row>
    <row r="93" spans="1:39" x14ac:dyDescent="0.3">
      <c r="A93" t="s">
        <v>32</v>
      </c>
      <c r="B93" s="28">
        <f t="shared" si="8"/>
        <v>42186</v>
      </c>
      <c r="C93">
        <v>2015</v>
      </c>
      <c r="D93" t="s">
        <v>39</v>
      </c>
      <c r="E93" t="str">
        <f t="shared" si="9"/>
        <v>Jul-15</v>
      </c>
      <c r="F93">
        <f>VLOOKUP(D93,'Problem Statement 4'!$G$2:$H$13,2,0)</f>
        <v>7</v>
      </c>
      <c r="G93">
        <v>123.2</v>
      </c>
      <c r="H93">
        <v>134.30000000000001</v>
      </c>
      <c r="I93">
        <v>119.5</v>
      </c>
      <c r="J93">
        <v>127.7</v>
      </c>
      <c r="K93">
        <v>106.3</v>
      </c>
      <c r="L93">
        <v>132.80000000000001</v>
      </c>
      <c r="M93">
        <v>153.5</v>
      </c>
      <c r="N93">
        <v>149.5</v>
      </c>
      <c r="O93">
        <v>85.7</v>
      </c>
      <c r="P93">
        <v>131.5</v>
      </c>
      <c r="Q93">
        <v>118.3</v>
      </c>
      <c r="R93">
        <v>131.1</v>
      </c>
      <c r="S93">
        <v>129.5</v>
      </c>
      <c r="T93">
        <v>133.1</v>
      </c>
      <c r="U93">
        <v>123.5</v>
      </c>
      <c r="V93">
        <v>117.9</v>
      </c>
      <c r="W93">
        <v>122.7</v>
      </c>
      <c r="X93">
        <v>119.9</v>
      </c>
      <c r="Y93">
        <v>115.3</v>
      </c>
      <c r="Z93">
        <v>119.5</v>
      </c>
      <c r="AA93">
        <v>116</v>
      </c>
      <c r="AB93">
        <v>111.5</v>
      </c>
      <c r="AC93">
        <v>116.6</v>
      </c>
      <c r="AD93">
        <v>125.4</v>
      </c>
      <c r="AE93">
        <v>111.7</v>
      </c>
      <c r="AF93">
        <v>116.3</v>
      </c>
      <c r="AG93">
        <v>122.4</v>
      </c>
      <c r="AH93">
        <f t="shared" si="10"/>
        <v>1642.8999999999999</v>
      </c>
      <c r="AI93">
        <f t="shared" si="11"/>
        <v>115.3</v>
      </c>
      <c r="AJ93">
        <f t="shared" si="12"/>
        <v>111.5</v>
      </c>
      <c r="AK93">
        <f t="shared" si="13"/>
        <v>125.4</v>
      </c>
      <c r="AL93">
        <f t="shared" si="14"/>
        <v>1197.2</v>
      </c>
      <c r="AM93" t="str">
        <f t="shared" si="15"/>
        <v>No</v>
      </c>
    </row>
    <row r="94" spans="1:39" x14ac:dyDescent="0.3">
      <c r="A94" t="s">
        <v>33</v>
      </c>
      <c r="B94" s="28">
        <f t="shared" si="8"/>
        <v>42186</v>
      </c>
      <c r="C94">
        <v>2015</v>
      </c>
      <c r="D94" t="s">
        <v>39</v>
      </c>
      <c r="E94" t="str">
        <f t="shared" si="9"/>
        <v>Jul-15</v>
      </c>
      <c r="F94">
        <f>VLOOKUP(D94,'Problem Statement 4'!$G$2:$H$13,2,0)</f>
        <v>7</v>
      </c>
      <c r="G94">
        <v>123.7</v>
      </c>
      <c r="H94">
        <v>132.5</v>
      </c>
      <c r="I94">
        <v>121</v>
      </c>
      <c r="J94">
        <v>128.30000000000001</v>
      </c>
      <c r="K94">
        <v>110.9</v>
      </c>
      <c r="L94">
        <v>133.1</v>
      </c>
      <c r="M94">
        <v>145.1</v>
      </c>
      <c r="N94">
        <v>139.1</v>
      </c>
      <c r="O94">
        <v>91.3</v>
      </c>
      <c r="P94">
        <v>126.1</v>
      </c>
      <c r="Q94">
        <v>119.9</v>
      </c>
      <c r="R94">
        <v>131.4</v>
      </c>
      <c r="S94">
        <v>128.19999999999999</v>
      </c>
      <c r="T94">
        <v>130.4</v>
      </c>
      <c r="U94">
        <v>126.7</v>
      </c>
      <c r="V94">
        <v>122.3</v>
      </c>
      <c r="W94">
        <v>126.1</v>
      </c>
      <c r="X94">
        <v>119.9</v>
      </c>
      <c r="Y94">
        <v>120.1</v>
      </c>
      <c r="Z94">
        <v>121.3</v>
      </c>
      <c r="AA94">
        <v>119</v>
      </c>
      <c r="AB94">
        <v>112.7</v>
      </c>
      <c r="AC94">
        <v>117.2</v>
      </c>
      <c r="AD94">
        <v>124.4</v>
      </c>
      <c r="AE94">
        <v>112.3</v>
      </c>
      <c r="AF94">
        <v>117.2</v>
      </c>
      <c r="AG94">
        <v>123.6</v>
      </c>
      <c r="AH94">
        <f t="shared" si="10"/>
        <v>1630.6000000000001</v>
      </c>
      <c r="AI94">
        <f t="shared" si="11"/>
        <v>120.1</v>
      </c>
      <c r="AJ94">
        <f t="shared" si="12"/>
        <v>112.7</v>
      </c>
      <c r="AK94">
        <f t="shared" si="13"/>
        <v>124.4</v>
      </c>
      <c r="AL94">
        <f t="shared" si="14"/>
        <v>1212.4000000000001</v>
      </c>
      <c r="AM94" t="str">
        <f t="shared" si="15"/>
        <v>No</v>
      </c>
    </row>
    <row r="95" spans="1:39" x14ac:dyDescent="0.3">
      <c r="A95" t="s">
        <v>30</v>
      </c>
      <c r="B95" s="28">
        <f t="shared" si="8"/>
        <v>42217</v>
      </c>
      <c r="C95">
        <v>2015</v>
      </c>
      <c r="D95" t="s">
        <v>40</v>
      </c>
      <c r="E95" t="str">
        <f t="shared" si="9"/>
        <v>Aug-15</v>
      </c>
      <c r="F95">
        <f>VLOOKUP(D95,'Problem Statement 4'!$G$2:$H$13,2,0)</f>
        <v>8</v>
      </c>
      <c r="G95">
        <v>124.7</v>
      </c>
      <c r="H95">
        <v>131.30000000000001</v>
      </c>
      <c r="I95">
        <v>121.3</v>
      </c>
      <c r="J95">
        <v>128.80000000000001</v>
      </c>
      <c r="K95">
        <v>114</v>
      </c>
      <c r="L95">
        <v>134.19999999999999</v>
      </c>
      <c r="M95">
        <v>153.6</v>
      </c>
      <c r="N95">
        <v>137.9</v>
      </c>
      <c r="O95">
        <v>93.1</v>
      </c>
      <c r="P95">
        <v>123.9</v>
      </c>
      <c r="Q95">
        <v>121.5</v>
      </c>
      <c r="R95">
        <v>132.5</v>
      </c>
      <c r="S95">
        <v>129.80000000000001</v>
      </c>
      <c r="T95">
        <v>130.1</v>
      </c>
      <c r="U95">
        <v>129.5</v>
      </c>
      <c r="V95">
        <v>126.3</v>
      </c>
      <c r="W95">
        <v>129</v>
      </c>
      <c r="X95">
        <v>120.9</v>
      </c>
      <c r="Y95">
        <v>123.8</v>
      </c>
      <c r="Z95">
        <v>123.7</v>
      </c>
      <c r="AA95">
        <v>121.1</v>
      </c>
      <c r="AB95">
        <v>113.6</v>
      </c>
      <c r="AC95">
        <v>118.5</v>
      </c>
      <c r="AD95">
        <v>123.6</v>
      </c>
      <c r="AE95">
        <v>112.5</v>
      </c>
      <c r="AF95">
        <v>118.2</v>
      </c>
      <c r="AG95">
        <v>126.1</v>
      </c>
      <c r="AH95">
        <f t="shared" si="10"/>
        <v>1646.6</v>
      </c>
      <c r="AI95">
        <f t="shared" si="11"/>
        <v>123.8</v>
      </c>
      <c r="AJ95">
        <f t="shared" si="12"/>
        <v>113.6</v>
      </c>
      <c r="AK95">
        <f t="shared" si="13"/>
        <v>123.6</v>
      </c>
      <c r="AL95">
        <f t="shared" si="14"/>
        <v>1229.8000000000002</v>
      </c>
      <c r="AM95" t="str">
        <f t="shared" si="15"/>
        <v>No</v>
      </c>
    </row>
    <row r="96" spans="1:39" x14ac:dyDescent="0.3">
      <c r="A96" t="s">
        <v>32</v>
      </c>
      <c r="B96" s="28">
        <f t="shared" si="8"/>
        <v>42217</v>
      </c>
      <c r="C96">
        <v>2015</v>
      </c>
      <c r="D96" t="s">
        <v>40</v>
      </c>
      <c r="E96" t="str">
        <f t="shared" si="9"/>
        <v>Aug-15</v>
      </c>
      <c r="F96">
        <f>VLOOKUP(D96,'Problem Statement 4'!$G$2:$H$13,2,0)</f>
        <v>8</v>
      </c>
      <c r="G96">
        <v>123.1</v>
      </c>
      <c r="H96">
        <v>131.69999999999999</v>
      </c>
      <c r="I96">
        <v>118.1</v>
      </c>
      <c r="J96">
        <v>128</v>
      </c>
      <c r="K96">
        <v>106.8</v>
      </c>
      <c r="L96">
        <v>130.1</v>
      </c>
      <c r="M96">
        <v>165.5</v>
      </c>
      <c r="N96">
        <v>156</v>
      </c>
      <c r="O96">
        <v>85.3</v>
      </c>
      <c r="P96">
        <v>132.69999999999999</v>
      </c>
      <c r="Q96">
        <v>118.8</v>
      </c>
      <c r="R96">
        <v>131.69999999999999</v>
      </c>
      <c r="S96">
        <v>131.1</v>
      </c>
      <c r="T96">
        <v>134.19999999999999</v>
      </c>
      <c r="U96">
        <v>123.7</v>
      </c>
      <c r="V96">
        <v>118.2</v>
      </c>
      <c r="W96">
        <v>122.9</v>
      </c>
      <c r="X96">
        <v>120.9</v>
      </c>
      <c r="Y96">
        <v>115.3</v>
      </c>
      <c r="Z96">
        <v>120</v>
      </c>
      <c r="AA96">
        <v>116.6</v>
      </c>
      <c r="AB96">
        <v>109.9</v>
      </c>
      <c r="AC96">
        <v>117.2</v>
      </c>
      <c r="AD96">
        <v>126.2</v>
      </c>
      <c r="AE96">
        <v>112</v>
      </c>
      <c r="AF96">
        <v>116.2</v>
      </c>
      <c r="AG96">
        <v>123.2</v>
      </c>
      <c r="AH96">
        <f t="shared" si="10"/>
        <v>1658.8999999999999</v>
      </c>
      <c r="AI96">
        <f t="shared" si="11"/>
        <v>115.3</v>
      </c>
      <c r="AJ96">
        <f t="shared" si="12"/>
        <v>109.9</v>
      </c>
      <c r="AK96">
        <f t="shared" si="13"/>
        <v>126.2</v>
      </c>
      <c r="AL96">
        <f t="shared" si="14"/>
        <v>1201.9000000000001</v>
      </c>
      <c r="AM96" t="str">
        <f t="shared" si="15"/>
        <v>No</v>
      </c>
    </row>
    <row r="97" spans="1:39" x14ac:dyDescent="0.3">
      <c r="A97" t="s">
        <v>33</v>
      </c>
      <c r="B97" s="28">
        <f t="shared" si="8"/>
        <v>42217</v>
      </c>
      <c r="C97">
        <v>2015</v>
      </c>
      <c r="D97" t="s">
        <v>40</v>
      </c>
      <c r="E97" t="str">
        <f t="shared" si="9"/>
        <v>Aug-15</v>
      </c>
      <c r="F97">
        <f>VLOOKUP(D97,'Problem Statement 4'!$G$2:$H$13,2,0)</f>
        <v>8</v>
      </c>
      <c r="G97">
        <v>124.2</v>
      </c>
      <c r="H97">
        <v>131.4</v>
      </c>
      <c r="I97">
        <v>120.1</v>
      </c>
      <c r="J97">
        <v>128.5</v>
      </c>
      <c r="K97">
        <v>111.4</v>
      </c>
      <c r="L97">
        <v>132.30000000000001</v>
      </c>
      <c r="M97">
        <v>157.6</v>
      </c>
      <c r="N97">
        <v>144</v>
      </c>
      <c r="O97">
        <v>90.5</v>
      </c>
      <c r="P97">
        <v>126.8</v>
      </c>
      <c r="Q97">
        <v>120.4</v>
      </c>
      <c r="R97">
        <v>132.1</v>
      </c>
      <c r="S97">
        <v>130.30000000000001</v>
      </c>
      <c r="T97">
        <v>131.19999999999999</v>
      </c>
      <c r="U97">
        <v>127.2</v>
      </c>
      <c r="V97">
        <v>122.9</v>
      </c>
      <c r="W97">
        <v>126.6</v>
      </c>
      <c r="X97">
        <v>120.9</v>
      </c>
      <c r="Y97">
        <v>120.6</v>
      </c>
      <c r="Z97">
        <v>122</v>
      </c>
      <c r="AA97">
        <v>119.4</v>
      </c>
      <c r="AB97">
        <v>111.7</v>
      </c>
      <c r="AC97">
        <v>117.8</v>
      </c>
      <c r="AD97">
        <v>125.1</v>
      </c>
      <c r="AE97">
        <v>112.3</v>
      </c>
      <c r="AF97">
        <v>117.2</v>
      </c>
      <c r="AG97">
        <v>124.8</v>
      </c>
      <c r="AH97">
        <f t="shared" si="10"/>
        <v>1649.6</v>
      </c>
      <c r="AI97">
        <f t="shared" si="11"/>
        <v>120.6</v>
      </c>
      <c r="AJ97">
        <f t="shared" si="12"/>
        <v>111.7</v>
      </c>
      <c r="AK97">
        <f t="shared" si="13"/>
        <v>125.1</v>
      </c>
      <c r="AL97">
        <f t="shared" si="14"/>
        <v>1217.5</v>
      </c>
      <c r="AM97" t="str">
        <f t="shared" si="15"/>
        <v>No</v>
      </c>
    </row>
    <row r="98" spans="1:39" x14ac:dyDescent="0.3">
      <c r="A98" t="s">
        <v>30</v>
      </c>
      <c r="B98" s="28">
        <f t="shared" si="8"/>
        <v>42248</v>
      </c>
      <c r="C98">
        <v>2015</v>
      </c>
      <c r="D98" t="s">
        <v>41</v>
      </c>
      <c r="E98" t="str">
        <f t="shared" si="9"/>
        <v>Sep-15</v>
      </c>
      <c r="F98">
        <f>VLOOKUP(D98,'Problem Statement 4'!$G$2:$H$13,2,0)</f>
        <v>9</v>
      </c>
      <c r="G98">
        <v>125.1</v>
      </c>
      <c r="H98">
        <v>131.1</v>
      </c>
      <c r="I98">
        <v>120.7</v>
      </c>
      <c r="J98">
        <v>129.19999999999999</v>
      </c>
      <c r="K98">
        <v>114.7</v>
      </c>
      <c r="L98">
        <v>132.30000000000001</v>
      </c>
      <c r="M98">
        <v>158.9</v>
      </c>
      <c r="N98">
        <v>142.1</v>
      </c>
      <c r="O98">
        <v>92.5</v>
      </c>
      <c r="P98">
        <v>125.4</v>
      </c>
      <c r="Q98">
        <v>121.9</v>
      </c>
      <c r="R98">
        <v>132.69999999999999</v>
      </c>
      <c r="S98">
        <v>131</v>
      </c>
      <c r="T98">
        <v>131</v>
      </c>
      <c r="U98">
        <v>130.4</v>
      </c>
      <c r="V98">
        <v>126.8</v>
      </c>
      <c r="W98">
        <v>129.9</v>
      </c>
      <c r="X98">
        <v>121.6</v>
      </c>
      <c r="Y98">
        <v>123.7</v>
      </c>
      <c r="Z98">
        <v>124.5</v>
      </c>
      <c r="AA98">
        <v>121.4</v>
      </c>
      <c r="AB98">
        <v>113.8</v>
      </c>
      <c r="AC98">
        <v>119.6</v>
      </c>
      <c r="AD98">
        <v>124.5</v>
      </c>
      <c r="AE98">
        <v>113.7</v>
      </c>
      <c r="AF98">
        <v>118.8</v>
      </c>
      <c r="AG98">
        <v>127</v>
      </c>
      <c r="AH98">
        <f t="shared" si="10"/>
        <v>1657.6000000000001</v>
      </c>
      <c r="AI98">
        <f t="shared" si="11"/>
        <v>123.7</v>
      </c>
      <c r="AJ98">
        <f t="shared" si="12"/>
        <v>113.8</v>
      </c>
      <c r="AK98">
        <f t="shared" si="13"/>
        <v>124.5</v>
      </c>
      <c r="AL98">
        <f t="shared" si="14"/>
        <v>1237.7</v>
      </c>
      <c r="AM98" t="str">
        <f t="shared" si="15"/>
        <v>No</v>
      </c>
    </row>
    <row r="99" spans="1:39" x14ac:dyDescent="0.3">
      <c r="A99" t="s">
        <v>32</v>
      </c>
      <c r="B99" s="28">
        <f t="shared" si="8"/>
        <v>42248</v>
      </c>
      <c r="C99">
        <v>2015</v>
      </c>
      <c r="D99" t="s">
        <v>41</v>
      </c>
      <c r="E99" t="str">
        <f t="shared" si="9"/>
        <v>Sep-15</v>
      </c>
      <c r="F99">
        <f>VLOOKUP(D99,'Problem Statement 4'!$G$2:$H$13,2,0)</f>
        <v>9</v>
      </c>
      <c r="G99">
        <v>123.4</v>
      </c>
      <c r="H99">
        <v>129</v>
      </c>
      <c r="I99">
        <v>115.6</v>
      </c>
      <c r="J99">
        <v>128.30000000000001</v>
      </c>
      <c r="K99">
        <v>107</v>
      </c>
      <c r="L99">
        <v>124</v>
      </c>
      <c r="M99">
        <v>168.5</v>
      </c>
      <c r="N99">
        <v>165.4</v>
      </c>
      <c r="O99">
        <v>86.3</v>
      </c>
      <c r="P99">
        <v>134.4</v>
      </c>
      <c r="Q99">
        <v>119.1</v>
      </c>
      <c r="R99">
        <v>132.30000000000001</v>
      </c>
      <c r="S99">
        <v>131.5</v>
      </c>
      <c r="T99">
        <v>134.69999999999999</v>
      </c>
      <c r="U99">
        <v>124</v>
      </c>
      <c r="V99">
        <v>118.6</v>
      </c>
      <c r="W99">
        <v>123.2</v>
      </c>
      <c r="X99">
        <v>121.6</v>
      </c>
      <c r="Y99">
        <v>115.1</v>
      </c>
      <c r="Z99">
        <v>120.4</v>
      </c>
      <c r="AA99">
        <v>117.1</v>
      </c>
      <c r="AB99">
        <v>109.1</v>
      </c>
      <c r="AC99">
        <v>117.3</v>
      </c>
      <c r="AD99">
        <v>126.5</v>
      </c>
      <c r="AE99">
        <v>112.9</v>
      </c>
      <c r="AF99">
        <v>116.2</v>
      </c>
      <c r="AG99">
        <v>123.5</v>
      </c>
      <c r="AH99">
        <f t="shared" si="10"/>
        <v>1664.8</v>
      </c>
      <c r="AI99">
        <f t="shared" si="11"/>
        <v>115.1</v>
      </c>
      <c r="AJ99">
        <f t="shared" si="12"/>
        <v>109.1</v>
      </c>
      <c r="AK99">
        <f t="shared" si="13"/>
        <v>126.5</v>
      </c>
      <c r="AL99">
        <f t="shared" si="14"/>
        <v>1206</v>
      </c>
      <c r="AM99" t="str">
        <f t="shared" si="15"/>
        <v>No</v>
      </c>
    </row>
    <row r="100" spans="1:39" x14ac:dyDescent="0.3">
      <c r="A100" t="s">
        <v>33</v>
      </c>
      <c r="B100" s="28">
        <f t="shared" si="8"/>
        <v>42248</v>
      </c>
      <c r="C100">
        <v>2015</v>
      </c>
      <c r="D100" t="s">
        <v>41</v>
      </c>
      <c r="E100" t="str">
        <f t="shared" si="9"/>
        <v>Sep-15</v>
      </c>
      <c r="F100">
        <f>VLOOKUP(D100,'Problem Statement 4'!$G$2:$H$13,2,0)</f>
        <v>9</v>
      </c>
      <c r="G100">
        <v>124.6</v>
      </c>
      <c r="H100">
        <v>130.4</v>
      </c>
      <c r="I100">
        <v>118.7</v>
      </c>
      <c r="J100">
        <v>128.9</v>
      </c>
      <c r="K100">
        <v>111.9</v>
      </c>
      <c r="L100">
        <v>128.4</v>
      </c>
      <c r="M100">
        <v>162.19999999999999</v>
      </c>
      <c r="N100">
        <v>150</v>
      </c>
      <c r="O100">
        <v>90.4</v>
      </c>
      <c r="P100">
        <v>128.4</v>
      </c>
      <c r="Q100">
        <v>120.7</v>
      </c>
      <c r="R100">
        <v>132.5</v>
      </c>
      <c r="S100">
        <v>131.19999999999999</v>
      </c>
      <c r="T100">
        <v>132</v>
      </c>
      <c r="U100">
        <v>127.9</v>
      </c>
      <c r="V100">
        <v>123.4</v>
      </c>
      <c r="W100">
        <v>127.2</v>
      </c>
      <c r="X100">
        <v>121.6</v>
      </c>
      <c r="Y100">
        <v>120.4</v>
      </c>
      <c r="Z100">
        <v>122.6</v>
      </c>
      <c r="AA100">
        <v>119.8</v>
      </c>
      <c r="AB100">
        <v>111.3</v>
      </c>
      <c r="AC100">
        <v>118.3</v>
      </c>
      <c r="AD100">
        <v>125.7</v>
      </c>
      <c r="AE100">
        <v>113.4</v>
      </c>
      <c r="AF100">
        <v>117.5</v>
      </c>
      <c r="AG100">
        <v>125.4</v>
      </c>
      <c r="AH100">
        <f t="shared" si="10"/>
        <v>1658.3000000000002</v>
      </c>
      <c r="AI100">
        <f t="shared" si="11"/>
        <v>120.4</v>
      </c>
      <c r="AJ100">
        <f t="shared" si="12"/>
        <v>111.3</v>
      </c>
      <c r="AK100">
        <f t="shared" si="13"/>
        <v>125.7</v>
      </c>
      <c r="AL100">
        <f t="shared" si="14"/>
        <v>1223.6999999999998</v>
      </c>
      <c r="AM100" t="str">
        <f t="shared" si="15"/>
        <v>No</v>
      </c>
    </row>
    <row r="101" spans="1:39" x14ac:dyDescent="0.3">
      <c r="A101" t="s">
        <v>30</v>
      </c>
      <c r="B101" s="28">
        <f t="shared" si="8"/>
        <v>42278</v>
      </c>
      <c r="C101">
        <v>2015</v>
      </c>
      <c r="D101" t="s">
        <v>42</v>
      </c>
      <c r="E101" t="str">
        <f t="shared" si="9"/>
        <v>Oct-15</v>
      </c>
      <c r="F101">
        <f>VLOOKUP(D101,'Problem Statement 4'!$G$2:$H$13,2,0)</f>
        <v>10</v>
      </c>
      <c r="G101">
        <v>125.6</v>
      </c>
      <c r="H101">
        <v>130.4</v>
      </c>
      <c r="I101">
        <v>120.8</v>
      </c>
      <c r="J101">
        <v>129.4</v>
      </c>
      <c r="K101">
        <v>115.8</v>
      </c>
      <c r="L101">
        <v>133.19999999999999</v>
      </c>
      <c r="M101">
        <v>157.69999999999999</v>
      </c>
      <c r="N101">
        <v>154.19999999999999</v>
      </c>
      <c r="O101">
        <v>93.7</v>
      </c>
      <c r="P101">
        <v>126.6</v>
      </c>
      <c r="Q101">
        <v>122.3</v>
      </c>
      <c r="R101">
        <v>133.1</v>
      </c>
      <c r="S101">
        <v>131.80000000000001</v>
      </c>
      <c r="T101">
        <v>131.5</v>
      </c>
      <c r="U101">
        <v>131.1</v>
      </c>
      <c r="V101">
        <v>127.3</v>
      </c>
      <c r="W101">
        <v>130.6</v>
      </c>
      <c r="X101">
        <v>122.4</v>
      </c>
      <c r="Y101">
        <v>124.4</v>
      </c>
      <c r="Z101">
        <v>125.1</v>
      </c>
      <c r="AA101">
        <v>122</v>
      </c>
      <c r="AB101">
        <v>113.8</v>
      </c>
      <c r="AC101">
        <v>120.1</v>
      </c>
      <c r="AD101">
        <v>125.1</v>
      </c>
      <c r="AE101">
        <v>114.2</v>
      </c>
      <c r="AF101">
        <v>119.2</v>
      </c>
      <c r="AG101">
        <v>127.7</v>
      </c>
      <c r="AH101">
        <f t="shared" si="10"/>
        <v>1674.6</v>
      </c>
      <c r="AI101">
        <f t="shared" si="11"/>
        <v>124.4</v>
      </c>
      <c r="AJ101">
        <f t="shared" si="12"/>
        <v>113.8</v>
      </c>
      <c r="AK101">
        <f t="shared" si="13"/>
        <v>125.1</v>
      </c>
      <c r="AL101">
        <f t="shared" si="14"/>
        <v>1243.5</v>
      </c>
      <c r="AM101" t="str">
        <f t="shared" si="15"/>
        <v>No</v>
      </c>
    </row>
    <row r="102" spans="1:39" x14ac:dyDescent="0.3">
      <c r="A102" t="s">
        <v>32</v>
      </c>
      <c r="B102" s="28">
        <f t="shared" si="8"/>
        <v>42278</v>
      </c>
      <c r="C102">
        <v>2015</v>
      </c>
      <c r="D102" t="s">
        <v>42</v>
      </c>
      <c r="E102" t="str">
        <f t="shared" si="9"/>
        <v>Oct-15</v>
      </c>
      <c r="F102">
        <f>VLOOKUP(D102,'Problem Statement 4'!$G$2:$H$13,2,0)</f>
        <v>10</v>
      </c>
      <c r="G102">
        <v>123.6</v>
      </c>
      <c r="H102">
        <v>128.6</v>
      </c>
      <c r="I102">
        <v>115.9</v>
      </c>
      <c r="J102">
        <v>128.5</v>
      </c>
      <c r="K102">
        <v>109</v>
      </c>
      <c r="L102">
        <v>124.1</v>
      </c>
      <c r="M102">
        <v>165.8</v>
      </c>
      <c r="N102">
        <v>187.2</v>
      </c>
      <c r="O102">
        <v>89.4</v>
      </c>
      <c r="P102">
        <v>135.80000000000001</v>
      </c>
      <c r="Q102">
        <v>119.4</v>
      </c>
      <c r="R102">
        <v>132.9</v>
      </c>
      <c r="S102">
        <v>132.6</v>
      </c>
      <c r="T102">
        <v>135.30000000000001</v>
      </c>
      <c r="U102">
        <v>124.4</v>
      </c>
      <c r="V102">
        <v>118.8</v>
      </c>
      <c r="W102">
        <v>123.6</v>
      </c>
      <c r="X102">
        <v>122.4</v>
      </c>
      <c r="Y102">
        <v>114.9</v>
      </c>
      <c r="Z102">
        <v>120.7</v>
      </c>
      <c r="AA102">
        <v>117.7</v>
      </c>
      <c r="AB102">
        <v>109.3</v>
      </c>
      <c r="AC102">
        <v>117.7</v>
      </c>
      <c r="AD102">
        <v>126.5</v>
      </c>
      <c r="AE102">
        <v>113.5</v>
      </c>
      <c r="AF102">
        <v>116.5</v>
      </c>
      <c r="AG102">
        <v>124.2</v>
      </c>
      <c r="AH102">
        <f t="shared" si="10"/>
        <v>1692.8000000000002</v>
      </c>
      <c r="AI102">
        <f t="shared" si="11"/>
        <v>114.9</v>
      </c>
      <c r="AJ102">
        <f t="shared" si="12"/>
        <v>109.3</v>
      </c>
      <c r="AK102">
        <f t="shared" si="13"/>
        <v>126.5</v>
      </c>
      <c r="AL102">
        <f t="shared" si="14"/>
        <v>1210.6000000000001</v>
      </c>
      <c r="AM102" t="str">
        <f t="shared" si="15"/>
        <v>No</v>
      </c>
    </row>
    <row r="103" spans="1:39" x14ac:dyDescent="0.3">
      <c r="A103" t="s">
        <v>33</v>
      </c>
      <c r="B103" s="28">
        <f t="shared" si="8"/>
        <v>42278</v>
      </c>
      <c r="C103">
        <v>2015</v>
      </c>
      <c r="D103" t="s">
        <v>42</v>
      </c>
      <c r="E103" t="str">
        <f t="shared" si="9"/>
        <v>Oct-15</v>
      </c>
      <c r="F103">
        <f>VLOOKUP(D103,'Problem Statement 4'!$G$2:$H$13,2,0)</f>
        <v>10</v>
      </c>
      <c r="G103">
        <v>125</v>
      </c>
      <c r="H103">
        <v>129.80000000000001</v>
      </c>
      <c r="I103">
        <v>118.9</v>
      </c>
      <c r="J103">
        <v>129.1</v>
      </c>
      <c r="K103">
        <v>113.3</v>
      </c>
      <c r="L103">
        <v>129</v>
      </c>
      <c r="M103">
        <v>160.4</v>
      </c>
      <c r="N103">
        <v>165.3</v>
      </c>
      <c r="O103">
        <v>92.3</v>
      </c>
      <c r="P103">
        <v>129.69999999999999</v>
      </c>
      <c r="Q103">
        <v>121.1</v>
      </c>
      <c r="R103">
        <v>133</v>
      </c>
      <c r="S103">
        <v>132.1</v>
      </c>
      <c r="T103">
        <v>132.5</v>
      </c>
      <c r="U103">
        <v>128.5</v>
      </c>
      <c r="V103">
        <v>123.8</v>
      </c>
      <c r="W103">
        <v>127.8</v>
      </c>
      <c r="X103">
        <v>122.4</v>
      </c>
      <c r="Y103">
        <v>120.8</v>
      </c>
      <c r="Z103">
        <v>123</v>
      </c>
      <c r="AA103">
        <v>120.4</v>
      </c>
      <c r="AB103">
        <v>111.4</v>
      </c>
      <c r="AC103">
        <v>118.7</v>
      </c>
      <c r="AD103">
        <v>125.9</v>
      </c>
      <c r="AE103">
        <v>113.9</v>
      </c>
      <c r="AF103">
        <v>117.9</v>
      </c>
      <c r="AG103">
        <v>126.1</v>
      </c>
      <c r="AH103">
        <f t="shared" si="10"/>
        <v>1678.9999999999998</v>
      </c>
      <c r="AI103">
        <f t="shared" si="11"/>
        <v>120.8</v>
      </c>
      <c r="AJ103">
        <f t="shared" si="12"/>
        <v>111.4</v>
      </c>
      <c r="AK103">
        <f t="shared" si="13"/>
        <v>125.9</v>
      </c>
      <c r="AL103">
        <f t="shared" si="14"/>
        <v>1228.9000000000001</v>
      </c>
      <c r="AM103" t="str">
        <f t="shared" si="15"/>
        <v>No</v>
      </c>
    </row>
    <row r="104" spans="1:39" x14ac:dyDescent="0.3">
      <c r="A104" t="s">
        <v>30</v>
      </c>
      <c r="B104" s="28">
        <f t="shared" si="8"/>
        <v>42309</v>
      </c>
      <c r="C104">
        <v>2015</v>
      </c>
      <c r="D104" t="s">
        <v>44</v>
      </c>
      <c r="E104" t="str">
        <f t="shared" si="9"/>
        <v>Nov-15</v>
      </c>
      <c r="F104">
        <f>VLOOKUP(D104,'Problem Statement 4'!$G$2:$H$13,2,0)</f>
        <v>11</v>
      </c>
      <c r="G104">
        <v>126.1</v>
      </c>
      <c r="H104">
        <v>130.6</v>
      </c>
      <c r="I104">
        <v>121.7</v>
      </c>
      <c r="J104">
        <v>129.5</v>
      </c>
      <c r="K104">
        <v>117.8</v>
      </c>
      <c r="L104">
        <v>132.1</v>
      </c>
      <c r="M104">
        <v>155.19999999999999</v>
      </c>
      <c r="N104">
        <v>160.80000000000001</v>
      </c>
      <c r="O104">
        <v>94.5</v>
      </c>
      <c r="P104">
        <v>128.30000000000001</v>
      </c>
      <c r="Q104">
        <v>123.1</v>
      </c>
      <c r="R104">
        <v>134.19999999999999</v>
      </c>
      <c r="S104">
        <v>132.4</v>
      </c>
      <c r="T104">
        <v>132.19999999999999</v>
      </c>
      <c r="U104">
        <v>132.1</v>
      </c>
      <c r="V104">
        <v>128.19999999999999</v>
      </c>
      <c r="W104">
        <v>131.5</v>
      </c>
      <c r="X104">
        <v>122.9</v>
      </c>
      <c r="Y104">
        <v>125.6</v>
      </c>
      <c r="Z104">
        <v>125.6</v>
      </c>
      <c r="AA104">
        <v>122.6</v>
      </c>
      <c r="AB104">
        <v>114</v>
      </c>
      <c r="AC104">
        <v>120.9</v>
      </c>
      <c r="AD104">
        <v>125.8</v>
      </c>
      <c r="AE104">
        <v>114.2</v>
      </c>
      <c r="AF104">
        <v>119.6</v>
      </c>
      <c r="AG104">
        <v>128.30000000000001</v>
      </c>
      <c r="AH104">
        <f t="shared" si="10"/>
        <v>1686.3</v>
      </c>
      <c r="AI104">
        <f t="shared" si="11"/>
        <v>125.6</v>
      </c>
      <c r="AJ104">
        <f t="shared" si="12"/>
        <v>114</v>
      </c>
      <c r="AK104">
        <f t="shared" si="13"/>
        <v>125.8</v>
      </c>
      <c r="AL104">
        <f t="shared" si="14"/>
        <v>1249.8</v>
      </c>
      <c r="AM104" t="str">
        <f t="shared" si="15"/>
        <v>No</v>
      </c>
    </row>
    <row r="105" spans="1:39" x14ac:dyDescent="0.3">
      <c r="A105" t="s">
        <v>32</v>
      </c>
      <c r="B105" s="28">
        <f t="shared" si="8"/>
        <v>42309</v>
      </c>
      <c r="C105">
        <v>2015</v>
      </c>
      <c r="D105" t="s">
        <v>44</v>
      </c>
      <c r="E105" t="str">
        <f t="shared" si="9"/>
        <v>Nov-15</v>
      </c>
      <c r="F105">
        <f>VLOOKUP(D105,'Problem Statement 4'!$G$2:$H$13,2,0)</f>
        <v>11</v>
      </c>
      <c r="G105">
        <v>124</v>
      </c>
      <c r="H105">
        <v>129.80000000000001</v>
      </c>
      <c r="I105">
        <v>121.5</v>
      </c>
      <c r="J105">
        <v>128.6</v>
      </c>
      <c r="K105">
        <v>110</v>
      </c>
      <c r="L105">
        <v>123.7</v>
      </c>
      <c r="M105">
        <v>164.6</v>
      </c>
      <c r="N105">
        <v>191.6</v>
      </c>
      <c r="O105">
        <v>90.8</v>
      </c>
      <c r="P105">
        <v>137.1</v>
      </c>
      <c r="Q105">
        <v>119.8</v>
      </c>
      <c r="R105">
        <v>133.69999999999999</v>
      </c>
      <c r="S105">
        <v>133.30000000000001</v>
      </c>
      <c r="T105">
        <v>137.6</v>
      </c>
      <c r="U105">
        <v>125</v>
      </c>
      <c r="V105">
        <v>119.3</v>
      </c>
      <c r="W105">
        <v>124.2</v>
      </c>
      <c r="X105">
        <v>122.9</v>
      </c>
      <c r="Y105">
        <v>115.1</v>
      </c>
      <c r="Z105">
        <v>121</v>
      </c>
      <c r="AA105">
        <v>118.1</v>
      </c>
      <c r="AB105">
        <v>109.3</v>
      </c>
      <c r="AC105">
        <v>117.9</v>
      </c>
      <c r="AD105">
        <v>126.6</v>
      </c>
      <c r="AE105">
        <v>113.3</v>
      </c>
      <c r="AF105">
        <v>116.6</v>
      </c>
      <c r="AG105">
        <v>124.6</v>
      </c>
      <c r="AH105">
        <f t="shared" si="10"/>
        <v>1708.4999999999998</v>
      </c>
      <c r="AI105">
        <f t="shared" si="11"/>
        <v>115.1</v>
      </c>
      <c r="AJ105">
        <f t="shared" si="12"/>
        <v>109.3</v>
      </c>
      <c r="AK105">
        <f t="shared" si="13"/>
        <v>126.6</v>
      </c>
      <c r="AL105">
        <f t="shared" si="14"/>
        <v>1215.8999999999999</v>
      </c>
      <c r="AM105" t="str">
        <f t="shared" si="15"/>
        <v>No</v>
      </c>
    </row>
    <row r="106" spans="1:39" x14ac:dyDescent="0.3">
      <c r="A106" t="s">
        <v>33</v>
      </c>
      <c r="B106" s="28">
        <f t="shared" si="8"/>
        <v>42309</v>
      </c>
      <c r="C106">
        <v>2015</v>
      </c>
      <c r="D106" t="s">
        <v>44</v>
      </c>
      <c r="E106" t="str">
        <f t="shared" si="9"/>
        <v>Nov-15</v>
      </c>
      <c r="F106">
        <f>VLOOKUP(D106,'Problem Statement 4'!$G$2:$H$13,2,0)</f>
        <v>11</v>
      </c>
      <c r="G106">
        <v>125.4</v>
      </c>
      <c r="H106">
        <v>130.30000000000001</v>
      </c>
      <c r="I106">
        <v>121.6</v>
      </c>
      <c r="J106">
        <v>129.19999999999999</v>
      </c>
      <c r="K106">
        <v>114.9</v>
      </c>
      <c r="L106">
        <v>128.19999999999999</v>
      </c>
      <c r="M106">
        <v>158.4</v>
      </c>
      <c r="N106">
        <v>171.2</v>
      </c>
      <c r="O106">
        <v>93.3</v>
      </c>
      <c r="P106">
        <v>131.19999999999999</v>
      </c>
      <c r="Q106">
        <v>121.7</v>
      </c>
      <c r="R106">
        <v>134</v>
      </c>
      <c r="S106">
        <v>132.69999999999999</v>
      </c>
      <c r="T106">
        <v>133.6</v>
      </c>
      <c r="U106">
        <v>129.30000000000001</v>
      </c>
      <c r="V106">
        <v>124.5</v>
      </c>
      <c r="W106">
        <v>128.6</v>
      </c>
      <c r="X106">
        <v>122.9</v>
      </c>
      <c r="Y106">
        <v>121.6</v>
      </c>
      <c r="Z106">
        <v>123.4</v>
      </c>
      <c r="AA106">
        <v>120.9</v>
      </c>
      <c r="AB106">
        <v>111.5</v>
      </c>
      <c r="AC106">
        <v>119.2</v>
      </c>
      <c r="AD106">
        <v>126.3</v>
      </c>
      <c r="AE106">
        <v>113.8</v>
      </c>
      <c r="AF106">
        <v>118.1</v>
      </c>
      <c r="AG106">
        <v>126.6</v>
      </c>
      <c r="AH106">
        <f t="shared" si="10"/>
        <v>1692.1</v>
      </c>
      <c r="AI106">
        <f t="shared" si="11"/>
        <v>121.6</v>
      </c>
      <c r="AJ106">
        <f t="shared" si="12"/>
        <v>111.5</v>
      </c>
      <c r="AK106">
        <f t="shared" si="13"/>
        <v>126.3</v>
      </c>
      <c r="AL106">
        <f t="shared" si="14"/>
        <v>1234.3</v>
      </c>
      <c r="AM106" t="str">
        <f t="shared" si="15"/>
        <v>No</v>
      </c>
    </row>
    <row r="107" spans="1:39" x14ac:dyDescent="0.3">
      <c r="A107" t="s">
        <v>30</v>
      </c>
      <c r="B107" s="28">
        <f t="shared" si="8"/>
        <v>42339</v>
      </c>
      <c r="C107">
        <v>2015</v>
      </c>
      <c r="D107" t="s">
        <v>45</v>
      </c>
      <c r="E107" t="str">
        <f t="shared" si="9"/>
        <v>Dec-15</v>
      </c>
      <c r="F107">
        <f>VLOOKUP(D107,'Problem Statement 4'!$G$2:$H$13,2,0)</f>
        <v>12</v>
      </c>
      <c r="G107">
        <v>126.3</v>
      </c>
      <c r="H107">
        <v>131.30000000000001</v>
      </c>
      <c r="I107">
        <v>123.3</v>
      </c>
      <c r="J107">
        <v>129.80000000000001</v>
      </c>
      <c r="K107">
        <v>118.3</v>
      </c>
      <c r="L107">
        <v>131.6</v>
      </c>
      <c r="M107">
        <v>145.5</v>
      </c>
      <c r="N107">
        <v>162.1</v>
      </c>
      <c r="O107">
        <v>95.4</v>
      </c>
      <c r="P107">
        <v>128.9</v>
      </c>
      <c r="Q107">
        <v>123.3</v>
      </c>
      <c r="R107">
        <v>135.1</v>
      </c>
      <c r="S107">
        <v>131.4</v>
      </c>
      <c r="T107">
        <v>133.1</v>
      </c>
      <c r="U107">
        <v>132.5</v>
      </c>
      <c r="V107">
        <v>128.5</v>
      </c>
      <c r="W107">
        <v>131.9</v>
      </c>
      <c r="X107">
        <v>122.4</v>
      </c>
      <c r="Y107">
        <v>125.7</v>
      </c>
      <c r="Z107">
        <v>126</v>
      </c>
      <c r="AA107">
        <v>123.1</v>
      </c>
      <c r="AB107">
        <v>114</v>
      </c>
      <c r="AC107">
        <v>121.6</v>
      </c>
      <c r="AD107">
        <v>125.6</v>
      </c>
      <c r="AE107">
        <v>114.1</v>
      </c>
      <c r="AF107">
        <v>119.8</v>
      </c>
      <c r="AG107">
        <v>127.9</v>
      </c>
      <c r="AH107">
        <f t="shared" si="10"/>
        <v>1682.3000000000002</v>
      </c>
      <c r="AI107">
        <f t="shared" si="11"/>
        <v>125.7</v>
      </c>
      <c r="AJ107">
        <f t="shared" si="12"/>
        <v>114</v>
      </c>
      <c r="AK107">
        <f t="shared" si="13"/>
        <v>125.6</v>
      </c>
      <c r="AL107">
        <f t="shared" si="14"/>
        <v>1253</v>
      </c>
      <c r="AM107" t="str">
        <f t="shared" si="15"/>
        <v>No</v>
      </c>
    </row>
    <row r="108" spans="1:39" x14ac:dyDescent="0.3">
      <c r="A108" t="s">
        <v>32</v>
      </c>
      <c r="B108" s="28">
        <f t="shared" si="8"/>
        <v>42339</v>
      </c>
      <c r="C108">
        <v>2015</v>
      </c>
      <c r="D108" t="s">
        <v>45</v>
      </c>
      <c r="E108" t="str">
        <f t="shared" si="9"/>
        <v>Dec-15</v>
      </c>
      <c r="F108">
        <f>VLOOKUP(D108,'Problem Statement 4'!$G$2:$H$13,2,0)</f>
        <v>12</v>
      </c>
      <c r="G108">
        <v>124.3</v>
      </c>
      <c r="H108">
        <v>131.69999999999999</v>
      </c>
      <c r="I108">
        <v>127.1</v>
      </c>
      <c r="J108">
        <v>128.6</v>
      </c>
      <c r="K108">
        <v>110</v>
      </c>
      <c r="L108">
        <v>120.8</v>
      </c>
      <c r="M108">
        <v>149</v>
      </c>
      <c r="N108">
        <v>190.1</v>
      </c>
      <c r="O108">
        <v>92.7</v>
      </c>
      <c r="P108">
        <v>138.6</v>
      </c>
      <c r="Q108">
        <v>120.2</v>
      </c>
      <c r="R108">
        <v>134.19999999999999</v>
      </c>
      <c r="S108">
        <v>131.5</v>
      </c>
      <c r="T108">
        <v>138.19999999999999</v>
      </c>
      <c r="U108">
        <v>125.4</v>
      </c>
      <c r="V108">
        <v>119.5</v>
      </c>
      <c r="W108">
        <v>124.5</v>
      </c>
      <c r="X108">
        <v>122.4</v>
      </c>
      <c r="Y108">
        <v>116</v>
      </c>
      <c r="Z108">
        <v>121</v>
      </c>
      <c r="AA108">
        <v>118.6</v>
      </c>
      <c r="AB108">
        <v>109.3</v>
      </c>
      <c r="AC108">
        <v>118.1</v>
      </c>
      <c r="AD108">
        <v>126.6</v>
      </c>
      <c r="AE108">
        <v>113.2</v>
      </c>
      <c r="AF108">
        <v>116.7</v>
      </c>
      <c r="AG108">
        <v>124</v>
      </c>
      <c r="AH108">
        <f t="shared" si="10"/>
        <v>1698.8</v>
      </c>
      <c r="AI108">
        <f t="shared" si="11"/>
        <v>116</v>
      </c>
      <c r="AJ108">
        <f t="shared" si="12"/>
        <v>109.3</v>
      </c>
      <c r="AK108">
        <f t="shared" si="13"/>
        <v>126.6</v>
      </c>
      <c r="AL108">
        <f t="shared" si="14"/>
        <v>1217.6000000000001</v>
      </c>
      <c r="AM108" t="str">
        <f t="shared" si="15"/>
        <v>No</v>
      </c>
    </row>
    <row r="109" spans="1:39" x14ac:dyDescent="0.3">
      <c r="A109" t="s">
        <v>33</v>
      </c>
      <c r="B109" s="28">
        <f t="shared" si="8"/>
        <v>42339</v>
      </c>
      <c r="C109">
        <v>2015</v>
      </c>
      <c r="D109" t="s">
        <v>45</v>
      </c>
      <c r="E109" t="str">
        <f t="shared" si="9"/>
        <v>Dec-15</v>
      </c>
      <c r="F109">
        <f>VLOOKUP(D109,'Problem Statement 4'!$G$2:$H$13,2,0)</f>
        <v>12</v>
      </c>
      <c r="G109">
        <v>125.7</v>
      </c>
      <c r="H109">
        <v>131.4</v>
      </c>
      <c r="I109">
        <v>124.8</v>
      </c>
      <c r="J109">
        <v>129.4</v>
      </c>
      <c r="K109">
        <v>115.3</v>
      </c>
      <c r="L109">
        <v>126.6</v>
      </c>
      <c r="M109">
        <v>146.69999999999999</v>
      </c>
      <c r="N109">
        <v>171.5</v>
      </c>
      <c r="O109">
        <v>94.5</v>
      </c>
      <c r="P109">
        <v>132.1</v>
      </c>
      <c r="Q109">
        <v>122</v>
      </c>
      <c r="R109">
        <v>134.69999999999999</v>
      </c>
      <c r="S109">
        <v>131.4</v>
      </c>
      <c r="T109">
        <v>134.5</v>
      </c>
      <c r="U109">
        <v>129.69999999999999</v>
      </c>
      <c r="V109">
        <v>124.8</v>
      </c>
      <c r="W109">
        <v>129</v>
      </c>
      <c r="X109">
        <v>122.4</v>
      </c>
      <c r="Y109">
        <v>122</v>
      </c>
      <c r="Z109">
        <v>123.6</v>
      </c>
      <c r="AA109">
        <v>121.4</v>
      </c>
      <c r="AB109">
        <v>111.5</v>
      </c>
      <c r="AC109">
        <v>119.6</v>
      </c>
      <c r="AD109">
        <v>126.2</v>
      </c>
      <c r="AE109">
        <v>113.7</v>
      </c>
      <c r="AF109">
        <v>118.3</v>
      </c>
      <c r="AG109">
        <v>126.1</v>
      </c>
      <c r="AH109">
        <f t="shared" si="10"/>
        <v>1686.1000000000001</v>
      </c>
      <c r="AI109">
        <f t="shared" si="11"/>
        <v>122</v>
      </c>
      <c r="AJ109">
        <f t="shared" si="12"/>
        <v>111.5</v>
      </c>
      <c r="AK109">
        <f t="shared" si="13"/>
        <v>126.2</v>
      </c>
      <c r="AL109">
        <f t="shared" si="14"/>
        <v>1237</v>
      </c>
      <c r="AM109" t="str">
        <f t="shared" si="15"/>
        <v>No</v>
      </c>
    </row>
    <row r="110" spans="1:39" x14ac:dyDescent="0.3">
      <c r="A110" t="s">
        <v>30</v>
      </c>
      <c r="B110" s="28">
        <f t="shared" si="8"/>
        <v>42370</v>
      </c>
      <c r="C110">
        <v>2016</v>
      </c>
      <c r="D110" t="s">
        <v>31</v>
      </c>
      <c r="E110" t="str">
        <f t="shared" si="9"/>
        <v>Jan-16</v>
      </c>
      <c r="F110">
        <f>VLOOKUP(D110,'Problem Statement 4'!$G$2:$H$13,2,0)</f>
        <v>1</v>
      </c>
      <c r="G110">
        <v>126.8</v>
      </c>
      <c r="H110">
        <v>133.19999999999999</v>
      </c>
      <c r="I110">
        <v>126.5</v>
      </c>
      <c r="J110">
        <v>130.30000000000001</v>
      </c>
      <c r="K110">
        <v>118.9</v>
      </c>
      <c r="L110">
        <v>131.6</v>
      </c>
      <c r="M110">
        <v>140.1</v>
      </c>
      <c r="N110">
        <v>163.80000000000001</v>
      </c>
      <c r="O110">
        <v>97.7</v>
      </c>
      <c r="P110">
        <v>129.6</v>
      </c>
      <c r="Q110">
        <v>124.3</v>
      </c>
      <c r="R110">
        <v>135.9</v>
      </c>
      <c r="S110">
        <v>131.4</v>
      </c>
      <c r="T110">
        <v>133.6</v>
      </c>
      <c r="U110">
        <v>133.19999999999999</v>
      </c>
      <c r="V110">
        <v>128.9</v>
      </c>
      <c r="W110">
        <v>132.6</v>
      </c>
      <c r="X110">
        <v>123.4</v>
      </c>
      <c r="Y110">
        <v>126.2</v>
      </c>
      <c r="Z110">
        <v>126.6</v>
      </c>
      <c r="AA110">
        <v>123.7</v>
      </c>
      <c r="AB110">
        <v>113.6</v>
      </c>
      <c r="AC110">
        <v>121.4</v>
      </c>
      <c r="AD110">
        <v>126.2</v>
      </c>
      <c r="AE110">
        <v>114.9</v>
      </c>
      <c r="AF110">
        <v>120.1</v>
      </c>
      <c r="AG110">
        <v>128.1</v>
      </c>
      <c r="AH110">
        <f t="shared" si="10"/>
        <v>1690.1000000000001</v>
      </c>
      <c r="AI110">
        <f t="shared" si="11"/>
        <v>126.2</v>
      </c>
      <c r="AJ110">
        <f t="shared" si="12"/>
        <v>113.6</v>
      </c>
      <c r="AK110">
        <f t="shared" si="13"/>
        <v>126.2</v>
      </c>
      <c r="AL110">
        <f t="shared" si="14"/>
        <v>1258.3999999999999</v>
      </c>
      <c r="AM110" t="str">
        <f t="shared" si="15"/>
        <v>No</v>
      </c>
    </row>
    <row r="111" spans="1:39" x14ac:dyDescent="0.3">
      <c r="A111" t="s">
        <v>32</v>
      </c>
      <c r="B111" s="28">
        <f t="shared" si="8"/>
        <v>42370</v>
      </c>
      <c r="C111">
        <v>2016</v>
      </c>
      <c r="D111" t="s">
        <v>31</v>
      </c>
      <c r="E111" t="str">
        <f t="shared" si="9"/>
        <v>Jan-16</v>
      </c>
      <c r="F111">
        <f>VLOOKUP(D111,'Problem Statement 4'!$G$2:$H$13,2,0)</f>
        <v>1</v>
      </c>
      <c r="G111">
        <v>124.7</v>
      </c>
      <c r="H111">
        <v>135.9</v>
      </c>
      <c r="I111">
        <v>132</v>
      </c>
      <c r="J111">
        <v>129.19999999999999</v>
      </c>
      <c r="K111">
        <v>109.7</v>
      </c>
      <c r="L111">
        <v>119</v>
      </c>
      <c r="M111">
        <v>144.1</v>
      </c>
      <c r="N111">
        <v>184.2</v>
      </c>
      <c r="O111">
        <v>96.7</v>
      </c>
      <c r="P111">
        <v>139.5</v>
      </c>
      <c r="Q111">
        <v>120.5</v>
      </c>
      <c r="R111">
        <v>134.69999999999999</v>
      </c>
      <c r="S111">
        <v>131.19999999999999</v>
      </c>
      <c r="T111">
        <v>139.5</v>
      </c>
      <c r="U111">
        <v>125.8</v>
      </c>
      <c r="V111">
        <v>119.8</v>
      </c>
      <c r="W111">
        <v>124.9</v>
      </c>
      <c r="X111">
        <v>123.4</v>
      </c>
      <c r="Y111">
        <v>116.9</v>
      </c>
      <c r="Z111">
        <v>121.6</v>
      </c>
      <c r="AA111">
        <v>119.1</v>
      </c>
      <c r="AB111">
        <v>108.9</v>
      </c>
      <c r="AC111">
        <v>118.5</v>
      </c>
      <c r="AD111">
        <v>126.4</v>
      </c>
      <c r="AE111">
        <v>114</v>
      </c>
      <c r="AF111">
        <v>116.8</v>
      </c>
      <c r="AG111">
        <v>124.2</v>
      </c>
      <c r="AH111">
        <f t="shared" si="10"/>
        <v>1701.4</v>
      </c>
      <c r="AI111">
        <f t="shared" si="11"/>
        <v>116.9</v>
      </c>
      <c r="AJ111">
        <f t="shared" si="12"/>
        <v>108.9</v>
      </c>
      <c r="AK111">
        <f t="shared" si="13"/>
        <v>126.4</v>
      </c>
      <c r="AL111">
        <f t="shared" si="14"/>
        <v>1223.3999999999999</v>
      </c>
      <c r="AM111" t="str">
        <f t="shared" si="15"/>
        <v>No</v>
      </c>
    </row>
    <row r="112" spans="1:39" x14ac:dyDescent="0.3">
      <c r="A112" t="s">
        <v>33</v>
      </c>
      <c r="B112" s="28">
        <f t="shared" si="8"/>
        <v>42370</v>
      </c>
      <c r="C112">
        <v>2016</v>
      </c>
      <c r="D112" t="s">
        <v>31</v>
      </c>
      <c r="E112" t="str">
        <f t="shared" si="9"/>
        <v>Jan-16</v>
      </c>
      <c r="F112">
        <f>VLOOKUP(D112,'Problem Statement 4'!$G$2:$H$13,2,0)</f>
        <v>1</v>
      </c>
      <c r="G112">
        <v>126.1</v>
      </c>
      <c r="H112">
        <v>134.1</v>
      </c>
      <c r="I112">
        <v>128.6</v>
      </c>
      <c r="J112">
        <v>129.9</v>
      </c>
      <c r="K112">
        <v>115.5</v>
      </c>
      <c r="L112">
        <v>125.7</v>
      </c>
      <c r="M112">
        <v>141.5</v>
      </c>
      <c r="N112">
        <v>170.7</v>
      </c>
      <c r="O112">
        <v>97.4</v>
      </c>
      <c r="P112">
        <v>132.9</v>
      </c>
      <c r="Q112">
        <v>122.7</v>
      </c>
      <c r="R112">
        <v>135.30000000000001</v>
      </c>
      <c r="S112">
        <v>131.30000000000001</v>
      </c>
      <c r="T112">
        <v>135.19999999999999</v>
      </c>
      <c r="U112">
        <v>130.30000000000001</v>
      </c>
      <c r="V112">
        <v>125.1</v>
      </c>
      <c r="W112">
        <v>129.5</v>
      </c>
      <c r="X112">
        <v>123.4</v>
      </c>
      <c r="Y112">
        <v>122.7</v>
      </c>
      <c r="Z112">
        <v>124.2</v>
      </c>
      <c r="AA112">
        <v>122</v>
      </c>
      <c r="AB112">
        <v>111.1</v>
      </c>
      <c r="AC112">
        <v>119.8</v>
      </c>
      <c r="AD112">
        <v>126.3</v>
      </c>
      <c r="AE112">
        <v>114.5</v>
      </c>
      <c r="AF112">
        <v>118.5</v>
      </c>
      <c r="AG112">
        <v>126.3</v>
      </c>
      <c r="AH112">
        <f t="shared" si="10"/>
        <v>1691.7</v>
      </c>
      <c r="AI112">
        <f t="shared" si="11"/>
        <v>122.7</v>
      </c>
      <c r="AJ112">
        <f t="shared" si="12"/>
        <v>111.1</v>
      </c>
      <c r="AK112">
        <f t="shared" si="13"/>
        <v>126.3</v>
      </c>
      <c r="AL112">
        <f t="shared" si="14"/>
        <v>1242.5</v>
      </c>
      <c r="AM112" t="str">
        <f t="shared" si="15"/>
        <v>No</v>
      </c>
    </row>
    <row r="113" spans="1:39" x14ac:dyDescent="0.3">
      <c r="A113" t="s">
        <v>30</v>
      </c>
      <c r="B113" s="28">
        <f t="shared" si="8"/>
        <v>42401</v>
      </c>
      <c r="C113">
        <v>2016</v>
      </c>
      <c r="D113" t="s">
        <v>34</v>
      </c>
      <c r="E113" t="str">
        <f t="shared" si="9"/>
        <v>Feb-16</v>
      </c>
      <c r="F113">
        <f>VLOOKUP(D113,'Problem Statement 4'!$G$2:$H$13,2,0)</f>
        <v>2</v>
      </c>
      <c r="G113">
        <v>127.1</v>
      </c>
      <c r="H113">
        <v>133.69999999999999</v>
      </c>
      <c r="I113">
        <v>127.7</v>
      </c>
      <c r="J113">
        <v>130.69999999999999</v>
      </c>
      <c r="K113">
        <v>118.5</v>
      </c>
      <c r="L113">
        <v>130.4</v>
      </c>
      <c r="M113">
        <v>130.9</v>
      </c>
      <c r="N113">
        <v>162.80000000000001</v>
      </c>
      <c r="O113">
        <v>98.7</v>
      </c>
      <c r="P113">
        <v>130.6</v>
      </c>
      <c r="Q113">
        <v>124.8</v>
      </c>
      <c r="R113">
        <v>136.4</v>
      </c>
      <c r="S113">
        <v>130.30000000000001</v>
      </c>
      <c r="T113">
        <v>134.4</v>
      </c>
      <c r="U113">
        <v>133.9</v>
      </c>
      <c r="V113">
        <v>129.80000000000001</v>
      </c>
      <c r="W113">
        <v>133.4</v>
      </c>
      <c r="X113">
        <v>124.4</v>
      </c>
      <c r="Y113">
        <v>127.5</v>
      </c>
      <c r="Z113">
        <v>127.1</v>
      </c>
      <c r="AA113">
        <v>124.3</v>
      </c>
      <c r="AB113">
        <v>113.9</v>
      </c>
      <c r="AC113">
        <v>122.3</v>
      </c>
      <c r="AD113">
        <v>127.1</v>
      </c>
      <c r="AE113">
        <v>116.8</v>
      </c>
      <c r="AF113">
        <v>120.9</v>
      </c>
      <c r="AG113">
        <v>127.9</v>
      </c>
      <c r="AH113">
        <f t="shared" si="10"/>
        <v>1682.6</v>
      </c>
      <c r="AI113">
        <f t="shared" si="11"/>
        <v>127.5</v>
      </c>
      <c r="AJ113">
        <f t="shared" si="12"/>
        <v>113.9</v>
      </c>
      <c r="AK113">
        <f t="shared" si="13"/>
        <v>127.1</v>
      </c>
      <c r="AL113">
        <f t="shared" si="14"/>
        <v>1267.3</v>
      </c>
      <c r="AM113" t="str">
        <f t="shared" si="15"/>
        <v>No</v>
      </c>
    </row>
    <row r="114" spans="1:39" x14ac:dyDescent="0.3">
      <c r="A114" t="s">
        <v>32</v>
      </c>
      <c r="B114" s="28">
        <f t="shared" si="8"/>
        <v>42401</v>
      </c>
      <c r="C114">
        <v>2016</v>
      </c>
      <c r="D114" t="s">
        <v>34</v>
      </c>
      <c r="E114" t="str">
        <f t="shared" si="9"/>
        <v>Feb-16</v>
      </c>
      <c r="F114">
        <f>VLOOKUP(D114,'Problem Statement 4'!$G$2:$H$13,2,0)</f>
        <v>2</v>
      </c>
      <c r="G114">
        <v>124.8</v>
      </c>
      <c r="H114">
        <v>135.1</v>
      </c>
      <c r="I114">
        <v>130.30000000000001</v>
      </c>
      <c r="J114">
        <v>129.6</v>
      </c>
      <c r="K114">
        <v>108.4</v>
      </c>
      <c r="L114">
        <v>118.6</v>
      </c>
      <c r="M114">
        <v>129.19999999999999</v>
      </c>
      <c r="N114">
        <v>176.4</v>
      </c>
      <c r="O114">
        <v>99.1</v>
      </c>
      <c r="P114">
        <v>139.69999999999999</v>
      </c>
      <c r="Q114">
        <v>120.6</v>
      </c>
      <c r="R114">
        <v>135.19999999999999</v>
      </c>
      <c r="S114">
        <v>129.1</v>
      </c>
      <c r="T114">
        <v>140</v>
      </c>
      <c r="U114">
        <v>126.2</v>
      </c>
      <c r="V114">
        <v>120.1</v>
      </c>
      <c r="W114">
        <v>125.3</v>
      </c>
      <c r="X114">
        <v>124.4</v>
      </c>
      <c r="Y114">
        <v>116</v>
      </c>
      <c r="Z114">
        <v>121.8</v>
      </c>
      <c r="AA114">
        <v>119.5</v>
      </c>
      <c r="AB114">
        <v>109.1</v>
      </c>
      <c r="AC114">
        <v>118.8</v>
      </c>
      <c r="AD114">
        <v>126.3</v>
      </c>
      <c r="AE114">
        <v>116.2</v>
      </c>
      <c r="AF114">
        <v>117.2</v>
      </c>
      <c r="AG114">
        <v>123.8</v>
      </c>
      <c r="AH114">
        <f t="shared" si="10"/>
        <v>1676.1</v>
      </c>
      <c r="AI114">
        <f t="shared" si="11"/>
        <v>116</v>
      </c>
      <c r="AJ114">
        <f t="shared" si="12"/>
        <v>109.1</v>
      </c>
      <c r="AK114">
        <f t="shared" si="13"/>
        <v>126.3</v>
      </c>
      <c r="AL114">
        <f t="shared" si="14"/>
        <v>1229.5</v>
      </c>
      <c r="AM114" t="str">
        <f t="shared" si="15"/>
        <v>No</v>
      </c>
    </row>
    <row r="115" spans="1:39" x14ac:dyDescent="0.3">
      <c r="A115" t="s">
        <v>33</v>
      </c>
      <c r="B115" s="28">
        <f t="shared" si="8"/>
        <v>42401</v>
      </c>
      <c r="C115">
        <v>2016</v>
      </c>
      <c r="D115" t="s">
        <v>34</v>
      </c>
      <c r="E115" t="str">
        <f t="shared" si="9"/>
        <v>Feb-16</v>
      </c>
      <c r="F115">
        <f>VLOOKUP(D115,'Problem Statement 4'!$G$2:$H$13,2,0)</f>
        <v>2</v>
      </c>
      <c r="G115">
        <v>126.4</v>
      </c>
      <c r="H115">
        <v>134.19999999999999</v>
      </c>
      <c r="I115">
        <v>128.69999999999999</v>
      </c>
      <c r="J115">
        <v>130.30000000000001</v>
      </c>
      <c r="K115">
        <v>114.8</v>
      </c>
      <c r="L115">
        <v>124.9</v>
      </c>
      <c r="M115">
        <v>130.30000000000001</v>
      </c>
      <c r="N115">
        <v>167.4</v>
      </c>
      <c r="O115">
        <v>98.8</v>
      </c>
      <c r="P115">
        <v>133.6</v>
      </c>
      <c r="Q115">
        <v>123</v>
      </c>
      <c r="R115">
        <v>135.80000000000001</v>
      </c>
      <c r="S115">
        <v>129.9</v>
      </c>
      <c r="T115">
        <v>135.9</v>
      </c>
      <c r="U115">
        <v>130.9</v>
      </c>
      <c r="V115">
        <v>125.8</v>
      </c>
      <c r="W115">
        <v>130.19999999999999</v>
      </c>
      <c r="X115">
        <v>124.4</v>
      </c>
      <c r="Y115">
        <v>123.1</v>
      </c>
      <c r="Z115">
        <v>124.6</v>
      </c>
      <c r="AA115">
        <v>122.5</v>
      </c>
      <c r="AB115">
        <v>111.4</v>
      </c>
      <c r="AC115">
        <v>120.3</v>
      </c>
      <c r="AD115">
        <v>126.6</v>
      </c>
      <c r="AE115">
        <v>116.6</v>
      </c>
      <c r="AF115">
        <v>119.1</v>
      </c>
      <c r="AG115">
        <v>126</v>
      </c>
      <c r="AH115">
        <f t="shared" si="10"/>
        <v>1678.1</v>
      </c>
      <c r="AI115">
        <f t="shared" si="11"/>
        <v>123.1</v>
      </c>
      <c r="AJ115">
        <f t="shared" si="12"/>
        <v>111.4</v>
      </c>
      <c r="AK115">
        <f t="shared" si="13"/>
        <v>126.6</v>
      </c>
      <c r="AL115">
        <f t="shared" si="14"/>
        <v>1250.2999999999997</v>
      </c>
      <c r="AM115" t="str">
        <f t="shared" si="15"/>
        <v>No</v>
      </c>
    </row>
    <row r="116" spans="1:39" x14ac:dyDescent="0.3">
      <c r="A116" t="s">
        <v>30</v>
      </c>
      <c r="B116" s="28">
        <f t="shared" si="8"/>
        <v>42430</v>
      </c>
      <c r="C116">
        <v>2016</v>
      </c>
      <c r="D116" t="s">
        <v>35</v>
      </c>
      <c r="E116" t="str">
        <f t="shared" si="9"/>
        <v>Mar-16</v>
      </c>
      <c r="F116">
        <f>VLOOKUP(D116,'Problem Statement 4'!$G$2:$H$13,2,0)</f>
        <v>3</v>
      </c>
      <c r="G116">
        <v>127.3</v>
      </c>
      <c r="H116">
        <v>134.4</v>
      </c>
      <c r="I116">
        <v>125.1</v>
      </c>
      <c r="J116">
        <v>130.5</v>
      </c>
      <c r="K116">
        <v>118.3</v>
      </c>
      <c r="L116">
        <v>131.69999999999999</v>
      </c>
      <c r="M116">
        <v>130.69999999999999</v>
      </c>
      <c r="N116">
        <v>161.19999999999999</v>
      </c>
      <c r="O116">
        <v>100.4</v>
      </c>
      <c r="P116">
        <v>130.80000000000001</v>
      </c>
      <c r="Q116">
        <v>124.9</v>
      </c>
      <c r="R116">
        <v>137</v>
      </c>
      <c r="S116">
        <v>130.4</v>
      </c>
      <c r="T116">
        <v>135</v>
      </c>
      <c r="U116">
        <v>134.4</v>
      </c>
      <c r="V116">
        <v>130.19999999999999</v>
      </c>
      <c r="W116">
        <v>133.80000000000001</v>
      </c>
      <c r="X116">
        <v>124.9</v>
      </c>
      <c r="Y116">
        <v>127</v>
      </c>
      <c r="Z116">
        <v>127.7</v>
      </c>
      <c r="AA116">
        <v>124.8</v>
      </c>
      <c r="AB116">
        <v>113.6</v>
      </c>
      <c r="AC116">
        <v>122.5</v>
      </c>
      <c r="AD116">
        <v>127.5</v>
      </c>
      <c r="AE116">
        <v>117.4</v>
      </c>
      <c r="AF116">
        <v>121.1</v>
      </c>
      <c r="AG116">
        <v>128</v>
      </c>
      <c r="AH116">
        <f t="shared" si="10"/>
        <v>1682.7000000000003</v>
      </c>
      <c r="AI116">
        <f t="shared" si="11"/>
        <v>127</v>
      </c>
      <c r="AJ116">
        <f t="shared" si="12"/>
        <v>113.6</v>
      </c>
      <c r="AK116">
        <f t="shared" si="13"/>
        <v>127.5</v>
      </c>
      <c r="AL116">
        <f t="shared" si="14"/>
        <v>1271.8</v>
      </c>
      <c r="AM116" t="str">
        <f t="shared" si="15"/>
        <v>No</v>
      </c>
    </row>
    <row r="117" spans="1:39" x14ac:dyDescent="0.3">
      <c r="A117" t="s">
        <v>32</v>
      </c>
      <c r="B117" s="28">
        <f t="shared" si="8"/>
        <v>42430</v>
      </c>
      <c r="C117">
        <v>2016</v>
      </c>
      <c r="D117" t="s">
        <v>35</v>
      </c>
      <c r="E117" t="str">
        <f t="shared" si="9"/>
        <v>Mar-16</v>
      </c>
      <c r="F117">
        <f>VLOOKUP(D117,'Problem Statement 4'!$G$2:$H$13,2,0)</f>
        <v>3</v>
      </c>
      <c r="G117">
        <v>124.8</v>
      </c>
      <c r="H117">
        <v>136.30000000000001</v>
      </c>
      <c r="I117">
        <v>123.7</v>
      </c>
      <c r="J117">
        <v>129.69999999999999</v>
      </c>
      <c r="K117">
        <v>107.9</v>
      </c>
      <c r="L117">
        <v>119.9</v>
      </c>
      <c r="M117">
        <v>128.1</v>
      </c>
      <c r="N117">
        <v>170.3</v>
      </c>
      <c r="O117">
        <v>101.8</v>
      </c>
      <c r="P117">
        <v>140.1</v>
      </c>
      <c r="Q117">
        <v>120.7</v>
      </c>
      <c r="R117">
        <v>135.4</v>
      </c>
      <c r="S117">
        <v>128.9</v>
      </c>
      <c r="T117">
        <v>140.6</v>
      </c>
      <c r="U117">
        <v>126.4</v>
      </c>
      <c r="V117">
        <v>120.3</v>
      </c>
      <c r="W117">
        <v>125.5</v>
      </c>
      <c r="X117">
        <v>124.9</v>
      </c>
      <c r="Y117">
        <v>114.8</v>
      </c>
      <c r="Z117">
        <v>122.3</v>
      </c>
      <c r="AA117">
        <v>119.7</v>
      </c>
      <c r="AB117">
        <v>108.5</v>
      </c>
      <c r="AC117">
        <v>119.1</v>
      </c>
      <c r="AD117">
        <v>126.4</v>
      </c>
      <c r="AE117">
        <v>117.1</v>
      </c>
      <c r="AF117">
        <v>117.3</v>
      </c>
      <c r="AG117">
        <v>123.8</v>
      </c>
      <c r="AH117">
        <f t="shared" si="10"/>
        <v>1667.6000000000001</v>
      </c>
      <c r="AI117">
        <f t="shared" si="11"/>
        <v>114.8</v>
      </c>
      <c r="AJ117">
        <f t="shared" si="12"/>
        <v>108.5</v>
      </c>
      <c r="AK117">
        <f t="shared" si="13"/>
        <v>126.4</v>
      </c>
      <c r="AL117">
        <f t="shared" si="14"/>
        <v>1233.1999999999998</v>
      </c>
      <c r="AM117" t="str">
        <f t="shared" si="15"/>
        <v>No</v>
      </c>
    </row>
    <row r="118" spans="1:39" x14ac:dyDescent="0.3">
      <c r="A118" t="s">
        <v>33</v>
      </c>
      <c r="B118" s="28">
        <f t="shared" si="8"/>
        <v>42430</v>
      </c>
      <c r="C118">
        <v>2016</v>
      </c>
      <c r="D118" t="s">
        <v>35</v>
      </c>
      <c r="E118" t="str">
        <f t="shared" si="9"/>
        <v>Mar-16</v>
      </c>
      <c r="F118">
        <f>VLOOKUP(D118,'Problem Statement 4'!$G$2:$H$13,2,0)</f>
        <v>3</v>
      </c>
      <c r="G118">
        <v>126.5</v>
      </c>
      <c r="H118">
        <v>135.1</v>
      </c>
      <c r="I118">
        <v>124.6</v>
      </c>
      <c r="J118">
        <v>130.19999999999999</v>
      </c>
      <c r="K118">
        <v>114.5</v>
      </c>
      <c r="L118">
        <v>126.2</v>
      </c>
      <c r="M118">
        <v>129.80000000000001</v>
      </c>
      <c r="N118">
        <v>164.3</v>
      </c>
      <c r="O118">
        <v>100.9</v>
      </c>
      <c r="P118">
        <v>133.9</v>
      </c>
      <c r="Q118">
        <v>123.1</v>
      </c>
      <c r="R118">
        <v>136.30000000000001</v>
      </c>
      <c r="S118">
        <v>129.80000000000001</v>
      </c>
      <c r="T118">
        <v>136.5</v>
      </c>
      <c r="U118">
        <v>131.30000000000001</v>
      </c>
      <c r="V118">
        <v>126.1</v>
      </c>
      <c r="W118">
        <v>130.5</v>
      </c>
      <c r="X118">
        <v>124.9</v>
      </c>
      <c r="Y118">
        <v>122.4</v>
      </c>
      <c r="Z118">
        <v>125.1</v>
      </c>
      <c r="AA118">
        <v>122.9</v>
      </c>
      <c r="AB118">
        <v>110.9</v>
      </c>
      <c r="AC118">
        <v>120.6</v>
      </c>
      <c r="AD118">
        <v>126.9</v>
      </c>
      <c r="AE118">
        <v>117.3</v>
      </c>
      <c r="AF118">
        <v>119.3</v>
      </c>
      <c r="AG118">
        <v>126</v>
      </c>
      <c r="AH118">
        <f t="shared" si="10"/>
        <v>1675.2</v>
      </c>
      <c r="AI118">
        <f t="shared" si="11"/>
        <v>122.4</v>
      </c>
      <c r="AJ118">
        <f t="shared" si="12"/>
        <v>110.9</v>
      </c>
      <c r="AK118">
        <f t="shared" si="13"/>
        <v>126.9</v>
      </c>
      <c r="AL118">
        <f t="shared" si="14"/>
        <v>1254.5</v>
      </c>
      <c r="AM118" t="str">
        <f t="shared" si="15"/>
        <v>No</v>
      </c>
    </row>
    <row r="119" spans="1:39" x14ac:dyDescent="0.3">
      <c r="A119" t="s">
        <v>30</v>
      </c>
      <c r="B119" s="28">
        <f t="shared" si="8"/>
        <v>42461</v>
      </c>
      <c r="C119">
        <v>2016</v>
      </c>
      <c r="D119" t="s">
        <v>36</v>
      </c>
      <c r="E119" t="str">
        <f t="shared" si="9"/>
        <v>Apr-16</v>
      </c>
      <c r="F119">
        <f>VLOOKUP(D119,'Problem Statement 4'!$G$2:$H$13,2,0)</f>
        <v>4</v>
      </c>
      <c r="G119">
        <v>127.4</v>
      </c>
      <c r="H119">
        <v>135.4</v>
      </c>
      <c r="I119">
        <v>123.4</v>
      </c>
      <c r="J119">
        <v>131.30000000000001</v>
      </c>
      <c r="K119">
        <v>118.2</v>
      </c>
      <c r="L119">
        <v>138.1</v>
      </c>
      <c r="M119">
        <v>134.1</v>
      </c>
      <c r="N119">
        <v>162.69999999999999</v>
      </c>
      <c r="O119">
        <v>105</v>
      </c>
      <c r="P119">
        <v>131.4</v>
      </c>
      <c r="Q119">
        <v>125.4</v>
      </c>
      <c r="R119">
        <v>137.4</v>
      </c>
      <c r="S119">
        <v>131.80000000000001</v>
      </c>
      <c r="T119">
        <v>135.5</v>
      </c>
      <c r="U119">
        <v>135</v>
      </c>
      <c r="V119">
        <v>130.6</v>
      </c>
      <c r="W119">
        <v>134.4</v>
      </c>
      <c r="X119">
        <v>125.6</v>
      </c>
      <c r="Y119">
        <v>127</v>
      </c>
      <c r="Z119">
        <v>128</v>
      </c>
      <c r="AA119">
        <v>125.2</v>
      </c>
      <c r="AB119">
        <v>114.4</v>
      </c>
      <c r="AC119">
        <v>123.2</v>
      </c>
      <c r="AD119">
        <v>127.9</v>
      </c>
      <c r="AE119">
        <v>118.4</v>
      </c>
      <c r="AF119">
        <v>121.7</v>
      </c>
      <c r="AG119">
        <v>129</v>
      </c>
      <c r="AH119">
        <f t="shared" si="10"/>
        <v>1701.6000000000004</v>
      </c>
      <c r="AI119">
        <f t="shared" si="11"/>
        <v>127</v>
      </c>
      <c r="AJ119">
        <f t="shared" si="12"/>
        <v>114.4</v>
      </c>
      <c r="AK119">
        <f t="shared" si="13"/>
        <v>127.9</v>
      </c>
      <c r="AL119">
        <f t="shared" si="14"/>
        <v>1277.6000000000001</v>
      </c>
      <c r="AM119" t="str">
        <f t="shared" si="15"/>
        <v>No</v>
      </c>
    </row>
    <row r="120" spans="1:39" x14ac:dyDescent="0.3">
      <c r="A120" t="s">
        <v>32</v>
      </c>
      <c r="B120" s="28">
        <f t="shared" si="8"/>
        <v>42461</v>
      </c>
      <c r="C120">
        <v>2016</v>
      </c>
      <c r="D120" t="s">
        <v>36</v>
      </c>
      <c r="E120" t="str">
        <f t="shared" si="9"/>
        <v>Apr-16</v>
      </c>
      <c r="F120">
        <f>VLOOKUP(D120,'Problem Statement 4'!$G$2:$H$13,2,0)</f>
        <v>4</v>
      </c>
      <c r="G120">
        <v>124.9</v>
      </c>
      <c r="H120">
        <v>139.30000000000001</v>
      </c>
      <c r="I120">
        <v>119.9</v>
      </c>
      <c r="J120">
        <v>130.19999999999999</v>
      </c>
      <c r="K120">
        <v>108.9</v>
      </c>
      <c r="L120">
        <v>131.1</v>
      </c>
      <c r="M120">
        <v>136.80000000000001</v>
      </c>
      <c r="N120">
        <v>176.9</v>
      </c>
      <c r="O120">
        <v>109.1</v>
      </c>
      <c r="P120">
        <v>140.4</v>
      </c>
      <c r="Q120">
        <v>121.1</v>
      </c>
      <c r="R120">
        <v>135.9</v>
      </c>
      <c r="S120">
        <v>131.80000000000001</v>
      </c>
      <c r="T120">
        <v>141.5</v>
      </c>
      <c r="U120">
        <v>126.8</v>
      </c>
      <c r="V120">
        <v>120.5</v>
      </c>
      <c r="W120">
        <v>125.8</v>
      </c>
      <c r="X120">
        <v>125.6</v>
      </c>
      <c r="Y120">
        <v>114.6</v>
      </c>
      <c r="Z120">
        <v>122.8</v>
      </c>
      <c r="AA120">
        <v>120</v>
      </c>
      <c r="AB120">
        <v>110</v>
      </c>
      <c r="AC120">
        <v>119.5</v>
      </c>
      <c r="AD120">
        <v>127.6</v>
      </c>
      <c r="AE120">
        <v>117.6</v>
      </c>
      <c r="AF120">
        <v>118.2</v>
      </c>
      <c r="AG120">
        <v>125.3</v>
      </c>
      <c r="AH120">
        <f t="shared" si="10"/>
        <v>1706.3</v>
      </c>
      <c r="AI120">
        <f t="shared" si="11"/>
        <v>114.6</v>
      </c>
      <c r="AJ120">
        <f t="shared" si="12"/>
        <v>110</v>
      </c>
      <c r="AK120">
        <f t="shared" si="13"/>
        <v>127.6</v>
      </c>
      <c r="AL120">
        <f t="shared" si="14"/>
        <v>1238.3</v>
      </c>
      <c r="AM120" t="str">
        <f t="shared" si="15"/>
        <v>No</v>
      </c>
    </row>
    <row r="121" spans="1:39" x14ac:dyDescent="0.3">
      <c r="A121" t="s">
        <v>33</v>
      </c>
      <c r="B121" s="28">
        <f t="shared" si="8"/>
        <v>42461</v>
      </c>
      <c r="C121">
        <v>2016</v>
      </c>
      <c r="D121" t="s">
        <v>36</v>
      </c>
      <c r="E121" t="str">
        <f t="shared" si="9"/>
        <v>Apr-16</v>
      </c>
      <c r="F121">
        <f>VLOOKUP(D121,'Problem Statement 4'!$G$2:$H$13,2,0)</f>
        <v>4</v>
      </c>
      <c r="G121">
        <v>126.6</v>
      </c>
      <c r="H121">
        <v>136.80000000000001</v>
      </c>
      <c r="I121">
        <v>122</v>
      </c>
      <c r="J121">
        <v>130.9</v>
      </c>
      <c r="K121">
        <v>114.8</v>
      </c>
      <c r="L121">
        <v>134.80000000000001</v>
      </c>
      <c r="M121">
        <v>135</v>
      </c>
      <c r="N121">
        <v>167.5</v>
      </c>
      <c r="O121">
        <v>106.4</v>
      </c>
      <c r="P121">
        <v>134.4</v>
      </c>
      <c r="Q121">
        <v>123.6</v>
      </c>
      <c r="R121">
        <v>136.69999999999999</v>
      </c>
      <c r="S121">
        <v>131.80000000000001</v>
      </c>
      <c r="T121">
        <v>137.1</v>
      </c>
      <c r="U121">
        <v>131.80000000000001</v>
      </c>
      <c r="V121">
        <v>126.4</v>
      </c>
      <c r="W121">
        <v>131</v>
      </c>
      <c r="X121">
        <v>125.6</v>
      </c>
      <c r="Y121">
        <v>122.3</v>
      </c>
      <c r="Z121">
        <v>125.5</v>
      </c>
      <c r="AA121">
        <v>123.2</v>
      </c>
      <c r="AB121">
        <v>112.1</v>
      </c>
      <c r="AC121">
        <v>121.1</v>
      </c>
      <c r="AD121">
        <v>127.7</v>
      </c>
      <c r="AE121">
        <v>118.1</v>
      </c>
      <c r="AF121">
        <v>120</v>
      </c>
      <c r="AG121">
        <v>127.3</v>
      </c>
      <c r="AH121">
        <f t="shared" si="10"/>
        <v>1701.3</v>
      </c>
      <c r="AI121">
        <f t="shared" si="11"/>
        <v>122.3</v>
      </c>
      <c r="AJ121">
        <f t="shared" si="12"/>
        <v>112.1</v>
      </c>
      <c r="AK121">
        <f t="shared" si="13"/>
        <v>127.7</v>
      </c>
      <c r="AL121">
        <f t="shared" si="14"/>
        <v>1259.8</v>
      </c>
      <c r="AM121" t="str">
        <f t="shared" si="15"/>
        <v>No</v>
      </c>
    </row>
    <row r="122" spans="1:39" x14ac:dyDescent="0.3">
      <c r="A122" t="s">
        <v>30</v>
      </c>
      <c r="B122" s="28">
        <f t="shared" si="8"/>
        <v>42491</v>
      </c>
      <c r="C122">
        <v>2016</v>
      </c>
      <c r="D122" t="s">
        <v>37</v>
      </c>
      <c r="E122" t="str">
        <f t="shared" si="9"/>
        <v>May-16</v>
      </c>
      <c r="F122">
        <f>VLOOKUP(D122,'Problem Statement 4'!$G$2:$H$13,2,0)</f>
        <v>5</v>
      </c>
      <c r="G122">
        <v>127.6</v>
      </c>
      <c r="H122">
        <v>137.5</v>
      </c>
      <c r="I122">
        <v>124.4</v>
      </c>
      <c r="J122">
        <v>132.4</v>
      </c>
      <c r="K122">
        <v>118.2</v>
      </c>
      <c r="L122">
        <v>138.1</v>
      </c>
      <c r="M122">
        <v>141.80000000000001</v>
      </c>
      <c r="N122">
        <v>166</v>
      </c>
      <c r="O122">
        <v>107.5</v>
      </c>
      <c r="P122">
        <v>132.19999999999999</v>
      </c>
      <c r="Q122">
        <v>126.1</v>
      </c>
      <c r="R122">
        <v>138.30000000000001</v>
      </c>
      <c r="S122">
        <v>133.6</v>
      </c>
      <c r="T122">
        <v>136</v>
      </c>
      <c r="U122">
        <v>135.4</v>
      </c>
      <c r="V122">
        <v>131.1</v>
      </c>
      <c r="W122">
        <v>134.80000000000001</v>
      </c>
      <c r="X122">
        <v>126</v>
      </c>
      <c r="Y122">
        <v>127.4</v>
      </c>
      <c r="Z122">
        <v>128.5</v>
      </c>
      <c r="AA122">
        <v>125.8</v>
      </c>
      <c r="AB122">
        <v>115.1</v>
      </c>
      <c r="AC122">
        <v>123.6</v>
      </c>
      <c r="AD122">
        <v>129.1</v>
      </c>
      <c r="AE122">
        <v>119.7</v>
      </c>
      <c r="AF122">
        <v>122.5</v>
      </c>
      <c r="AG122">
        <v>130.30000000000001</v>
      </c>
      <c r="AH122">
        <f t="shared" si="10"/>
        <v>1723.6999999999998</v>
      </c>
      <c r="AI122">
        <f t="shared" si="11"/>
        <v>127.4</v>
      </c>
      <c r="AJ122">
        <f t="shared" si="12"/>
        <v>115.1</v>
      </c>
      <c r="AK122">
        <f t="shared" si="13"/>
        <v>129.1</v>
      </c>
      <c r="AL122">
        <f t="shared" si="14"/>
        <v>1283.3999999999999</v>
      </c>
      <c r="AM122" t="str">
        <f t="shared" si="15"/>
        <v>No</v>
      </c>
    </row>
    <row r="123" spans="1:39" x14ac:dyDescent="0.3">
      <c r="A123" t="s">
        <v>32</v>
      </c>
      <c r="B123" s="28">
        <f t="shared" si="8"/>
        <v>42491</v>
      </c>
      <c r="C123">
        <v>2016</v>
      </c>
      <c r="D123" t="s">
        <v>37</v>
      </c>
      <c r="E123" t="str">
        <f t="shared" si="9"/>
        <v>May-16</v>
      </c>
      <c r="F123">
        <f>VLOOKUP(D123,'Problem Statement 4'!$G$2:$H$13,2,0)</f>
        <v>5</v>
      </c>
      <c r="G123">
        <v>125</v>
      </c>
      <c r="H123">
        <v>142.1</v>
      </c>
      <c r="I123">
        <v>127</v>
      </c>
      <c r="J123">
        <v>130.4</v>
      </c>
      <c r="K123">
        <v>109.6</v>
      </c>
      <c r="L123">
        <v>133.5</v>
      </c>
      <c r="M123">
        <v>151.4</v>
      </c>
      <c r="N123">
        <v>182.8</v>
      </c>
      <c r="O123">
        <v>111.1</v>
      </c>
      <c r="P123">
        <v>141.5</v>
      </c>
      <c r="Q123">
        <v>121.5</v>
      </c>
      <c r="R123">
        <v>136.30000000000001</v>
      </c>
      <c r="S123">
        <v>134.6</v>
      </c>
      <c r="T123">
        <v>142.19999999999999</v>
      </c>
      <c r="U123">
        <v>127.2</v>
      </c>
      <c r="V123">
        <v>120.7</v>
      </c>
      <c r="W123">
        <v>126.2</v>
      </c>
      <c r="X123">
        <v>126</v>
      </c>
      <c r="Y123">
        <v>115</v>
      </c>
      <c r="Z123">
        <v>123.2</v>
      </c>
      <c r="AA123">
        <v>120.3</v>
      </c>
      <c r="AB123">
        <v>110.7</v>
      </c>
      <c r="AC123">
        <v>119.8</v>
      </c>
      <c r="AD123">
        <v>128</v>
      </c>
      <c r="AE123">
        <v>118.5</v>
      </c>
      <c r="AF123">
        <v>118.7</v>
      </c>
      <c r="AG123">
        <v>126.6</v>
      </c>
      <c r="AH123">
        <f t="shared" si="10"/>
        <v>1746.7999999999997</v>
      </c>
      <c r="AI123">
        <f t="shared" si="11"/>
        <v>115</v>
      </c>
      <c r="AJ123">
        <f t="shared" si="12"/>
        <v>110.7</v>
      </c>
      <c r="AK123">
        <f t="shared" si="13"/>
        <v>128</v>
      </c>
      <c r="AL123">
        <f t="shared" si="14"/>
        <v>1242.8</v>
      </c>
      <c r="AM123" t="str">
        <f t="shared" si="15"/>
        <v>No</v>
      </c>
    </row>
    <row r="124" spans="1:39" x14ac:dyDescent="0.3">
      <c r="A124" t="s">
        <v>33</v>
      </c>
      <c r="B124" s="28">
        <f t="shared" si="8"/>
        <v>42491</v>
      </c>
      <c r="C124">
        <v>2016</v>
      </c>
      <c r="D124" t="s">
        <v>37</v>
      </c>
      <c r="E124" t="str">
        <f t="shared" si="9"/>
        <v>May-16</v>
      </c>
      <c r="F124">
        <f>VLOOKUP(D124,'Problem Statement 4'!$G$2:$H$13,2,0)</f>
        <v>5</v>
      </c>
      <c r="G124">
        <v>126.8</v>
      </c>
      <c r="H124">
        <v>139.1</v>
      </c>
      <c r="I124">
        <v>125.4</v>
      </c>
      <c r="J124">
        <v>131.69999999999999</v>
      </c>
      <c r="K124">
        <v>115</v>
      </c>
      <c r="L124">
        <v>136</v>
      </c>
      <c r="M124">
        <v>145.1</v>
      </c>
      <c r="N124">
        <v>171.7</v>
      </c>
      <c r="O124">
        <v>108.7</v>
      </c>
      <c r="P124">
        <v>135.30000000000001</v>
      </c>
      <c r="Q124">
        <v>124.2</v>
      </c>
      <c r="R124">
        <v>137.4</v>
      </c>
      <c r="S124">
        <v>134</v>
      </c>
      <c r="T124">
        <v>137.69999999999999</v>
      </c>
      <c r="U124">
        <v>132.19999999999999</v>
      </c>
      <c r="V124">
        <v>126.8</v>
      </c>
      <c r="W124">
        <v>131.4</v>
      </c>
      <c r="X124">
        <v>126</v>
      </c>
      <c r="Y124">
        <v>122.7</v>
      </c>
      <c r="Z124">
        <v>126</v>
      </c>
      <c r="AA124">
        <v>123.7</v>
      </c>
      <c r="AB124">
        <v>112.8</v>
      </c>
      <c r="AC124">
        <v>121.5</v>
      </c>
      <c r="AD124">
        <v>128.5</v>
      </c>
      <c r="AE124">
        <v>119.2</v>
      </c>
      <c r="AF124">
        <v>120.7</v>
      </c>
      <c r="AG124">
        <v>128.6</v>
      </c>
      <c r="AH124">
        <f t="shared" si="10"/>
        <v>1730.4</v>
      </c>
      <c r="AI124">
        <f t="shared" si="11"/>
        <v>122.7</v>
      </c>
      <c r="AJ124">
        <f t="shared" si="12"/>
        <v>112.8</v>
      </c>
      <c r="AK124">
        <f t="shared" si="13"/>
        <v>128.5</v>
      </c>
      <c r="AL124">
        <f t="shared" si="14"/>
        <v>1265.2000000000003</v>
      </c>
      <c r="AM124" t="str">
        <f t="shared" si="15"/>
        <v>No</v>
      </c>
    </row>
    <row r="125" spans="1:39" x14ac:dyDescent="0.3">
      <c r="A125" t="s">
        <v>30</v>
      </c>
      <c r="B125" s="28">
        <f t="shared" si="8"/>
        <v>42522</v>
      </c>
      <c r="C125">
        <v>2016</v>
      </c>
      <c r="D125" t="s">
        <v>38</v>
      </c>
      <c r="E125" t="str">
        <f t="shared" si="9"/>
        <v>Jun-16</v>
      </c>
      <c r="F125">
        <f>VLOOKUP(D125,'Problem Statement 4'!$G$2:$H$13,2,0)</f>
        <v>6</v>
      </c>
      <c r="G125">
        <v>128.6</v>
      </c>
      <c r="H125">
        <v>138.6</v>
      </c>
      <c r="I125">
        <v>126.6</v>
      </c>
      <c r="J125">
        <v>133.6</v>
      </c>
      <c r="K125">
        <v>118.6</v>
      </c>
      <c r="L125">
        <v>137.4</v>
      </c>
      <c r="M125">
        <v>152.5</v>
      </c>
      <c r="N125">
        <v>169.2</v>
      </c>
      <c r="O125">
        <v>108.8</v>
      </c>
      <c r="P125">
        <v>133.1</v>
      </c>
      <c r="Q125">
        <v>126.4</v>
      </c>
      <c r="R125">
        <v>139.19999999999999</v>
      </c>
      <c r="S125">
        <v>136</v>
      </c>
      <c r="T125">
        <v>137.19999999999999</v>
      </c>
      <c r="U125">
        <v>136.30000000000001</v>
      </c>
      <c r="V125">
        <v>131.6</v>
      </c>
      <c r="W125">
        <v>135.6</v>
      </c>
      <c r="X125">
        <v>125.5</v>
      </c>
      <c r="Y125">
        <v>128</v>
      </c>
      <c r="Z125">
        <v>129.30000000000001</v>
      </c>
      <c r="AA125">
        <v>126.2</v>
      </c>
      <c r="AB125">
        <v>116.3</v>
      </c>
      <c r="AC125">
        <v>124.1</v>
      </c>
      <c r="AD125">
        <v>130.19999999999999</v>
      </c>
      <c r="AE125">
        <v>119.9</v>
      </c>
      <c r="AF125">
        <v>123.3</v>
      </c>
      <c r="AG125">
        <v>131.9</v>
      </c>
      <c r="AH125">
        <f t="shared" si="10"/>
        <v>1748.6</v>
      </c>
      <c r="AI125">
        <f t="shared" si="11"/>
        <v>128</v>
      </c>
      <c r="AJ125">
        <f t="shared" si="12"/>
        <v>116.3</v>
      </c>
      <c r="AK125">
        <f t="shared" si="13"/>
        <v>130.19999999999999</v>
      </c>
      <c r="AL125">
        <f t="shared" si="14"/>
        <v>1289</v>
      </c>
      <c r="AM125" t="str">
        <f t="shared" si="15"/>
        <v>No</v>
      </c>
    </row>
    <row r="126" spans="1:39" x14ac:dyDescent="0.3">
      <c r="A126" t="s">
        <v>32</v>
      </c>
      <c r="B126" s="28">
        <f t="shared" si="8"/>
        <v>42522</v>
      </c>
      <c r="C126">
        <v>2016</v>
      </c>
      <c r="D126" t="s">
        <v>38</v>
      </c>
      <c r="E126" t="str">
        <f t="shared" si="9"/>
        <v>Jun-16</v>
      </c>
      <c r="F126">
        <f>VLOOKUP(D126,'Problem Statement 4'!$G$2:$H$13,2,0)</f>
        <v>6</v>
      </c>
      <c r="G126">
        <v>125.9</v>
      </c>
      <c r="H126">
        <v>143.9</v>
      </c>
      <c r="I126">
        <v>130.9</v>
      </c>
      <c r="J126">
        <v>131</v>
      </c>
      <c r="K126">
        <v>110.2</v>
      </c>
      <c r="L126">
        <v>135.5</v>
      </c>
      <c r="M126">
        <v>173.7</v>
      </c>
      <c r="N126">
        <v>184.4</v>
      </c>
      <c r="O126">
        <v>112</v>
      </c>
      <c r="P126">
        <v>142.80000000000001</v>
      </c>
      <c r="Q126">
        <v>121.6</v>
      </c>
      <c r="R126">
        <v>136.9</v>
      </c>
      <c r="S126">
        <v>138.19999999999999</v>
      </c>
      <c r="T126">
        <v>142.69999999999999</v>
      </c>
      <c r="U126">
        <v>127.6</v>
      </c>
      <c r="V126">
        <v>121.1</v>
      </c>
      <c r="W126">
        <v>126.6</v>
      </c>
      <c r="X126">
        <v>125.5</v>
      </c>
      <c r="Y126">
        <v>115.5</v>
      </c>
      <c r="Z126">
        <v>123.2</v>
      </c>
      <c r="AA126">
        <v>120.6</v>
      </c>
      <c r="AB126">
        <v>112.3</v>
      </c>
      <c r="AC126">
        <v>119.9</v>
      </c>
      <c r="AD126">
        <v>129.30000000000001</v>
      </c>
      <c r="AE126">
        <v>118.8</v>
      </c>
      <c r="AF126">
        <v>119.6</v>
      </c>
      <c r="AG126">
        <v>128.1</v>
      </c>
      <c r="AH126">
        <f t="shared" si="10"/>
        <v>1787.0000000000002</v>
      </c>
      <c r="AI126">
        <f t="shared" si="11"/>
        <v>115.5</v>
      </c>
      <c r="AJ126">
        <f t="shared" si="12"/>
        <v>112.3</v>
      </c>
      <c r="AK126">
        <f t="shared" si="13"/>
        <v>129.30000000000001</v>
      </c>
      <c r="AL126">
        <f t="shared" si="14"/>
        <v>1245.5999999999999</v>
      </c>
      <c r="AM126" t="str">
        <f t="shared" si="15"/>
        <v>No</v>
      </c>
    </row>
    <row r="127" spans="1:39" x14ac:dyDescent="0.3">
      <c r="A127" t="s">
        <v>33</v>
      </c>
      <c r="B127" s="28">
        <f t="shared" si="8"/>
        <v>42522</v>
      </c>
      <c r="C127">
        <v>2016</v>
      </c>
      <c r="D127" t="s">
        <v>38</v>
      </c>
      <c r="E127" t="str">
        <f t="shared" si="9"/>
        <v>Jun-16</v>
      </c>
      <c r="F127">
        <f>VLOOKUP(D127,'Problem Statement 4'!$G$2:$H$13,2,0)</f>
        <v>6</v>
      </c>
      <c r="G127">
        <v>127.7</v>
      </c>
      <c r="H127">
        <v>140.5</v>
      </c>
      <c r="I127">
        <v>128.30000000000001</v>
      </c>
      <c r="J127">
        <v>132.6</v>
      </c>
      <c r="K127">
        <v>115.5</v>
      </c>
      <c r="L127">
        <v>136.5</v>
      </c>
      <c r="M127">
        <v>159.69999999999999</v>
      </c>
      <c r="N127">
        <v>174.3</v>
      </c>
      <c r="O127">
        <v>109.9</v>
      </c>
      <c r="P127">
        <v>136.30000000000001</v>
      </c>
      <c r="Q127">
        <v>124.4</v>
      </c>
      <c r="R127">
        <v>138.1</v>
      </c>
      <c r="S127">
        <v>136.80000000000001</v>
      </c>
      <c r="T127">
        <v>138.69999999999999</v>
      </c>
      <c r="U127">
        <v>132.9</v>
      </c>
      <c r="V127">
        <v>127.2</v>
      </c>
      <c r="W127">
        <v>132</v>
      </c>
      <c r="X127">
        <v>125.5</v>
      </c>
      <c r="Y127">
        <v>123.3</v>
      </c>
      <c r="Z127">
        <v>126.4</v>
      </c>
      <c r="AA127">
        <v>124.1</v>
      </c>
      <c r="AB127">
        <v>114.2</v>
      </c>
      <c r="AC127">
        <v>121.7</v>
      </c>
      <c r="AD127">
        <v>129.69999999999999</v>
      </c>
      <c r="AE127">
        <v>119.4</v>
      </c>
      <c r="AF127">
        <v>121.5</v>
      </c>
      <c r="AG127">
        <v>130.1</v>
      </c>
      <c r="AH127">
        <f t="shared" si="10"/>
        <v>1760.6</v>
      </c>
      <c r="AI127">
        <f t="shared" si="11"/>
        <v>123.3</v>
      </c>
      <c r="AJ127">
        <f t="shared" si="12"/>
        <v>114.2</v>
      </c>
      <c r="AK127">
        <f t="shared" si="13"/>
        <v>129.69999999999999</v>
      </c>
      <c r="AL127">
        <f t="shared" si="14"/>
        <v>1269.4000000000001</v>
      </c>
      <c r="AM127" t="str">
        <f t="shared" si="15"/>
        <v>No</v>
      </c>
    </row>
    <row r="128" spans="1:39" x14ac:dyDescent="0.3">
      <c r="A128" t="s">
        <v>30</v>
      </c>
      <c r="B128" s="28">
        <f t="shared" si="8"/>
        <v>42552</v>
      </c>
      <c r="C128">
        <v>2016</v>
      </c>
      <c r="D128" t="s">
        <v>39</v>
      </c>
      <c r="E128" t="str">
        <f t="shared" si="9"/>
        <v>Jul-16</v>
      </c>
      <c r="F128">
        <f>VLOOKUP(D128,'Problem Statement 4'!$G$2:$H$13,2,0)</f>
        <v>7</v>
      </c>
      <c r="G128">
        <v>129.30000000000001</v>
      </c>
      <c r="H128">
        <v>139.5</v>
      </c>
      <c r="I128">
        <v>129.6</v>
      </c>
      <c r="J128">
        <v>134.5</v>
      </c>
      <c r="K128">
        <v>119.5</v>
      </c>
      <c r="L128">
        <v>138.5</v>
      </c>
      <c r="M128">
        <v>158.19999999999999</v>
      </c>
      <c r="N128">
        <v>171.8</v>
      </c>
      <c r="O128">
        <v>110.3</v>
      </c>
      <c r="P128">
        <v>134.30000000000001</v>
      </c>
      <c r="Q128">
        <v>127.3</v>
      </c>
      <c r="R128">
        <v>139.9</v>
      </c>
      <c r="S128">
        <v>137.6</v>
      </c>
      <c r="T128">
        <v>138</v>
      </c>
      <c r="U128">
        <v>137.19999999999999</v>
      </c>
      <c r="V128">
        <v>132.19999999999999</v>
      </c>
      <c r="W128">
        <v>136.5</v>
      </c>
      <c r="X128">
        <v>126.4</v>
      </c>
      <c r="Y128">
        <v>128.19999999999999</v>
      </c>
      <c r="Z128">
        <v>130</v>
      </c>
      <c r="AA128">
        <v>126.7</v>
      </c>
      <c r="AB128">
        <v>116.4</v>
      </c>
      <c r="AC128">
        <v>125.2</v>
      </c>
      <c r="AD128">
        <v>130.80000000000001</v>
      </c>
      <c r="AE128">
        <v>120.9</v>
      </c>
      <c r="AF128">
        <v>123.8</v>
      </c>
      <c r="AG128">
        <v>133</v>
      </c>
      <c r="AH128">
        <f t="shared" si="10"/>
        <v>1770.2999999999997</v>
      </c>
      <c r="AI128">
        <f t="shared" si="11"/>
        <v>128.19999999999999</v>
      </c>
      <c r="AJ128">
        <f t="shared" si="12"/>
        <v>116.4</v>
      </c>
      <c r="AK128">
        <f t="shared" si="13"/>
        <v>130.80000000000001</v>
      </c>
      <c r="AL128">
        <f t="shared" si="14"/>
        <v>1296.9000000000001</v>
      </c>
      <c r="AM128" t="str">
        <f t="shared" si="15"/>
        <v>No</v>
      </c>
    </row>
    <row r="129" spans="1:39" x14ac:dyDescent="0.3">
      <c r="A129" t="s">
        <v>32</v>
      </c>
      <c r="B129" s="28">
        <f t="shared" si="8"/>
        <v>42552</v>
      </c>
      <c r="C129">
        <v>2016</v>
      </c>
      <c r="D129" t="s">
        <v>39</v>
      </c>
      <c r="E129" t="str">
        <f t="shared" si="9"/>
        <v>Jul-16</v>
      </c>
      <c r="F129">
        <f>VLOOKUP(D129,'Problem Statement 4'!$G$2:$H$13,2,0)</f>
        <v>7</v>
      </c>
      <c r="G129">
        <v>126.8</v>
      </c>
      <c r="H129">
        <v>144.19999999999999</v>
      </c>
      <c r="I129">
        <v>136.6</v>
      </c>
      <c r="J129">
        <v>131.80000000000001</v>
      </c>
      <c r="K129">
        <v>111</v>
      </c>
      <c r="L129">
        <v>137</v>
      </c>
      <c r="M129">
        <v>179.5</v>
      </c>
      <c r="N129">
        <v>188.4</v>
      </c>
      <c r="O129">
        <v>113.3</v>
      </c>
      <c r="P129">
        <v>143.9</v>
      </c>
      <c r="Q129">
        <v>121.7</v>
      </c>
      <c r="R129">
        <v>137.5</v>
      </c>
      <c r="S129">
        <v>139.80000000000001</v>
      </c>
      <c r="T129">
        <v>142.9</v>
      </c>
      <c r="U129">
        <v>127.9</v>
      </c>
      <c r="V129">
        <v>121.1</v>
      </c>
      <c r="W129">
        <v>126.9</v>
      </c>
      <c r="X129">
        <v>126.4</v>
      </c>
      <c r="Y129">
        <v>115.5</v>
      </c>
      <c r="Z129">
        <v>123.5</v>
      </c>
      <c r="AA129">
        <v>120.9</v>
      </c>
      <c r="AB129">
        <v>111.7</v>
      </c>
      <c r="AC129">
        <v>120.3</v>
      </c>
      <c r="AD129">
        <v>130.80000000000001</v>
      </c>
      <c r="AE129">
        <v>120</v>
      </c>
      <c r="AF129">
        <v>119.9</v>
      </c>
      <c r="AG129">
        <v>129</v>
      </c>
      <c r="AH129">
        <f t="shared" si="10"/>
        <v>1811.5000000000002</v>
      </c>
      <c r="AI129">
        <f t="shared" si="11"/>
        <v>115.5</v>
      </c>
      <c r="AJ129">
        <f t="shared" si="12"/>
        <v>111.7</v>
      </c>
      <c r="AK129">
        <f t="shared" si="13"/>
        <v>130.80000000000001</v>
      </c>
      <c r="AL129">
        <f t="shared" si="14"/>
        <v>1249.8</v>
      </c>
      <c r="AM129" t="str">
        <f t="shared" si="15"/>
        <v>No</v>
      </c>
    </row>
    <row r="130" spans="1:39" x14ac:dyDescent="0.3">
      <c r="A130" t="s">
        <v>33</v>
      </c>
      <c r="B130" s="28">
        <f t="shared" si="8"/>
        <v>42552</v>
      </c>
      <c r="C130">
        <v>2016</v>
      </c>
      <c r="D130" t="s">
        <v>39</v>
      </c>
      <c r="E130" t="str">
        <f t="shared" si="9"/>
        <v>Jul-16</v>
      </c>
      <c r="F130">
        <f>VLOOKUP(D130,'Problem Statement 4'!$G$2:$H$13,2,0)</f>
        <v>7</v>
      </c>
      <c r="G130">
        <v>128.5</v>
      </c>
      <c r="H130">
        <v>141.19999999999999</v>
      </c>
      <c r="I130">
        <v>132.30000000000001</v>
      </c>
      <c r="J130">
        <v>133.5</v>
      </c>
      <c r="K130">
        <v>116.4</v>
      </c>
      <c r="L130">
        <v>137.80000000000001</v>
      </c>
      <c r="M130">
        <v>165.4</v>
      </c>
      <c r="N130">
        <v>177.4</v>
      </c>
      <c r="O130">
        <v>111.3</v>
      </c>
      <c r="P130">
        <v>137.5</v>
      </c>
      <c r="Q130">
        <v>125</v>
      </c>
      <c r="R130">
        <v>138.80000000000001</v>
      </c>
      <c r="S130">
        <v>138.4</v>
      </c>
      <c r="T130">
        <v>139.30000000000001</v>
      </c>
      <c r="U130">
        <v>133.5</v>
      </c>
      <c r="V130">
        <v>127.6</v>
      </c>
      <c r="W130">
        <v>132.69999999999999</v>
      </c>
      <c r="X130">
        <v>126.4</v>
      </c>
      <c r="Y130">
        <v>123.4</v>
      </c>
      <c r="Z130">
        <v>126.9</v>
      </c>
      <c r="AA130">
        <v>124.5</v>
      </c>
      <c r="AB130">
        <v>113.9</v>
      </c>
      <c r="AC130">
        <v>122.4</v>
      </c>
      <c r="AD130">
        <v>130.80000000000001</v>
      </c>
      <c r="AE130">
        <v>120.5</v>
      </c>
      <c r="AF130">
        <v>121.9</v>
      </c>
      <c r="AG130">
        <v>131.1</v>
      </c>
      <c r="AH130">
        <f t="shared" si="10"/>
        <v>1783.5</v>
      </c>
      <c r="AI130">
        <f t="shared" si="11"/>
        <v>123.4</v>
      </c>
      <c r="AJ130">
        <f t="shared" si="12"/>
        <v>113.9</v>
      </c>
      <c r="AK130">
        <f t="shared" si="13"/>
        <v>130.80000000000001</v>
      </c>
      <c r="AL130">
        <f t="shared" si="14"/>
        <v>1275.7</v>
      </c>
      <c r="AM130" t="str">
        <f t="shared" si="15"/>
        <v>No</v>
      </c>
    </row>
    <row r="131" spans="1:39" x14ac:dyDescent="0.3">
      <c r="A131" t="s">
        <v>30</v>
      </c>
      <c r="B131" s="28">
        <f t="shared" ref="B131:B194" si="16">DATE(C131,F131,1)</f>
        <v>42583</v>
      </c>
      <c r="C131">
        <v>2016</v>
      </c>
      <c r="D131" t="s">
        <v>40</v>
      </c>
      <c r="E131" t="str">
        <f t="shared" ref="E131:E194" si="17">_xlfn.CONCAT(TEXT(B131,"mmm"),,"-",RIGHT(C131,2))</f>
        <v>Aug-16</v>
      </c>
      <c r="F131">
        <f>VLOOKUP(D131,'Problem Statement 4'!$G$2:$H$13,2,0)</f>
        <v>8</v>
      </c>
      <c r="G131">
        <v>130.1</v>
      </c>
      <c r="H131">
        <v>138.80000000000001</v>
      </c>
      <c r="I131">
        <v>130.30000000000001</v>
      </c>
      <c r="J131">
        <v>135.30000000000001</v>
      </c>
      <c r="K131">
        <v>119.9</v>
      </c>
      <c r="L131">
        <v>140.19999999999999</v>
      </c>
      <c r="M131">
        <v>156.9</v>
      </c>
      <c r="N131">
        <v>172.2</v>
      </c>
      <c r="O131">
        <v>112.1</v>
      </c>
      <c r="P131">
        <v>134.9</v>
      </c>
      <c r="Q131">
        <v>128.1</v>
      </c>
      <c r="R131">
        <v>140.69999999999999</v>
      </c>
      <c r="S131">
        <v>138</v>
      </c>
      <c r="T131">
        <v>138.9</v>
      </c>
      <c r="U131">
        <v>137.80000000000001</v>
      </c>
      <c r="V131">
        <v>133</v>
      </c>
      <c r="W131">
        <v>137.1</v>
      </c>
      <c r="X131">
        <v>127.3</v>
      </c>
      <c r="Y131">
        <v>129.1</v>
      </c>
      <c r="Z131">
        <v>130.6</v>
      </c>
      <c r="AA131">
        <v>127</v>
      </c>
      <c r="AB131">
        <v>116</v>
      </c>
      <c r="AC131">
        <v>125.5</v>
      </c>
      <c r="AD131">
        <v>131.9</v>
      </c>
      <c r="AE131">
        <v>122</v>
      </c>
      <c r="AF131">
        <v>124.2</v>
      </c>
      <c r="AG131">
        <v>133.5</v>
      </c>
      <c r="AH131">
        <f t="shared" ref="AH131:AH194" si="18">SUM(G131:S131)</f>
        <v>1777.4999999999998</v>
      </c>
      <c r="AI131">
        <f t="shared" ref="AI131:AI194" si="19">SUM(Y131)</f>
        <v>129.1</v>
      </c>
      <c r="AJ131">
        <f t="shared" ref="AJ131:AJ194" si="20">SUM(AB131)</f>
        <v>116</v>
      </c>
      <c r="AK131">
        <f t="shared" ref="AK131:AK194" si="21">SUM(AD131)</f>
        <v>131.9</v>
      </c>
      <c r="AL131">
        <f t="shared" ref="AL131:AL194" si="22">SUM(T131:X131,Z131:AA131,AC131,AE131:AF131)</f>
        <v>1303.4000000000001</v>
      </c>
      <c r="AM131" t="str">
        <f t="shared" ref="AM131:AM194" si="23">IF(AND(L131&gt;150,M131&gt;150),"Yes","No")</f>
        <v>No</v>
      </c>
    </row>
    <row r="132" spans="1:39" x14ac:dyDescent="0.3">
      <c r="A132" t="s">
        <v>32</v>
      </c>
      <c r="B132" s="28">
        <f t="shared" si="16"/>
        <v>42583</v>
      </c>
      <c r="C132">
        <v>2016</v>
      </c>
      <c r="D132" t="s">
        <v>40</v>
      </c>
      <c r="E132" t="str">
        <f t="shared" si="17"/>
        <v>Aug-16</v>
      </c>
      <c r="F132">
        <f>VLOOKUP(D132,'Problem Statement 4'!$G$2:$H$13,2,0)</f>
        <v>8</v>
      </c>
      <c r="G132">
        <v>127.6</v>
      </c>
      <c r="H132">
        <v>140.30000000000001</v>
      </c>
      <c r="I132">
        <v>133.69999999999999</v>
      </c>
      <c r="J132">
        <v>132.19999999999999</v>
      </c>
      <c r="K132">
        <v>111.8</v>
      </c>
      <c r="L132">
        <v>135.80000000000001</v>
      </c>
      <c r="M132">
        <v>163.5</v>
      </c>
      <c r="N132">
        <v>182.3</v>
      </c>
      <c r="O132">
        <v>114.6</v>
      </c>
      <c r="P132">
        <v>144.6</v>
      </c>
      <c r="Q132">
        <v>121.9</v>
      </c>
      <c r="R132">
        <v>138.1</v>
      </c>
      <c r="S132">
        <v>137.6</v>
      </c>
      <c r="T132">
        <v>143.6</v>
      </c>
      <c r="U132">
        <v>128.30000000000001</v>
      </c>
      <c r="V132">
        <v>121.4</v>
      </c>
      <c r="W132">
        <v>127.3</v>
      </c>
      <c r="X132">
        <v>127.3</v>
      </c>
      <c r="Y132">
        <v>114.7</v>
      </c>
      <c r="Z132">
        <v>123.9</v>
      </c>
      <c r="AA132">
        <v>121.2</v>
      </c>
      <c r="AB132">
        <v>110.4</v>
      </c>
      <c r="AC132">
        <v>120.6</v>
      </c>
      <c r="AD132">
        <v>131.5</v>
      </c>
      <c r="AE132">
        <v>120.9</v>
      </c>
      <c r="AF132">
        <v>119.9</v>
      </c>
      <c r="AG132">
        <v>128.4</v>
      </c>
      <c r="AH132">
        <f t="shared" si="18"/>
        <v>1783.9999999999995</v>
      </c>
      <c r="AI132">
        <f t="shared" si="19"/>
        <v>114.7</v>
      </c>
      <c r="AJ132">
        <f t="shared" si="20"/>
        <v>110.4</v>
      </c>
      <c r="AK132">
        <f t="shared" si="21"/>
        <v>131.5</v>
      </c>
      <c r="AL132">
        <f t="shared" si="22"/>
        <v>1254.4000000000001</v>
      </c>
      <c r="AM132" t="str">
        <f t="shared" si="23"/>
        <v>No</v>
      </c>
    </row>
    <row r="133" spans="1:39" x14ac:dyDescent="0.3">
      <c r="A133" t="s">
        <v>33</v>
      </c>
      <c r="B133" s="28">
        <f t="shared" si="16"/>
        <v>42583</v>
      </c>
      <c r="C133">
        <v>2016</v>
      </c>
      <c r="D133" t="s">
        <v>40</v>
      </c>
      <c r="E133" t="str">
        <f t="shared" si="17"/>
        <v>Aug-16</v>
      </c>
      <c r="F133">
        <f>VLOOKUP(D133,'Problem Statement 4'!$G$2:$H$13,2,0)</f>
        <v>8</v>
      </c>
      <c r="G133">
        <v>129.30000000000001</v>
      </c>
      <c r="H133">
        <v>139.30000000000001</v>
      </c>
      <c r="I133">
        <v>131.6</v>
      </c>
      <c r="J133">
        <v>134.1</v>
      </c>
      <c r="K133">
        <v>116.9</v>
      </c>
      <c r="L133">
        <v>138.1</v>
      </c>
      <c r="M133">
        <v>159.1</v>
      </c>
      <c r="N133">
        <v>175.6</v>
      </c>
      <c r="O133">
        <v>112.9</v>
      </c>
      <c r="P133">
        <v>138.1</v>
      </c>
      <c r="Q133">
        <v>125.5</v>
      </c>
      <c r="R133">
        <v>139.5</v>
      </c>
      <c r="S133">
        <v>137.9</v>
      </c>
      <c r="T133">
        <v>140.19999999999999</v>
      </c>
      <c r="U133">
        <v>134.1</v>
      </c>
      <c r="V133">
        <v>128.19999999999999</v>
      </c>
      <c r="W133">
        <v>133.19999999999999</v>
      </c>
      <c r="X133">
        <v>127.3</v>
      </c>
      <c r="Y133">
        <v>123.6</v>
      </c>
      <c r="Z133">
        <v>127.4</v>
      </c>
      <c r="AA133">
        <v>124.8</v>
      </c>
      <c r="AB133">
        <v>113.1</v>
      </c>
      <c r="AC133">
        <v>122.7</v>
      </c>
      <c r="AD133">
        <v>131.69999999999999</v>
      </c>
      <c r="AE133">
        <v>121.5</v>
      </c>
      <c r="AF133">
        <v>122.1</v>
      </c>
      <c r="AG133">
        <v>131.1</v>
      </c>
      <c r="AH133">
        <f t="shared" si="18"/>
        <v>1777.9</v>
      </c>
      <c r="AI133">
        <f t="shared" si="19"/>
        <v>123.6</v>
      </c>
      <c r="AJ133">
        <f t="shared" si="20"/>
        <v>113.1</v>
      </c>
      <c r="AK133">
        <f t="shared" si="21"/>
        <v>131.69999999999999</v>
      </c>
      <c r="AL133">
        <f t="shared" si="22"/>
        <v>1281.4999999999998</v>
      </c>
      <c r="AM133" t="str">
        <f t="shared" si="23"/>
        <v>No</v>
      </c>
    </row>
    <row r="134" spans="1:39" x14ac:dyDescent="0.3">
      <c r="A134" t="s">
        <v>30</v>
      </c>
      <c r="B134" s="28">
        <f t="shared" si="16"/>
        <v>42614</v>
      </c>
      <c r="C134">
        <v>2016</v>
      </c>
      <c r="D134" t="s">
        <v>41</v>
      </c>
      <c r="E134" t="str">
        <f t="shared" si="17"/>
        <v>Sep-16</v>
      </c>
      <c r="F134">
        <f>VLOOKUP(D134,'Problem Statement 4'!$G$2:$H$13,2,0)</f>
        <v>9</v>
      </c>
      <c r="G134">
        <v>130.80000000000001</v>
      </c>
      <c r="H134">
        <v>138.19999999999999</v>
      </c>
      <c r="I134">
        <v>130.5</v>
      </c>
      <c r="J134">
        <v>135.5</v>
      </c>
      <c r="K134">
        <v>120.2</v>
      </c>
      <c r="L134">
        <v>139.19999999999999</v>
      </c>
      <c r="M134">
        <v>149.5</v>
      </c>
      <c r="N134">
        <v>170.4</v>
      </c>
      <c r="O134">
        <v>113.1</v>
      </c>
      <c r="P134">
        <v>135.80000000000001</v>
      </c>
      <c r="Q134">
        <v>128.80000000000001</v>
      </c>
      <c r="R134">
        <v>141.5</v>
      </c>
      <c r="S134">
        <v>137.19999999999999</v>
      </c>
      <c r="T134">
        <v>139.9</v>
      </c>
      <c r="U134">
        <v>138.5</v>
      </c>
      <c r="V134">
        <v>133.5</v>
      </c>
      <c r="W134">
        <v>137.80000000000001</v>
      </c>
      <c r="X134">
        <v>127.9</v>
      </c>
      <c r="Y134">
        <v>129.69999999999999</v>
      </c>
      <c r="Z134">
        <v>131.1</v>
      </c>
      <c r="AA134">
        <v>127.8</v>
      </c>
      <c r="AB134">
        <v>117</v>
      </c>
      <c r="AC134">
        <v>125.7</v>
      </c>
      <c r="AD134">
        <v>132.19999999999999</v>
      </c>
      <c r="AE134">
        <v>122.8</v>
      </c>
      <c r="AF134">
        <v>124.9</v>
      </c>
      <c r="AG134">
        <v>133.4</v>
      </c>
      <c r="AH134">
        <f t="shared" si="18"/>
        <v>1770.7</v>
      </c>
      <c r="AI134">
        <f t="shared" si="19"/>
        <v>129.69999999999999</v>
      </c>
      <c r="AJ134">
        <f t="shared" si="20"/>
        <v>117</v>
      </c>
      <c r="AK134">
        <f t="shared" si="21"/>
        <v>132.19999999999999</v>
      </c>
      <c r="AL134">
        <f t="shared" si="22"/>
        <v>1309.9000000000001</v>
      </c>
      <c r="AM134" t="str">
        <f t="shared" si="23"/>
        <v>No</v>
      </c>
    </row>
    <row r="135" spans="1:39" x14ac:dyDescent="0.3">
      <c r="A135" t="s">
        <v>32</v>
      </c>
      <c r="B135" s="28">
        <f t="shared" si="16"/>
        <v>42614</v>
      </c>
      <c r="C135">
        <v>2016</v>
      </c>
      <c r="D135" t="s">
        <v>41</v>
      </c>
      <c r="E135" t="str">
        <f t="shared" si="17"/>
        <v>Sep-16</v>
      </c>
      <c r="F135">
        <f>VLOOKUP(D135,'Problem Statement 4'!$G$2:$H$13,2,0)</f>
        <v>9</v>
      </c>
      <c r="G135">
        <v>128.1</v>
      </c>
      <c r="H135">
        <v>137.69999999999999</v>
      </c>
      <c r="I135">
        <v>130.6</v>
      </c>
      <c r="J135">
        <v>132.6</v>
      </c>
      <c r="K135">
        <v>111.9</v>
      </c>
      <c r="L135">
        <v>132.5</v>
      </c>
      <c r="M135">
        <v>152.9</v>
      </c>
      <c r="N135">
        <v>173.6</v>
      </c>
      <c r="O135">
        <v>115.1</v>
      </c>
      <c r="P135">
        <v>144.80000000000001</v>
      </c>
      <c r="Q135">
        <v>122.1</v>
      </c>
      <c r="R135">
        <v>138.80000000000001</v>
      </c>
      <c r="S135">
        <v>135.69999999999999</v>
      </c>
      <c r="T135">
        <v>143.9</v>
      </c>
      <c r="U135">
        <v>128.69999999999999</v>
      </c>
      <c r="V135">
        <v>121.6</v>
      </c>
      <c r="W135">
        <v>127.7</v>
      </c>
      <c r="X135">
        <v>127.9</v>
      </c>
      <c r="Y135">
        <v>114.8</v>
      </c>
      <c r="Z135">
        <v>124.3</v>
      </c>
      <c r="AA135">
        <v>121.4</v>
      </c>
      <c r="AB135">
        <v>111.8</v>
      </c>
      <c r="AC135">
        <v>120.8</v>
      </c>
      <c r="AD135">
        <v>131.6</v>
      </c>
      <c r="AE135">
        <v>121.2</v>
      </c>
      <c r="AF135">
        <v>120.5</v>
      </c>
      <c r="AG135">
        <v>128</v>
      </c>
      <c r="AH135">
        <f t="shared" si="18"/>
        <v>1756.3999999999996</v>
      </c>
      <c r="AI135">
        <f t="shared" si="19"/>
        <v>114.8</v>
      </c>
      <c r="AJ135">
        <f t="shared" si="20"/>
        <v>111.8</v>
      </c>
      <c r="AK135">
        <f t="shared" si="21"/>
        <v>131.6</v>
      </c>
      <c r="AL135">
        <f t="shared" si="22"/>
        <v>1258</v>
      </c>
      <c r="AM135" t="str">
        <f t="shared" si="23"/>
        <v>No</v>
      </c>
    </row>
    <row r="136" spans="1:39" x14ac:dyDescent="0.3">
      <c r="A136" t="s">
        <v>33</v>
      </c>
      <c r="B136" s="28">
        <f t="shared" si="16"/>
        <v>42614</v>
      </c>
      <c r="C136">
        <v>2016</v>
      </c>
      <c r="D136" t="s">
        <v>41</v>
      </c>
      <c r="E136" t="str">
        <f t="shared" si="17"/>
        <v>Sep-16</v>
      </c>
      <c r="F136">
        <f>VLOOKUP(D136,'Problem Statement 4'!$G$2:$H$13,2,0)</f>
        <v>9</v>
      </c>
      <c r="G136">
        <v>129.9</v>
      </c>
      <c r="H136">
        <v>138</v>
      </c>
      <c r="I136">
        <v>130.5</v>
      </c>
      <c r="J136">
        <v>134.4</v>
      </c>
      <c r="K136">
        <v>117.2</v>
      </c>
      <c r="L136">
        <v>136.1</v>
      </c>
      <c r="M136">
        <v>150.69999999999999</v>
      </c>
      <c r="N136">
        <v>171.5</v>
      </c>
      <c r="O136">
        <v>113.8</v>
      </c>
      <c r="P136">
        <v>138.80000000000001</v>
      </c>
      <c r="Q136">
        <v>126</v>
      </c>
      <c r="R136">
        <v>140.19999999999999</v>
      </c>
      <c r="S136">
        <v>136.6</v>
      </c>
      <c r="T136">
        <v>141</v>
      </c>
      <c r="U136">
        <v>134.6</v>
      </c>
      <c r="V136">
        <v>128.6</v>
      </c>
      <c r="W136">
        <v>133.80000000000001</v>
      </c>
      <c r="X136">
        <v>127.9</v>
      </c>
      <c r="Y136">
        <v>124.1</v>
      </c>
      <c r="Z136">
        <v>127.9</v>
      </c>
      <c r="AA136">
        <v>125.4</v>
      </c>
      <c r="AB136">
        <v>114.3</v>
      </c>
      <c r="AC136">
        <v>122.9</v>
      </c>
      <c r="AD136">
        <v>131.80000000000001</v>
      </c>
      <c r="AE136">
        <v>122.1</v>
      </c>
      <c r="AF136">
        <v>122.8</v>
      </c>
      <c r="AG136">
        <v>130.9</v>
      </c>
      <c r="AH136">
        <f t="shared" si="18"/>
        <v>1763.6999999999998</v>
      </c>
      <c r="AI136">
        <f t="shared" si="19"/>
        <v>124.1</v>
      </c>
      <c r="AJ136">
        <f t="shared" si="20"/>
        <v>114.3</v>
      </c>
      <c r="AK136">
        <f t="shared" si="21"/>
        <v>131.80000000000001</v>
      </c>
      <c r="AL136">
        <f t="shared" si="22"/>
        <v>1286.9999999999998</v>
      </c>
      <c r="AM136" t="str">
        <f t="shared" si="23"/>
        <v>No</v>
      </c>
    </row>
    <row r="137" spans="1:39" x14ac:dyDescent="0.3">
      <c r="A137" t="s">
        <v>30</v>
      </c>
      <c r="B137" s="28">
        <f t="shared" si="16"/>
        <v>42644</v>
      </c>
      <c r="C137">
        <v>2016</v>
      </c>
      <c r="D137" t="s">
        <v>42</v>
      </c>
      <c r="E137" t="str">
        <f t="shared" si="17"/>
        <v>Oct-16</v>
      </c>
      <c r="F137">
        <f>VLOOKUP(D137,'Problem Statement 4'!$G$2:$H$13,2,0)</f>
        <v>10</v>
      </c>
      <c r="G137">
        <v>131.30000000000001</v>
      </c>
      <c r="H137">
        <v>137.6</v>
      </c>
      <c r="I137">
        <v>130.1</v>
      </c>
      <c r="J137">
        <v>136</v>
      </c>
      <c r="K137">
        <v>120.8</v>
      </c>
      <c r="L137">
        <v>138.4</v>
      </c>
      <c r="M137">
        <v>149.19999999999999</v>
      </c>
      <c r="N137">
        <v>170.2</v>
      </c>
      <c r="O137">
        <v>113.4</v>
      </c>
      <c r="P137">
        <v>136.30000000000001</v>
      </c>
      <c r="Q137">
        <v>128.69999999999999</v>
      </c>
      <c r="R137">
        <v>142.4</v>
      </c>
      <c r="S137">
        <v>137.4</v>
      </c>
      <c r="T137">
        <v>140.9</v>
      </c>
      <c r="U137">
        <v>139.6</v>
      </c>
      <c r="V137">
        <v>134.30000000000001</v>
      </c>
      <c r="W137">
        <v>138.80000000000001</v>
      </c>
      <c r="X137">
        <v>128.69999999999999</v>
      </c>
      <c r="Y137">
        <v>129.80000000000001</v>
      </c>
      <c r="Z137">
        <v>131.80000000000001</v>
      </c>
      <c r="AA137">
        <v>128.69999999999999</v>
      </c>
      <c r="AB137">
        <v>117.8</v>
      </c>
      <c r="AC137">
        <v>126.5</v>
      </c>
      <c r="AD137">
        <v>133</v>
      </c>
      <c r="AE137">
        <v>123</v>
      </c>
      <c r="AF137">
        <v>125.7</v>
      </c>
      <c r="AG137">
        <v>133.80000000000001</v>
      </c>
      <c r="AH137">
        <f t="shared" si="18"/>
        <v>1771.8000000000002</v>
      </c>
      <c r="AI137">
        <f t="shared" si="19"/>
        <v>129.80000000000001</v>
      </c>
      <c r="AJ137">
        <f t="shared" si="20"/>
        <v>117.8</v>
      </c>
      <c r="AK137">
        <f t="shared" si="21"/>
        <v>133</v>
      </c>
      <c r="AL137">
        <f t="shared" si="22"/>
        <v>1318</v>
      </c>
      <c r="AM137" t="str">
        <f t="shared" si="23"/>
        <v>No</v>
      </c>
    </row>
    <row r="138" spans="1:39" x14ac:dyDescent="0.3">
      <c r="A138" t="s">
        <v>32</v>
      </c>
      <c r="B138" s="28">
        <f t="shared" si="16"/>
        <v>42644</v>
      </c>
      <c r="C138">
        <v>2016</v>
      </c>
      <c r="D138" t="s">
        <v>42</v>
      </c>
      <c r="E138" t="str">
        <f t="shared" si="17"/>
        <v>Oct-16</v>
      </c>
      <c r="F138">
        <f>VLOOKUP(D138,'Problem Statement 4'!$G$2:$H$13,2,0)</f>
        <v>10</v>
      </c>
      <c r="G138">
        <v>128.69999999999999</v>
      </c>
      <c r="H138">
        <v>138.4</v>
      </c>
      <c r="I138">
        <v>130.30000000000001</v>
      </c>
      <c r="J138">
        <v>132.69999999999999</v>
      </c>
      <c r="K138">
        <v>112.5</v>
      </c>
      <c r="L138">
        <v>130.4</v>
      </c>
      <c r="M138">
        <v>155.1</v>
      </c>
      <c r="N138">
        <v>175.7</v>
      </c>
      <c r="O138">
        <v>115.4</v>
      </c>
      <c r="P138">
        <v>145.30000000000001</v>
      </c>
      <c r="Q138">
        <v>122.5</v>
      </c>
      <c r="R138">
        <v>139.6</v>
      </c>
      <c r="S138">
        <v>136.30000000000001</v>
      </c>
      <c r="T138">
        <v>144.30000000000001</v>
      </c>
      <c r="U138">
        <v>129.1</v>
      </c>
      <c r="V138">
        <v>121.9</v>
      </c>
      <c r="W138">
        <v>128</v>
      </c>
      <c r="X138">
        <v>128.69999999999999</v>
      </c>
      <c r="Y138">
        <v>115.2</v>
      </c>
      <c r="Z138">
        <v>124.5</v>
      </c>
      <c r="AA138">
        <v>121.8</v>
      </c>
      <c r="AB138">
        <v>112.8</v>
      </c>
      <c r="AC138">
        <v>121.2</v>
      </c>
      <c r="AD138">
        <v>131.9</v>
      </c>
      <c r="AE138">
        <v>120.8</v>
      </c>
      <c r="AF138">
        <v>120.9</v>
      </c>
      <c r="AG138">
        <v>128.6</v>
      </c>
      <c r="AH138">
        <f t="shared" si="18"/>
        <v>1762.8999999999999</v>
      </c>
      <c r="AI138">
        <f t="shared" si="19"/>
        <v>115.2</v>
      </c>
      <c r="AJ138">
        <f t="shared" si="20"/>
        <v>112.8</v>
      </c>
      <c r="AK138">
        <f t="shared" si="21"/>
        <v>131.9</v>
      </c>
      <c r="AL138">
        <f t="shared" si="22"/>
        <v>1261.2</v>
      </c>
      <c r="AM138" t="str">
        <f t="shared" si="23"/>
        <v>No</v>
      </c>
    </row>
    <row r="139" spans="1:39" x14ac:dyDescent="0.3">
      <c r="A139" t="s">
        <v>33</v>
      </c>
      <c r="B139" s="28">
        <f t="shared" si="16"/>
        <v>42644</v>
      </c>
      <c r="C139">
        <v>2016</v>
      </c>
      <c r="D139" t="s">
        <v>42</v>
      </c>
      <c r="E139" t="str">
        <f t="shared" si="17"/>
        <v>Oct-16</v>
      </c>
      <c r="F139">
        <f>VLOOKUP(D139,'Problem Statement 4'!$G$2:$H$13,2,0)</f>
        <v>10</v>
      </c>
      <c r="G139">
        <v>130.5</v>
      </c>
      <c r="H139">
        <v>137.9</v>
      </c>
      <c r="I139">
        <v>130.19999999999999</v>
      </c>
      <c r="J139">
        <v>134.80000000000001</v>
      </c>
      <c r="K139">
        <v>117.8</v>
      </c>
      <c r="L139">
        <v>134.69999999999999</v>
      </c>
      <c r="M139">
        <v>151.19999999999999</v>
      </c>
      <c r="N139">
        <v>172.1</v>
      </c>
      <c r="O139">
        <v>114.1</v>
      </c>
      <c r="P139">
        <v>139.30000000000001</v>
      </c>
      <c r="Q139">
        <v>126.1</v>
      </c>
      <c r="R139">
        <v>141.1</v>
      </c>
      <c r="S139">
        <v>137</v>
      </c>
      <c r="T139">
        <v>141.80000000000001</v>
      </c>
      <c r="U139">
        <v>135.5</v>
      </c>
      <c r="V139">
        <v>129.1</v>
      </c>
      <c r="W139">
        <v>134.5</v>
      </c>
      <c r="X139">
        <v>128.69999999999999</v>
      </c>
      <c r="Y139">
        <v>124.3</v>
      </c>
      <c r="Z139">
        <v>128.4</v>
      </c>
      <c r="AA139">
        <v>126.1</v>
      </c>
      <c r="AB139">
        <v>115.2</v>
      </c>
      <c r="AC139">
        <v>123.5</v>
      </c>
      <c r="AD139">
        <v>132.4</v>
      </c>
      <c r="AE139">
        <v>122.1</v>
      </c>
      <c r="AF139">
        <v>123.4</v>
      </c>
      <c r="AG139">
        <v>131.4</v>
      </c>
      <c r="AH139">
        <f t="shared" si="18"/>
        <v>1766.7999999999995</v>
      </c>
      <c r="AI139">
        <f t="shared" si="19"/>
        <v>124.3</v>
      </c>
      <c r="AJ139">
        <f t="shared" si="20"/>
        <v>115.2</v>
      </c>
      <c r="AK139">
        <f t="shared" si="21"/>
        <v>132.4</v>
      </c>
      <c r="AL139">
        <f t="shared" si="22"/>
        <v>1293.0999999999999</v>
      </c>
      <c r="AM139" t="str">
        <f t="shared" si="23"/>
        <v>No</v>
      </c>
    </row>
    <row r="140" spans="1:39" x14ac:dyDescent="0.3">
      <c r="A140" t="s">
        <v>30</v>
      </c>
      <c r="B140" s="28">
        <f t="shared" si="16"/>
        <v>42675</v>
      </c>
      <c r="C140">
        <v>2016</v>
      </c>
      <c r="D140" t="s">
        <v>44</v>
      </c>
      <c r="E140" t="str">
        <f t="shared" si="17"/>
        <v>Nov-16</v>
      </c>
      <c r="F140">
        <f>VLOOKUP(D140,'Problem Statement 4'!$G$2:$H$13,2,0)</f>
        <v>11</v>
      </c>
      <c r="G140">
        <v>132</v>
      </c>
      <c r="H140">
        <v>137.4</v>
      </c>
      <c r="I140">
        <v>130.6</v>
      </c>
      <c r="J140">
        <v>136.19999999999999</v>
      </c>
      <c r="K140">
        <v>121.1</v>
      </c>
      <c r="L140">
        <v>136.9</v>
      </c>
      <c r="M140">
        <v>141.80000000000001</v>
      </c>
      <c r="N140">
        <v>170</v>
      </c>
      <c r="O140">
        <v>113.4</v>
      </c>
      <c r="P140">
        <v>136.80000000000001</v>
      </c>
      <c r="Q140">
        <v>128.69999999999999</v>
      </c>
      <c r="R140">
        <v>143.1</v>
      </c>
      <c r="S140">
        <v>136.6</v>
      </c>
      <c r="T140">
        <v>141.19999999999999</v>
      </c>
      <c r="U140">
        <v>139.9</v>
      </c>
      <c r="V140">
        <v>134.5</v>
      </c>
      <c r="W140">
        <v>139.19999999999999</v>
      </c>
      <c r="X140">
        <v>129.1</v>
      </c>
      <c r="Y140">
        <v>130.30000000000001</v>
      </c>
      <c r="Z140">
        <v>132.1</v>
      </c>
      <c r="AA140">
        <v>129.1</v>
      </c>
      <c r="AB140">
        <v>118.2</v>
      </c>
      <c r="AC140">
        <v>126.9</v>
      </c>
      <c r="AD140">
        <v>133.69999999999999</v>
      </c>
      <c r="AE140">
        <v>123.5</v>
      </c>
      <c r="AF140">
        <v>126.1</v>
      </c>
      <c r="AG140">
        <v>133.6</v>
      </c>
      <c r="AH140">
        <f t="shared" si="18"/>
        <v>1764.6</v>
      </c>
      <c r="AI140">
        <f t="shared" si="19"/>
        <v>130.30000000000001</v>
      </c>
      <c r="AJ140">
        <f t="shared" si="20"/>
        <v>118.2</v>
      </c>
      <c r="AK140">
        <f t="shared" si="21"/>
        <v>133.69999999999999</v>
      </c>
      <c r="AL140">
        <f t="shared" si="22"/>
        <v>1321.6</v>
      </c>
      <c r="AM140" t="str">
        <f t="shared" si="23"/>
        <v>No</v>
      </c>
    </row>
    <row r="141" spans="1:39" x14ac:dyDescent="0.3">
      <c r="A141" t="s">
        <v>32</v>
      </c>
      <c r="B141" s="28">
        <f t="shared" si="16"/>
        <v>42675</v>
      </c>
      <c r="C141">
        <v>2016</v>
      </c>
      <c r="D141" t="s">
        <v>44</v>
      </c>
      <c r="E141" t="str">
        <f t="shared" si="17"/>
        <v>Nov-16</v>
      </c>
      <c r="F141">
        <f>VLOOKUP(D141,'Problem Statement 4'!$G$2:$H$13,2,0)</f>
        <v>11</v>
      </c>
      <c r="G141">
        <v>130.19999999999999</v>
      </c>
      <c r="H141">
        <v>138.5</v>
      </c>
      <c r="I141">
        <v>134.1</v>
      </c>
      <c r="J141">
        <v>132.9</v>
      </c>
      <c r="K141">
        <v>112.6</v>
      </c>
      <c r="L141">
        <v>130.80000000000001</v>
      </c>
      <c r="M141">
        <v>142</v>
      </c>
      <c r="N141">
        <v>174.9</v>
      </c>
      <c r="O141">
        <v>115.6</v>
      </c>
      <c r="P141">
        <v>145.4</v>
      </c>
      <c r="Q141">
        <v>122.7</v>
      </c>
      <c r="R141">
        <v>140.30000000000001</v>
      </c>
      <c r="S141">
        <v>135.19999999999999</v>
      </c>
      <c r="T141">
        <v>144.30000000000001</v>
      </c>
      <c r="U141">
        <v>129.6</v>
      </c>
      <c r="V141">
        <v>122.1</v>
      </c>
      <c r="W141">
        <v>128.5</v>
      </c>
      <c r="X141">
        <v>129.1</v>
      </c>
      <c r="Y141">
        <v>116.2</v>
      </c>
      <c r="Z141">
        <v>124.7</v>
      </c>
      <c r="AA141">
        <v>122.1</v>
      </c>
      <c r="AB141">
        <v>113.4</v>
      </c>
      <c r="AC141">
        <v>121.7</v>
      </c>
      <c r="AD141">
        <v>132.1</v>
      </c>
      <c r="AE141">
        <v>121.3</v>
      </c>
      <c r="AF141">
        <v>121.3</v>
      </c>
      <c r="AG141">
        <v>128.5</v>
      </c>
      <c r="AH141">
        <f t="shared" si="18"/>
        <v>1755.2</v>
      </c>
      <c r="AI141">
        <f t="shared" si="19"/>
        <v>116.2</v>
      </c>
      <c r="AJ141">
        <f t="shared" si="20"/>
        <v>113.4</v>
      </c>
      <c r="AK141">
        <f t="shared" si="21"/>
        <v>132.1</v>
      </c>
      <c r="AL141">
        <f t="shared" si="22"/>
        <v>1264.7</v>
      </c>
      <c r="AM141" t="str">
        <f t="shared" si="23"/>
        <v>No</v>
      </c>
    </row>
    <row r="142" spans="1:39" x14ac:dyDescent="0.3">
      <c r="A142" t="s">
        <v>33</v>
      </c>
      <c r="B142" s="28">
        <f t="shared" si="16"/>
        <v>42675</v>
      </c>
      <c r="C142">
        <v>2016</v>
      </c>
      <c r="D142" t="s">
        <v>44</v>
      </c>
      <c r="E142" t="str">
        <f t="shared" si="17"/>
        <v>Nov-16</v>
      </c>
      <c r="F142">
        <f>VLOOKUP(D142,'Problem Statement 4'!$G$2:$H$13,2,0)</f>
        <v>11</v>
      </c>
      <c r="G142">
        <v>131.4</v>
      </c>
      <c r="H142">
        <v>137.80000000000001</v>
      </c>
      <c r="I142">
        <v>132</v>
      </c>
      <c r="J142">
        <v>135</v>
      </c>
      <c r="K142">
        <v>118</v>
      </c>
      <c r="L142">
        <v>134.1</v>
      </c>
      <c r="M142">
        <v>141.9</v>
      </c>
      <c r="N142">
        <v>171.7</v>
      </c>
      <c r="O142">
        <v>114.1</v>
      </c>
      <c r="P142">
        <v>139.69999999999999</v>
      </c>
      <c r="Q142">
        <v>126.2</v>
      </c>
      <c r="R142">
        <v>141.80000000000001</v>
      </c>
      <c r="S142">
        <v>136.1</v>
      </c>
      <c r="T142">
        <v>142</v>
      </c>
      <c r="U142">
        <v>135.80000000000001</v>
      </c>
      <c r="V142">
        <v>129.30000000000001</v>
      </c>
      <c r="W142">
        <v>135</v>
      </c>
      <c r="X142">
        <v>129.1</v>
      </c>
      <c r="Y142">
        <v>125</v>
      </c>
      <c r="Z142">
        <v>128.6</v>
      </c>
      <c r="AA142">
        <v>126.4</v>
      </c>
      <c r="AB142">
        <v>115.7</v>
      </c>
      <c r="AC142">
        <v>124</v>
      </c>
      <c r="AD142">
        <v>132.80000000000001</v>
      </c>
      <c r="AE142">
        <v>122.6</v>
      </c>
      <c r="AF142">
        <v>123.8</v>
      </c>
      <c r="AG142">
        <v>131.19999999999999</v>
      </c>
      <c r="AH142">
        <f t="shared" si="18"/>
        <v>1759.8</v>
      </c>
      <c r="AI142">
        <f t="shared" si="19"/>
        <v>125</v>
      </c>
      <c r="AJ142">
        <f t="shared" si="20"/>
        <v>115.7</v>
      </c>
      <c r="AK142">
        <f t="shared" si="21"/>
        <v>132.80000000000001</v>
      </c>
      <c r="AL142">
        <f t="shared" si="22"/>
        <v>1296.5999999999999</v>
      </c>
      <c r="AM142" t="str">
        <f t="shared" si="23"/>
        <v>No</v>
      </c>
    </row>
    <row r="143" spans="1:39" x14ac:dyDescent="0.3">
      <c r="A143" t="s">
        <v>30</v>
      </c>
      <c r="B143" s="28">
        <f t="shared" si="16"/>
        <v>42705</v>
      </c>
      <c r="C143">
        <v>2016</v>
      </c>
      <c r="D143" t="s">
        <v>45</v>
      </c>
      <c r="E143" t="str">
        <f t="shared" si="17"/>
        <v>Dec-16</v>
      </c>
      <c r="F143">
        <f>VLOOKUP(D143,'Problem Statement 4'!$G$2:$H$13,2,0)</f>
        <v>12</v>
      </c>
      <c r="G143">
        <v>132.6</v>
      </c>
      <c r="H143">
        <v>137.30000000000001</v>
      </c>
      <c r="I143">
        <v>131.6</v>
      </c>
      <c r="J143">
        <v>136.30000000000001</v>
      </c>
      <c r="K143">
        <v>121.6</v>
      </c>
      <c r="L143">
        <v>135.6</v>
      </c>
      <c r="M143">
        <v>127.5</v>
      </c>
      <c r="N143">
        <v>167.9</v>
      </c>
      <c r="O143">
        <v>113.8</v>
      </c>
      <c r="P143">
        <v>137.5</v>
      </c>
      <c r="Q143">
        <v>129.1</v>
      </c>
      <c r="R143">
        <v>143.6</v>
      </c>
      <c r="S143">
        <v>134.69999999999999</v>
      </c>
      <c r="T143">
        <v>142.4</v>
      </c>
      <c r="U143">
        <v>140.4</v>
      </c>
      <c r="V143">
        <v>135.19999999999999</v>
      </c>
      <c r="W143">
        <v>139.69999999999999</v>
      </c>
      <c r="X143">
        <v>128.5</v>
      </c>
      <c r="Y143">
        <v>132</v>
      </c>
      <c r="Z143">
        <v>132.9</v>
      </c>
      <c r="AA143">
        <v>129.69999999999999</v>
      </c>
      <c r="AB143">
        <v>118.6</v>
      </c>
      <c r="AC143">
        <v>127.3</v>
      </c>
      <c r="AD143">
        <v>134.19999999999999</v>
      </c>
      <c r="AE143">
        <v>121.9</v>
      </c>
      <c r="AF143">
        <v>126.3</v>
      </c>
      <c r="AG143">
        <v>132.80000000000001</v>
      </c>
      <c r="AH143">
        <f t="shared" si="18"/>
        <v>1749.1</v>
      </c>
      <c r="AI143">
        <f t="shared" si="19"/>
        <v>132</v>
      </c>
      <c r="AJ143">
        <f t="shared" si="20"/>
        <v>118.6</v>
      </c>
      <c r="AK143">
        <f t="shared" si="21"/>
        <v>134.19999999999999</v>
      </c>
      <c r="AL143">
        <f t="shared" si="22"/>
        <v>1324.3</v>
      </c>
      <c r="AM143" t="str">
        <f t="shared" si="23"/>
        <v>No</v>
      </c>
    </row>
    <row r="144" spans="1:39" x14ac:dyDescent="0.3">
      <c r="A144" t="s">
        <v>32</v>
      </c>
      <c r="B144" s="28">
        <f t="shared" si="16"/>
        <v>42705</v>
      </c>
      <c r="C144">
        <v>2016</v>
      </c>
      <c r="D144" t="s">
        <v>45</v>
      </c>
      <c r="E144" t="str">
        <f t="shared" si="17"/>
        <v>Dec-16</v>
      </c>
      <c r="F144">
        <f>VLOOKUP(D144,'Problem Statement 4'!$G$2:$H$13,2,0)</f>
        <v>12</v>
      </c>
      <c r="G144">
        <v>131.6</v>
      </c>
      <c r="H144">
        <v>138.19999999999999</v>
      </c>
      <c r="I144">
        <v>134.9</v>
      </c>
      <c r="J144">
        <v>133.1</v>
      </c>
      <c r="K144">
        <v>113.5</v>
      </c>
      <c r="L144">
        <v>129.30000000000001</v>
      </c>
      <c r="M144">
        <v>121.1</v>
      </c>
      <c r="N144">
        <v>170.3</v>
      </c>
      <c r="O144">
        <v>115.5</v>
      </c>
      <c r="P144">
        <v>145.5</v>
      </c>
      <c r="Q144">
        <v>123.1</v>
      </c>
      <c r="R144">
        <v>140.9</v>
      </c>
      <c r="S144">
        <v>132.80000000000001</v>
      </c>
      <c r="T144">
        <v>145</v>
      </c>
      <c r="U144">
        <v>130</v>
      </c>
      <c r="V144">
        <v>122.2</v>
      </c>
      <c r="W144">
        <v>128.80000000000001</v>
      </c>
      <c r="X144">
        <v>128.5</v>
      </c>
      <c r="Y144">
        <v>117.8</v>
      </c>
      <c r="Z144">
        <v>125</v>
      </c>
      <c r="AA144">
        <v>122.3</v>
      </c>
      <c r="AB144">
        <v>113.7</v>
      </c>
      <c r="AC144">
        <v>121.8</v>
      </c>
      <c r="AD144">
        <v>132.30000000000001</v>
      </c>
      <c r="AE144">
        <v>119.9</v>
      </c>
      <c r="AF144">
        <v>121.4</v>
      </c>
      <c r="AG144">
        <v>127.6</v>
      </c>
      <c r="AH144">
        <f t="shared" si="18"/>
        <v>1729.8</v>
      </c>
      <c r="AI144">
        <f t="shared" si="19"/>
        <v>117.8</v>
      </c>
      <c r="AJ144">
        <f t="shared" si="20"/>
        <v>113.7</v>
      </c>
      <c r="AK144">
        <f t="shared" si="21"/>
        <v>132.30000000000001</v>
      </c>
      <c r="AL144">
        <f t="shared" si="22"/>
        <v>1264.9000000000001</v>
      </c>
      <c r="AM144" t="str">
        <f t="shared" si="23"/>
        <v>No</v>
      </c>
    </row>
    <row r="145" spans="1:39" x14ac:dyDescent="0.3">
      <c r="A145" t="s">
        <v>33</v>
      </c>
      <c r="B145" s="28">
        <f t="shared" si="16"/>
        <v>42705</v>
      </c>
      <c r="C145">
        <v>2016</v>
      </c>
      <c r="D145" t="s">
        <v>45</v>
      </c>
      <c r="E145" t="str">
        <f t="shared" si="17"/>
        <v>Dec-16</v>
      </c>
      <c r="F145">
        <f>VLOOKUP(D145,'Problem Statement 4'!$G$2:$H$13,2,0)</f>
        <v>12</v>
      </c>
      <c r="G145">
        <v>132.30000000000001</v>
      </c>
      <c r="H145">
        <v>137.6</v>
      </c>
      <c r="I145">
        <v>132.9</v>
      </c>
      <c r="J145">
        <v>135.1</v>
      </c>
      <c r="K145">
        <v>118.6</v>
      </c>
      <c r="L145">
        <v>132.69999999999999</v>
      </c>
      <c r="M145">
        <v>125.3</v>
      </c>
      <c r="N145">
        <v>168.7</v>
      </c>
      <c r="O145">
        <v>114.4</v>
      </c>
      <c r="P145">
        <v>140.19999999999999</v>
      </c>
      <c r="Q145">
        <v>126.6</v>
      </c>
      <c r="R145">
        <v>142.30000000000001</v>
      </c>
      <c r="S145">
        <v>134</v>
      </c>
      <c r="T145">
        <v>143.1</v>
      </c>
      <c r="U145">
        <v>136.30000000000001</v>
      </c>
      <c r="V145">
        <v>129.80000000000001</v>
      </c>
      <c r="W145">
        <v>135.4</v>
      </c>
      <c r="X145">
        <v>128.5</v>
      </c>
      <c r="Y145">
        <v>126.6</v>
      </c>
      <c r="Z145">
        <v>129.19999999999999</v>
      </c>
      <c r="AA145">
        <v>126.9</v>
      </c>
      <c r="AB145">
        <v>116</v>
      </c>
      <c r="AC145">
        <v>124.2</v>
      </c>
      <c r="AD145">
        <v>133.1</v>
      </c>
      <c r="AE145">
        <v>121.1</v>
      </c>
      <c r="AF145">
        <v>123.9</v>
      </c>
      <c r="AG145">
        <v>130.4</v>
      </c>
      <c r="AH145">
        <f t="shared" si="18"/>
        <v>1740.7</v>
      </c>
      <c r="AI145">
        <f t="shared" si="19"/>
        <v>126.6</v>
      </c>
      <c r="AJ145">
        <f t="shared" si="20"/>
        <v>116</v>
      </c>
      <c r="AK145">
        <f t="shared" si="21"/>
        <v>133.1</v>
      </c>
      <c r="AL145">
        <f t="shared" si="22"/>
        <v>1298.3999999999999</v>
      </c>
      <c r="AM145" t="str">
        <f t="shared" si="23"/>
        <v>No</v>
      </c>
    </row>
    <row r="146" spans="1:39" x14ac:dyDescent="0.3">
      <c r="A146" t="s">
        <v>30</v>
      </c>
      <c r="B146" s="28">
        <f t="shared" si="16"/>
        <v>42736</v>
      </c>
      <c r="C146">
        <v>2017</v>
      </c>
      <c r="D146" t="s">
        <v>31</v>
      </c>
      <c r="E146" t="str">
        <f t="shared" si="17"/>
        <v>Jan-17</v>
      </c>
      <c r="F146">
        <f>VLOOKUP(D146,'Problem Statement 4'!$G$2:$H$13,2,0)</f>
        <v>1</v>
      </c>
      <c r="G146">
        <v>133.1</v>
      </c>
      <c r="H146">
        <v>137.80000000000001</v>
      </c>
      <c r="I146">
        <v>131.9</v>
      </c>
      <c r="J146">
        <v>136.69999999999999</v>
      </c>
      <c r="K146">
        <v>122</v>
      </c>
      <c r="L146">
        <v>136</v>
      </c>
      <c r="M146">
        <v>119.8</v>
      </c>
      <c r="N146">
        <v>161.69999999999999</v>
      </c>
      <c r="O146">
        <v>114.8</v>
      </c>
      <c r="P146">
        <v>136.9</v>
      </c>
      <c r="Q146">
        <v>129</v>
      </c>
      <c r="R146">
        <v>143.9</v>
      </c>
      <c r="S146">
        <v>133.69999999999999</v>
      </c>
      <c r="T146">
        <v>143.1</v>
      </c>
      <c r="U146">
        <v>140.69999999999999</v>
      </c>
      <c r="V146">
        <v>135.80000000000001</v>
      </c>
      <c r="W146">
        <v>140</v>
      </c>
      <c r="X146">
        <v>129.6</v>
      </c>
      <c r="Y146">
        <v>132.1</v>
      </c>
      <c r="Z146">
        <v>133.19999999999999</v>
      </c>
      <c r="AA146">
        <v>129.9</v>
      </c>
      <c r="AB146">
        <v>119.1</v>
      </c>
      <c r="AC146">
        <v>127</v>
      </c>
      <c r="AD146">
        <v>134.6</v>
      </c>
      <c r="AE146">
        <v>122.3</v>
      </c>
      <c r="AF146">
        <v>126.6</v>
      </c>
      <c r="AG146">
        <v>132.4</v>
      </c>
      <c r="AH146">
        <f t="shared" si="18"/>
        <v>1737.3000000000002</v>
      </c>
      <c r="AI146">
        <f t="shared" si="19"/>
        <v>132.1</v>
      </c>
      <c r="AJ146">
        <f t="shared" si="20"/>
        <v>119.1</v>
      </c>
      <c r="AK146">
        <f t="shared" si="21"/>
        <v>134.6</v>
      </c>
      <c r="AL146">
        <f t="shared" si="22"/>
        <v>1328.1999999999996</v>
      </c>
      <c r="AM146" t="str">
        <f t="shared" si="23"/>
        <v>No</v>
      </c>
    </row>
    <row r="147" spans="1:39" x14ac:dyDescent="0.3">
      <c r="A147" t="s">
        <v>32</v>
      </c>
      <c r="B147" s="28">
        <f t="shared" si="16"/>
        <v>42736</v>
      </c>
      <c r="C147">
        <v>2017</v>
      </c>
      <c r="D147" t="s">
        <v>31</v>
      </c>
      <c r="E147" t="str">
        <f t="shared" si="17"/>
        <v>Jan-17</v>
      </c>
      <c r="F147">
        <f>VLOOKUP(D147,'Problem Statement 4'!$G$2:$H$13,2,0)</f>
        <v>1</v>
      </c>
      <c r="G147">
        <v>132.19999999999999</v>
      </c>
      <c r="H147">
        <v>138.9</v>
      </c>
      <c r="I147">
        <v>132.6</v>
      </c>
      <c r="J147">
        <v>133.1</v>
      </c>
      <c r="K147">
        <v>114</v>
      </c>
      <c r="L147">
        <v>129.6</v>
      </c>
      <c r="M147">
        <v>118.7</v>
      </c>
      <c r="N147">
        <v>155.1</v>
      </c>
      <c r="O147">
        <v>117.3</v>
      </c>
      <c r="P147">
        <v>144.9</v>
      </c>
      <c r="Q147">
        <v>123.2</v>
      </c>
      <c r="R147">
        <v>141.6</v>
      </c>
      <c r="S147">
        <v>132</v>
      </c>
      <c r="T147">
        <v>145.6</v>
      </c>
      <c r="U147">
        <v>130.19999999999999</v>
      </c>
      <c r="V147">
        <v>122.3</v>
      </c>
      <c r="W147">
        <v>129</v>
      </c>
      <c r="X147">
        <v>129.6</v>
      </c>
      <c r="Y147">
        <v>118</v>
      </c>
      <c r="Z147">
        <v>125.1</v>
      </c>
      <c r="AA147">
        <v>122.6</v>
      </c>
      <c r="AB147">
        <v>115.2</v>
      </c>
      <c r="AC147">
        <v>122</v>
      </c>
      <c r="AD147">
        <v>132.4</v>
      </c>
      <c r="AE147">
        <v>120.9</v>
      </c>
      <c r="AF147">
        <v>122.1</v>
      </c>
      <c r="AG147">
        <v>127.8</v>
      </c>
      <c r="AH147">
        <f t="shared" si="18"/>
        <v>1713.2</v>
      </c>
      <c r="AI147">
        <f t="shared" si="19"/>
        <v>118</v>
      </c>
      <c r="AJ147">
        <f t="shared" si="20"/>
        <v>115.2</v>
      </c>
      <c r="AK147">
        <f t="shared" si="21"/>
        <v>132.4</v>
      </c>
      <c r="AL147">
        <f t="shared" si="22"/>
        <v>1269.4000000000001</v>
      </c>
      <c r="AM147" t="str">
        <f t="shared" si="23"/>
        <v>No</v>
      </c>
    </row>
    <row r="148" spans="1:39" x14ac:dyDescent="0.3">
      <c r="A148" t="s">
        <v>33</v>
      </c>
      <c r="B148" s="28">
        <f t="shared" si="16"/>
        <v>42736</v>
      </c>
      <c r="C148">
        <v>2017</v>
      </c>
      <c r="D148" t="s">
        <v>31</v>
      </c>
      <c r="E148" t="str">
        <f t="shared" si="17"/>
        <v>Jan-17</v>
      </c>
      <c r="F148">
        <f>VLOOKUP(D148,'Problem Statement 4'!$G$2:$H$13,2,0)</f>
        <v>1</v>
      </c>
      <c r="G148">
        <v>132.80000000000001</v>
      </c>
      <c r="H148">
        <v>138.19999999999999</v>
      </c>
      <c r="I148">
        <v>132.19999999999999</v>
      </c>
      <c r="J148">
        <v>135.4</v>
      </c>
      <c r="K148">
        <v>119.1</v>
      </c>
      <c r="L148">
        <v>133</v>
      </c>
      <c r="M148">
        <v>119.4</v>
      </c>
      <c r="N148">
        <v>159.5</v>
      </c>
      <c r="O148">
        <v>115.6</v>
      </c>
      <c r="P148">
        <v>139.6</v>
      </c>
      <c r="Q148">
        <v>126.6</v>
      </c>
      <c r="R148">
        <v>142.80000000000001</v>
      </c>
      <c r="S148">
        <v>133.1</v>
      </c>
      <c r="T148">
        <v>143.80000000000001</v>
      </c>
      <c r="U148">
        <v>136.6</v>
      </c>
      <c r="V148">
        <v>130.19999999999999</v>
      </c>
      <c r="W148">
        <v>135.6</v>
      </c>
      <c r="X148">
        <v>129.6</v>
      </c>
      <c r="Y148">
        <v>126.8</v>
      </c>
      <c r="Z148">
        <v>129.4</v>
      </c>
      <c r="AA148">
        <v>127.1</v>
      </c>
      <c r="AB148">
        <v>117</v>
      </c>
      <c r="AC148">
        <v>124.2</v>
      </c>
      <c r="AD148">
        <v>133.30000000000001</v>
      </c>
      <c r="AE148">
        <v>121.7</v>
      </c>
      <c r="AF148">
        <v>124.4</v>
      </c>
      <c r="AG148">
        <v>130.30000000000001</v>
      </c>
      <c r="AH148">
        <f t="shared" si="18"/>
        <v>1727.2999999999995</v>
      </c>
      <c r="AI148">
        <f t="shared" si="19"/>
        <v>126.8</v>
      </c>
      <c r="AJ148">
        <f t="shared" si="20"/>
        <v>117</v>
      </c>
      <c r="AK148">
        <f t="shared" si="21"/>
        <v>133.30000000000001</v>
      </c>
      <c r="AL148">
        <f t="shared" si="22"/>
        <v>1302.6000000000001</v>
      </c>
      <c r="AM148" t="str">
        <f t="shared" si="23"/>
        <v>No</v>
      </c>
    </row>
    <row r="149" spans="1:39" x14ac:dyDescent="0.3">
      <c r="A149" t="s">
        <v>30</v>
      </c>
      <c r="B149" s="28">
        <f t="shared" si="16"/>
        <v>42767</v>
      </c>
      <c r="C149">
        <v>2017</v>
      </c>
      <c r="D149" t="s">
        <v>34</v>
      </c>
      <c r="E149" t="str">
        <f t="shared" si="17"/>
        <v>Feb-17</v>
      </c>
      <c r="F149">
        <f>VLOOKUP(D149,'Problem Statement 4'!$G$2:$H$13,2,0)</f>
        <v>2</v>
      </c>
      <c r="G149">
        <v>133.30000000000001</v>
      </c>
      <c r="H149">
        <v>138.30000000000001</v>
      </c>
      <c r="I149">
        <v>129.30000000000001</v>
      </c>
      <c r="J149">
        <v>137.19999999999999</v>
      </c>
      <c r="K149">
        <v>122.1</v>
      </c>
      <c r="L149">
        <v>138.69999999999999</v>
      </c>
      <c r="M149">
        <v>119.1</v>
      </c>
      <c r="N149">
        <v>156.9</v>
      </c>
      <c r="O149">
        <v>116.2</v>
      </c>
      <c r="P149">
        <v>136</v>
      </c>
      <c r="Q149">
        <v>129.4</v>
      </c>
      <c r="R149">
        <v>144.4</v>
      </c>
      <c r="S149">
        <v>133.6</v>
      </c>
      <c r="T149">
        <v>143.69999999999999</v>
      </c>
      <c r="U149">
        <v>140.9</v>
      </c>
      <c r="V149">
        <v>135.80000000000001</v>
      </c>
      <c r="W149">
        <v>140.19999999999999</v>
      </c>
      <c r="X149">
        <v>130.5</v>
      </c>
      <c r="Y149">
        <v>133.19999999999999</v>
      </c>
      <c r="Z149">
        <v>133.6</v>
      </c>
      <c r="AA149">
        <v>130.1</v>
      </c>
      <c r="AB149">
        <v>119.5</v>
      </c>
      <c r="AC149">
        <v>127.7</v>
      </c>
      <c r="AD149">
        <v>134.9</v>
      </c>
      <c r="AE149">
        <v>123.2</v>
      </c>
      <c r="AF149">
        <v>127</v>
      </c>
      <c r="AG149">
        <v>132.6</v>
      </c>
      <c r="AH149">
        <f t="shared" si="18"/>
        <v>1734.5000000000002</v>
      </c>
      <c r="AI149">
        <f t="shared" si="19"/>
        <v>133.19999999999999</v>
      </c>
      <c r="AJ149">
        <f t="shared" si="20"/>
        <v>119.5</v>
      </c>
      <c r="AK149">
        <f t="shared" si="21"/>
        <v>134.9</v>
      </c>
      <c r="AL149">
        <f t="shared" si="22"/>
        <v>1332.7</v>
      </c>
      <c r="AM149" t="str">
        <f t="shared" si="23"/>
        <v>No</v>
      </c>
    </row>
    <row r="150" spans="1:39" x14ac:dyDescent="0.3">
      <c r="A150" t="s">
        <v>32</v>
      </c>
      <c r="B150" s="28">
        <f t="shared" si="16"/>
        <v>42767</v>
      </c>
      <c r="C150">
        <v>2017</v>
      </c>
      <c r="D150" t="s">
        <v>34</v>
      </c>
      <c r="E150" t="str">
        <f t="shared" si="17"/>
        <v>Feb-17</v>
      </c>
      <c r="F150">
        <f>VLOOKUP(D150,'Problem Statement 4'!$G$2:$H$13,2,0)</f>
        <v>2</v>
      </c>
      <c r="G150">
        <v>132.80000000000001</v>
      </c>
      <c r="H150">
        <v>139.80000000000001</v>
      </c>
      <c r="I150">
        <v>129.30000000000001</v>
      </c>
      <c r="J150">
        <v>133.5</v>
      </c>
      <c r="K150">
        <v>114.3</v>
      </c>
      <c r="L150">
        <v>131.4</v>
      </c>
      <c r="M150">
        <v>120.2</v>
      </c>
      <c r="N150">
        <v>143.1</v>
      </c>
      <c r="O150">
        <v>119.5</v>
      </c>
      <c r="P150">
        <v>144</v>
      </c>
      <c r="Q150">
        <v>123.4</v>
      </c>
      <c r="R150">
        <v>141.9</v>
      </c>
      <c r="S150">
        <v>132.1</v>
      </c>
      <c r="T150">
        <v>146.30000000000001</v>
      </c>
      <c r="U150">
        <v>130.5</v>
      </c>
      <c r="V150">
        <v>122.5</v>
      </c>
      <c r="W150">
        <v>129.30000000000001</v>
      </c>
      <c r="X150">
        <v>130.5</v>
      </c>
      <c r="Y150">
        <v>119.2</v>
      </c>
      <c r="Z150">
        <v>125.3</v>
      </c>
      <c r="AA150">
        <v>122.9</v>
      </c>
      <c r="AB150">
        <v>115.5</v>
      </c>
      <c r="AC150">
        <v>122.2</v>
      </c>
      <c r="AD150">
        <v>132.4</v>
      </c>
      <c r="AE150">
        <v>121.7</v>
      </c>
      <c r="AF150">
        <v>122.4</v>
      </c>
      <c r="AG150">
        <v>128.19999999999999</v>
      </c>
      <c r="AH150">
        <f t="shared" si="18"/>
        <v>1705.3000000000002</v>
      </c>
      <c r="AI150">
        <f t="shared" si="19"/>
        <v>119.2</v>
      </c>
      <c r="AJ150">
        <f t="shared" si="20"/>
        <v>115.5</v>
      </c>
      <c r="AK150">
        <f t="shared" si="21"/>
        <v>132.4</v>
      </c>
      <c r="AL150">
        <f t="shared" si="22"/>
        <v>1273.6000000000001</v>
      </c>
      <c r="AM150" t="str">
        <f t="shared" si="23"/>
        <v>No</v>
      </c>
    </row>
    <row r="151" spans="1:39" x14ac:dyDescent="0.3">
      <c r="A151" t="s">
        <v>33</v>
      </c>
      <c r="B151" s="28">
        <f t="shared" si="16"/>
        <v>42767</v>
      </c>
      <c r="C151">
        <v>2017</v>
      </c>
      <c r="D151" t="s">
        <v>34</v>
      </c>
      <c r="E151" t="str">
        <f t="shared" si="17"/>
        <v>Feb-17</v>
      </c>
      <c r="F151">
        <f>VLOOKUP(D151,'Problem Statement 4'!$G$2:$H$13,2,0)</f>
        <v>2</v>
      </c>
      <c r="G151">
        <v>133.1</v>
      </c>
      <c r="H151">
        <v>138.80000000000001</v>
      </c>
      <c r="I151">
        <v>129.30000000000001</v>
      </c>
      <c r="J151">
        <v>135.80000000000001</v>
      </c>
      <c r="K151">
        <v>119.2</v>
      </c>
      <c r="L151">
        <v>135.30000000000001</v>
      </c>
      <c r="M151">
        <v>119.5</v>
      </c>
      <c r="N151">
        <v>152.19999999999999</v>
      </c>
      <c r="O151">
        <v>117.3</v>
      </c>
      <c r="P151">
        <v>138.69999999999999</v>
      </c>
      <c r="Q151">
        <v>126.9</v>
      </c>
      <c r="R151">
        <v>143.19999999999999</v>
      </c>
      <c r="S151">
        <v>133</v>
      </c>
      <c r="T151">
        <v>144.4</v>
      </c>
      <c r="U151">
        <v>136.80000000000001</v>
      </c>
      <c r="V151">
        <v>130.30000000000001</v>
      </c>
      <c r="W151">
        <v>135.9</v>
      </c>
      <c r="X151">
        <v>130.5</v>
      </c>
      <c r="Y151">
        <v>127.9</v>
      </c>
      <c r="Z151">
        <v>129.69999999999999</v>
      </c>
      <c r="AA151">
        <v>127.4</v>
      </c>
      <c r="AB151">
        <v>117.4</v>
      </c>
      <c r="AC151">
        <v>124.6</v>
      </c>
      <c r="AD151">
        <v>133.4</v>
      </c>
      <c r="AE151">
        <v>122.6</v>
      </c>
      <c r="AF151">
        <v>124.8</v>
      </c>
      <c r="AG151">
        <v>130.6</v>
      </c>
      <c r="AH151">
        <f t="shared" si="18"/>
        <v>1722.3000000000002</v>
      </c>
      <c r="AI151">
        <f t="shared" si="19"/>
        <v>127.9</v>
      </c>
      <c r="AJ151">
        <f t="shared" si="20"/>
        <v>117.4</v>
      </c>
      <c r="AK151">
        <f t="shared" si="21"/>
        <v>133.4</v>
      </c>
      <c r="AL151">
        <f t="shared" si="22"/>
        <v>1307</v>
      </c>
      <c r="AM151" t="str">
        <f t="shared" si="23"/>
        <v>No</v>
      </c>
    </row>
    <row r="152" spans="1:39" x14ac:dyDescent="0.3">
      <c r="A152" t="s">
        <v>30</v>
      </c>
      <c r="B152" s="28">
        <f t="shared" si="16"/>
        <v>42795</v>
      </c>
      <c r="C152">
        <v>2017</v>
      </c>
      <c r="D152" t="s">
        <v>35</v>
      </c>
      <c r="E152" t="str">
        <f t="shared" si="17"/>
        <v>Mar-17</v>
      </c>
      <c r="F152">
        <f>VLOOKUP(D152,'Problem Statement 4'!$G$2:$H$13,2,0)</f>
        <v>3</v>
      </c>
      <c r="G152">
        <v>133.6</v>
      </c>
      <c r="H152">
        <v>138.80000000000001</v>
      </c>
      <c r="I152">
        <v>128.80000000000001</v>
      </c>
      <c r="J152">
        <v>137.19999999999999</v>
      </c>
      <c r="K152">
        <v>121.6</v>
      </c>
      <c r="L152">
        <v>139.69999999999999</v>
      </c>
      <c r="M152">
        <v>119.7</v>
      </c>
      <c r="N152">
        <v>148</v>
      </c>
      <c r="O152">
        <v>116.9</v>
      </c>
      <c r="P152">
        <v>135.6</v>
      </c>
      <c r="Q152">
        <v>129.80000000000001</v>
      </c>
      <c r="R152">
        <v>145.4</v>
      </c>
      <c r="S152">
        <v>133.4</v>
      </c>
      <c r="T152">
        <v>144.19999999999999</v>
      </c>
      <c r="U152">
        <v>141.6</v>
      </c>
      <c r="V152">
        <v>136.19999999999999</v>
      </c>
      <c r="W152">
        <v>140.80000000000001</v>
      </c>
      <c r="X152">
        <v>131.1</v>
      </c>
      <c r="Y152">
        <v>134.19999999999999</v>
      </c>
      <c r="Z152">
        <v>134.1</v>
      </c>
      <c r="AA152">
        <v>130.6</v>
      </c>
      <c r="AB152">
        <v>119.8</v>
      </c>
      <c r="AC152">
        <v>128.30000000000001</v>
      </c>
      <c r="AD152">
        <v>135.19999999999999</v>
      </c>
      <c r="AE152">
        <v>123.3</v>
      </c>
      <c r="AF152">
        <v>127.4</v>
      </c>
      <c r="AG152">
        <v>132.80000000000001</v>
      </c>
      <c r="AH152">
        <f t="shared" si="18"/>
        <v>1728.5000000000002</v>
      </c>
      <c r="AI152">
        <f t="shared" si="19"/>
        <v>134.19999999999999</v>
      </c>
      <c r="AJ152">
        <f t="shared" si="20"/>
        <v>119.8</v>
      </c>
      <c r="AK152">
        <f t="shared" si="21"/>
        <v>135.19999999999999</v>
      </c>
      <c r="AL152">
        <f t="shared" si="22"/>
        <v>1337.6000000000001</v>
      </c>
      <c r="AM152" t="str">
        <f t="shared" si="23"/>
        <v>No</v>
      </c>
    </row>
    <row r="153" spans="1:39" x14ac:dyDescent="0.3">
      <c r="A153" t="s">
        <v>32</v>
      </c>
      <c r="B153" s="28">
        <f t="shared" si="16"/>
        <v>42795</v>
      </c>
      <c r="C153">
        <v>2017</v>
      </c>
      <c r="D153" t="s">
        <v>35</v>
      </c>
      <c r="E153" t="str">
        <f t="shared" si="17"/>
        <v>Mar-17</v>
      </c>
      <c r="F153">
        <f>VLOOKUP(D153,'Problem Statement 4'!$G$2:$H$13,2,0)</f>
        <v>3</v>
      </c>
      <c r="G153">
        <v>132.69999999999999</v>
      </c>
      <c r="H153">
        <v>139.4</v>
      </c>
      <c r="I153">
        <v>128.4</v>
      </c>
      <c r="J153">
        <v>134.9</v>
      </c>
      <c r="K153">
        <v>114</v>
      </c>
      <c r="L153">
        <v>136.80000000000001</v>
      </c>
      <c r="M153">
        <v>122.2</v>
      </c>
      <c r="N153">
        <v>135.80000000000001</v>
      </c>
      <c r="O153">
        <v>120.3</v>
      </c>
      <c r="P153">
        <v>142.6</v>
      </c>
      <c r="Q153">
        <v>123.6</v>
      </c>
      <c r="R153">
        <v>142.4</v>
      </c>
      <c r="S153">
        <v>132.6</v>
      </c>
      <c r="T153">
        <v>147.5</v>
      </c>
      <c r="U153">
        <v>130.80000000000001</v>
      </c>
      <c r="V153">
        <v>122.8</v>
      </c>
      <c r="W153">
        <v>129.6</v>
      </c>
      <c r="X153">
        <v>131.1</v>
      </c>
      <c r="Y153">
        <v>120.8</v>
      </c>
      <c r="Z153">
        <v>125.6</v>
      </c>
      <c r="AA153">
        <v>123.1</v>
      </c>
      <c r="AB153">
        <v>115.6</v>
      </c>
      <c r="AC153">
        <v>122.4</v>
      </c>
      <c r="AD153">
        <v>132.80000000000001</v>
      </c>
      <c r="AE153">
        <v>121.7</v>
      </c>
      <c r="AF153">
        <v>122.6</v>
      </c>
      <c r="AG153">
        <v>128.69999999999999</v>
      </c>
      <c r="AH153">
        <f t="shared" si="18"/>
        <v>1705.6999999999998</v>
      </c>
      <c r="AI153">
        <f t="shared" si="19"/>
        <v>120.8</v>
      </c>
      <c r="AJ153">
        <f t="shared" si="20"/>
        <v>115.6</v>
      </c>
      <c r="AK153">
        <f t="shared" si="21"/>
        <v>132.80000000000001</v>
      </c>
      <c r="AL153">
        <f t="shared" si="22"/>
        <v>1277.2</v>
      </c>
      <c r="AM153" t="str">
        <f t="shared" si="23"/>
        <v>No</v>
      </c>
    </row>
    <row r="154" spans="1:39" x14ac:dyDescent="0.3">
      <c r="A154" t="s">
        <v>33</v>
      </c>
      <c r="B154" s="28">
        <f t="shared" si="16"/>
        <v>42795</v>
      </c>
      <c r="C154">
        <v>2017</v>
      </c>
      <c r="D154" t="s">
        <v>35</v>
      </c>
      <c r="E154" t="str">
        <f t="shared" si="17"/>
        <v>Mar-17</v>
      </c>
      <c r="F154">
        <f>VLOOKUP(D154,'Problem Statement 4'!$G$2:$H$13,2,0)</f>
        <v>3</v>
      </c>
      <c r="G154">
        <v>133.30000000000001</v>
      </c>
      <c r="H154">
        <v>139</v>
      </c>
      <c r="I154">
        <v>128.6</v>
      </c>
      <c r="J154">
        <v>136.30000000000001</v>
      </c>
      <c r="K154">
        <v>118.8</v>
      </c>
      <c r="L154">
        <v>138.30000000000001</v>
      </c>
      <c r="M154">
        <v>120.5</v>
      </c>
      <c r="N154">
        <v>143.9</v>
      </c>
      <c r="O154">
        <v>118</v>
      </c>
      <c r="P154">
        <v>137.9</v>
      </c>
      <c r="Q154">
        <v>127.2</v>
      </c>
      <c r="R154">
        <v>144</v>
      </c>
      <c r="S154">
        <v>133.1</v>
      </c>
      <c r="T154">
        <v>145.1</v>
      </c>
      <c r="U154">
        <v>137.30000000000001</v>
      </c>
      <c r="V154">
        <v>130.6</v>
      </c>
      <c r="W154">
        <v>136.4</v>
      </c>
      <c r="X154">
        <v>131.1</v>
      </c>
      <c r="Y154">
        <v>129.1</v>
      </c>
      <c r="Z154">
        <v>130.1</v>
      </c>
      <c r="AA154">
        <v>127.8</v>
      </c>
      <c r="AB154">
        <v>117.6</v>
      </c>
      <c r="AC154">
        <v>125</v>
      </c>
      <c r="AD154">
        <v>133.80000000000001</v>
      </c>
      <c r="AE154">
        <v>122.6</v>
      </c>
      <c r="AF154">
        <v>125.1</v>
      </c>
      <c r="AG154">
        <v>130.9</v>
      </c>
      <c r="AH154">
        <f t="shared" si="18"/>
        <v>1718.9</v>
      </c>
      <c r="AI154">
        <f t="shared" si="19"/>
        <v>129.1</v>
      </c>
      <c r="AJ154">
        <f t="shared" si="20"/>
        <v>117.6</v>
      </c>
      <c r="AK154">
        <f t="shared" si="21"/>
        <v>133.80000000000001</v>
      </c>
      <c r="AL154">
        <f t="shared" si="22"/>
        <v>1311.1</v>
      </c>
      <c r="AM154" t="str">
        <f t="shared" si="23"/>
        <v>No</v>
      </c>
    </row>
    <row r="155" spans="1:39" x14ac:dyDescent="0.3">
      <c r="A155" t="s">
        <v>30</v>
      </c>
      <c r="B155" s="28">
        <f t="shared" si="16"/>
        <v>42826</v>
      </c>
      <c r="C155">
        <v>2017</v>
      </c>
      <c r="D155" t="s">
        <v>36</v>
      </c>
      <c r="E155" t="str">
        <f t="shared" si="17"/>
        <v>Apr-17</v>
      </c>
      <c r="F155">
        <f>VLOOKUP(D155,'Problem Statement 4'!$G$2:$H$13,2,0)</f>
        <v>4</v>
      </c>
      <c r="G155">
        <v>133.19999999999999</v>
      </c>
      <c r="H155">
        <v>138.69999999999999</v>
      </c>
      <c r="I155">
        <v>127.1</v>
      </c>
      <c r="J155">
        <v>137.69999999999999</v>
      </c>
      <c r="K155">
        <v>121.3</v>
      </c>
      <c r="L155">
        <v>141.80000000000001</v>
      </c>
      <c r="M155">
        <v>121.5</v>
      </c>
      <c r="N155">
        <v>144.5</v>
      </c>
      <c r="O155">
        <v>117.4</v>
      </c>
      <c r="P155">
        <v>134.1</v>
      </c>
      <c r="Q155">
        <v>130</v>
      </c>
      <c r="R155">
        <v>145.5</v>
      </c>
      <c r="S155">
        <v>133.5</v>
      </c>
      <c r="T155">
        <v>144.4</v>
      </c>
      <c r="U155">
        <v>142.4</v>
      </c>
      <c r="V155">
        <v>136.80000000000001</v>
      </c>
      <c r="W155">
        <v>141.6</v>
      </c>
      <c r="X155">
        <v>131.69999999999999</v>
      </c>
      <c r="Y155">
        <v>135</v>
      </c>
      <c r="Z155">
        <v>134.30000000000001</v>
      </c>
      <c r="AA155">
        <v>131</v>
      </c>
      <c r="AB155">
        <v>119.2</v>
      </c>
      <c r="AC155">
        <v>128.30000000000001</v>
      </c>
      <c r="AD155">
        <v>135.69999999999999</v>
      </c>
      <c r="AE155">
        <v>123.7</v>
      </c>
      <c r="AF155">
        <v>127.5</v>
      </c>
      <c r="AG155">
        <v>132.9</v>
      </c>
      <c r="AH155">
        <f t="shared" si="18"/>
        <v>1726.3</v>
      </c>
      <c r="AI155">
        <f t="shared" si="19"/>
        <v>135</v>
      </c>
      <c r="AJ155">
        <f t="shared" si="20"/>
        <v>119.2</v>
      </c>
      <c r="AK155">
        <f t="shared" si="21"/>
        <v>135.69999999999999</v>
      </c>
      <c r="AL155">
        <f t="shared" si="22"/>
        <v>1341.7</v>
      </c>
      <c r="AM155" t="str">
        <f t="shared" si="23"/>
        <v>No</v>
      </c>
    </row>
    <row r="156" spans="1:39" x14ac:dyDescent="0.3">
      <c r="A156" t="s">
        <v>32</v>
      </c>
      <c r="B156" s="28">
        <f t="shared" si="16"/>
        <v>42826</v>
      </c>
      <c r="C156">
        <v>2017</v>
      </c>
      <c r="D156" t="s">
        <v>36</v>
      </c>
      <c r="E156" t="str">
        <f t="shared" si="17"/>
        <v>Apr-17</v>
      </c>
      <c r="F156">
        <f>VLOOKUP(D156,'Problem Statement 4'!$G$2:$H$13,2,0)</f>
        <v>4</v>
      </c>
      <c r="G156">
        <v>132.69999999999999</v>
      </c>
      <c r="H156">
        <v>140.6</v>
      </c>
      <c r="I156">
        <v>124.5</v>
      </c>
      <c r="J156">
        <v>136.30000000000001</v>
      </c>
      <c r="K156">
        <v>113.5</v>
      </c>
      <c r="L156">
        <v>137.69999999999999</v>
      </c>
      <c r="M156">
        <v>127.1</v>
      </c>
      <c r="N156">
        <v>133.80000000000001</v>
      </c>
      <c r="O156">
        <v>120.8</v>
      </c>
      <c r="P156">
        <v>141.30000000000001</v>
      </c>
      <c r="Q156">
        <v>123.8</v>
      </c>
      <c r="R156">
        <v>142.6</v>
      </c>
      <c r="S156">
        <v>133.4</v>
      </c>
      <c r="T156">
        <v>148</v>
      </c>
      <c r="U156">
        <v>131.19999999999999</v>
      </c>
      <c r="V156">
        <v>123</v>
      </c>
      <c r="W156">
        <v>130</v>
      </c>
      <c r="X156">
        <v>131.69999999999999</v>
      </c>
      <c r="Y156">
        <v>121.4</v>
      </c>
      <c r="Z156">
        <v>126</v>
      </c>
      <c r="AA156">
        <v>123.4</v>
      </c>
      <c r="AB156">
        <v>114.3</v>
      </c>
      <c r="AC156">
        <v>122.6</v>
      </c>
      <c r="AD156">
        <v>133.6</v>
      </c>
      <c r="AE156">
        <v>122.2</v>
      </c>
      <c r="AF156">
        <v>122.5</v>
      </c>
      <c r="AG156">
        <v>129.1</v>
      </c>
      <c r="AH156">
        <f t="shared" si="18"/>
        <v>1708.1</v>
      </c>
      <c r="AI156">
        <f t="shared" si="19"/>
        <v>121.4</v>
      </c>
      <c r="AJ156">
        <f t="shared" si="20"/>
        <v>114.3</v>
      </c>
      <c r="AK156">
        <f t="shared" si="21"/>
        <v>133.6</v>
      </c>
      <c r="AL156">
        <f t="shared" si="22"/>
        <v>1280.6000000000001</v>
      </c>
      <c r="AM156" t="str">
        <f t="shared" si="23"/>
        <v>No</v>
      </c>
    </row>
    <row r="157" spans="1:39" x14ac:dyDescent="0.3">
      <c r="A157" t="s">
        <v>33</v>
      </c>
      <c r="B157" s="28">
        <f t="shared" si="16"/>
        <v>42826</v>
      </c>
      <c r="C157">
        <v>2017</v>
      </c>
      <c r="D157" t="s">
        <v>36</v>
      </c>
      <c r="E157" t="str">
        <f t="shared" si="17"/>
        <v>Apr-17</v>
      </c>
      <c r="F157">
        <f>VLOOKUP(D157,'Problem Statement 4'!$G$2:$H$13,2,0)</f>
        <v>4</v>
      </c>
      <c r="G157">
        <v>133</v>
      </c>
      <c r="H157">
        <v>139.4</v>
      </c>
      <c r="I157">
        <v>126.1</v>
      </c>
      <c r="J157">
        <v>137.19999999999999</v>
      </c>
      <c r="K157">
        <v>118.4</v>
      </c>
      <c r="L157">
        <v>139.9</v>
      </c>
      <c r="M157">
        <v>123.4</v>
      </c>
      <c r="N157">
        <v>140.9</v>
      </c>
      <c r="O157">
        <v>118.5</v>
      </c>
      <c r="P157">
        <v>136.5</v>
      </c>
      <c r="Q157">
        <v>127.4</v>
      </c>
      <c r="R157">
        <v>144.19999999999999</v>
      </c>
      <c r="S157">
        <v>133.5</v>
      </c>
      <c r="T157">
        <v>145.4</v>
      </c>
      <c r="U157">
        <v>138</v>
      </c>
      <c r="V157">
        <v>131.1</v>
      </c>
      <c r="W157">
        <v>137</v>
      </c>
      <c r="X157">
        <v>131.69999999999999</v>
      </c>
      <c r="Y157">
        <v>129.80000000000001</v>
      </c>
      <c r="Z157">
        <v>130.4</v>
      </c>
      <c r="AA157">
        <v>128.1</v>
      </c>
      <c r="AB157">
        <v>116.6</v>
      </c>
      <c r="AC157">
        <v>125.1</v>
      </c>
      <c r="AD157">
        <v>134.5</v>
      </c>
      <c r="AE157">
        <v>123.1</v>
      </c>
      <c r="AF157">
        <v>125.1</v>
      </c>
      <c r="AG157">
        <v>131.1</v>
      </c>
      <c r="AH157">
        <f t="shared" si="18"/>
        <v>1718.4</v>
      </c>
      <c r="AI157">
        <f t="shared" si="19"/>
        <v>129.80000000000001</v>
      </c>
      <c r="AJ157">
        <f t="shared" si="20"/>
        <v>116.6</v>
      </c>
      <c r="AK157">
        <f t="shared" si="21"/>
        <v>134.5</v>
      </c>
      <c r="AL157">
        <f t="shared" si="22"/>
        <v>1314.9999999999998</v>
      </c>
      <c r="AM157" t="str">
        <f t="shared" si="23"/>
        <v>No</v>
      </c>
    </row>
    <row r="158" spans="1:39" x14ac:dyDescent="0.3">
      <c r="A158" t="s">
        <v>30</v>
      </c>
      <c r="B158" s="28">
        <f t="shared" si="16"/>
        <v>42856</v>
      </c>
      <c r="C158">
        <v>2017</v>
      </c>
      <c r="D158" t="s">
        <v>37</v>
      </c>
      <c r="E158" t="str">
        <f t="shared" si="17"/>
        <v>May-17</v>
      </c>
      <c r="F158">
        <f>VLOOKUP(D158,'Problem Statement 4'!$G$2:$H$13,2,0)</f>
        <v>5</v>
      </c>
      <c r="G158">
        <v>133.1</v>
      </c>
      <c r="H158">
        <v>140.30000000000001</v>
      </c>
      <c r="I158">
        <v>126.8</v>
      </c>
      <c r="J158">
        <v>138.19999999999999</v>
      </c>
      <c r="K158">
        <v>120.8</v>
      </c>
      <c r="L158">
        <v>140.19999999999999</v>
      </c>
      <c r="M158">
        <v>123.8</v>
      </c>
      <c r="N158">
        <v>141.80000000000001</v>
      </c>
      <c r="O158">
        <v>118.6</v>
      </c>
      <c r="P158">
        <v>134</v>
      </c>
      <c r="Q158">
        <v>130.30000000000001</v>
      </c>
      <c r="R158">
        <v>145.80000000000001</v>
      </c>
      <c r="S158">
        <v>133.80000000000001</v>
      </c>
      <c r="T158">
        <v>145.5</v>
      </c>
      <c r="U158">
        <v>142.5</v>
      </c>
      <c r="V158">
        <v>137.30000000000001</v>
      </c>
      <c r="W158">
        <v>141.80000000000001</v>
      </c>
      <c r="X158">
        <v>132.1</v>
      </c>
      <c r="Y158">
        <v>135</v>
      </c>
      <c r="Z158">
        <v>134.9</v>
      </c>
      <c r="AA158">
        <v>131.4</v>
      </c>
      <c r="AB158">
        <v>119.4</v>
      </c>
      <c r="AC158">
        <v>129.4</v>
      </c>
      <c r="AD158">
        <v>136.30000000000001</v>
      </c>
      <c r="AE158">
        <v>123.7</v>
      </c>
      <c r="AF158">
        <v>127.9</v>
      </c>
      <c r="AG158">
        <v>133.30000000000001</v>
      </c>
      <c r="AH158">
        <f t="shared" si="18"/>
        <v>1727.4999999999995</v>
      </c>
      <c r="AI158">
        <f t="shared" si="19"/>
        <v>135</v>
      </c>
      <c r="AJ158">
        <f t="shared" si="20"/>
        <v>119.4</v>
      </c>
      <c r="AK158">
        <f t="shared" si="21"/>
        <v>136.30000000000001</v>
      </c>
      <c r="AL158">
        <f t="shared" si="22"/>
        <v>1346.5000000000002</v>
      </c>
      <c r="AM158" t="str">
        <f t="shared" si="23"/>
        <v>No</v>
      </c>
    </row>
    <row r="159" spans="1:39" x14ac:dyDescent="0.3">
      <c r="A159" t="s">
        <v>32</v>
      </c>
      <c r="B159" s="28">
        <f t="shared" si="16"/>
        <v>42856</v>
      </c>
      <c r="C159">
        <v>2017</v>
      </c>
      <c r="D159" t="s">
        <v>37</v>
      </c>
      <c r="E159" t="str">
        <f t="shared" si="17"/>
        <v>May-17</v>
      </c>
      <c r="F159">
        <f>VLOOKUP(D159,'Problem Statement 4'!$G$2:$H$13,2,0)</f>
        <v>5</v>
      </c>
      <c r="G159">
        <v>132.6</v>
      </c>
      <c r="H159">
        <v>144.1</v>
      </c>
      <c r="I159">
        <v>125.6</v>
      </c>
      <c r="J159">
        <v>136.80000000000001</v>
      </c>
      <c r="K159">
        <v>113.4</v>
      </c>
      <c r="L159">
        <v>135.19999999999999</v>
      </c>
      <c r="M159">
        <v>129.19999999999999</v>
      </c>
      <c r="N159">
        <v>131.5</v>
      </c>
      <c r="O159">
        <v>121</v>
      </c>
      <c r="P159">
        <v>139.9</v>
      </c>
      <c r="Q159">
        <v>123.8</v>
      </c>
      <c r="R159">
        <v>142.9</v>
      </c>
      <c r="S159">
        <v>133.6</v>
      </c>
      <c r="T159">
        <v>148.30000000000001</v>
      </c>
      <c r="U159">
        <v>131.5</v>
      </c>
      <c r="V159">
        <v>123.2</v>
      </c>
      <c r="W159">
        <v>130.19999999999999</v>
      </c>
      <c r="X159">
        <v>132.1</v>
      </c>
      <c r="Y159">
        <v>120.1</v>
      </c>
      <c r="Z159">
        <v>126.5</v>
      </c>
      <c r="AA159">
        <v>123.6</v>
      </c>
      <c r="AB159">
        <v>114.3</v>
      </c>
      <c r="AC159">
        <v>122.8</v>
      </c>
      <c r="AD159">
        <v>133.80000000000001</v>
      </c>
      <c r="AE159">
        <v>122</v>
      </c>
      <c r="AF159">
        <v>122.6</v>
      </c>
      <c r="AG159">
        <v>129.30000000000001</v>
      </c>
      <c r="AH159">
        <f t="shared" si="18"/>
        <v>1709.6</v>
      </c>
      <c r="AI159">
        <f t="shared" si="19"/>
        <v>120.1</v>
      </c>
      <c r="AJ159">
        <f t="shared" si="20"/>
        <v>114.3</v>
      </c>
      <c r="AK159">
        <f t="shared" si="21"/>
        <v>133.80000000000001</v>
      </c>
      <c r="AL159">
        <f t="shared" si="22"/>
        <v>1282.8</v>
      </c>
      <c r="AM159" t="str">
        <f t="shared" si="23"/>
        <v>No</v>
      </c>
    </row>
    <row r="160" spans="1:39" x14ac:dyDescent="0.3">
      <c r="A160" t="s">
        <v>33</v>
      </c>
      <c r="B160" s="28">
        <f t="shared" si="16"/>
        <v>42856</v>
      </c>
      <c r="C160">
        <v>2017</v>
      </c>
      <c r="D160" t="s">
        <v>37</v>
      </c>
      <c r="E160" t="str">
        <f t="shared" si="17"/>
        <v>May-17</v>
      </c>
      <c r="F160">
        <f>VLOOKUP(D160,'Problem Statement 4'!$G$2:$H$13,2,0)</f>
        <v>5</v>
      </c>
      <c r="G160">
        <v>132.9</v>
      </c>
      <c r="H160">
        <v>141.6</v>
      </c>
      <c r="I160">
        <v>126.3</v>
      </c>
      <c r="J160">
        <v>137.69999999999999</v>
      </c>
      <c r="K160">
        <v>118.1</v>
      </c>
      <c r="L160">
        <v>137.9</v>
      </c>
      <c r="M160">
        <v>125.6</v>
      </c>
      <c r="N160">
        <v>138.30000000000001</v>
      </c>
      <c r="O160">
        <v>119.4</v>
      </c>
      <c r="P160">
        <v>136</v>
      </c>
      <c r="Q160">
        <v>127.6</v>
      </c>
      <c r="R160">
        <v>144.5</v>
      </c>
      <c r="S160">
        <v>133.69999999999999</v>
      </c>
      <c r="T160">
        <v>146.19999999999999</v>
      </c>
      <c r="U160">
        <v>138.19999999999999</v>
      </c>
      <c r="V160">
        <v>131.4</v>
      </c>
      <c r="W160">
        <v>137.19999999999999</v>
      </c>
      <c r="X160">
        <v>132.1</v>
      </c>
      <c r="Y160">
        <v>129.4</v>
      </c>
      <c r="Z160">
        <v>130.9</v>
      </c>
      <c r="AA160">
        <v>128.4</v>
      </c>
      <c r="AB160">
        <v>116.7</v>
      </c>
      <c r="AC160">
        <v>125.7</v>
      </c>
      <c r="AD160">
        <v>134.80000000000001</v>
      </c>
      <c r="AE160">
        <v>123</v>
      </c>
      <c r="AF160">
        <v>125.3</v>
      </c>
      <c r="AG160">
        <v>131.4</v>
      </c>
      <c r="AH160">
        <f t="shared" si="18"/>
        <v>1719.6000000000001</v>
      </c>
      <c r="AI160">
        <f t="shared" si="19"/>
        <v>129.4</v>
      </c>
      <c r="AJ160">
        <f t="shared" si="20"/>
        <v>116.7</v>
      </c>
      <c r="AK160">
        <f t="shared" si="21"/>
        <v>134.80000000000001</v>
      </c>
      <c r="AL160">
        <f t="shared" si="22"/>
        <v>1318.3999999999999</v>
      </c>
      <c r="AM160" t="str">
        <f t="shared" si="23"/>
        <v>No</v>
      </c>
    </row>
    <row r="161" spans="1:39" x14ac:dyDescent="0.3">
      <c r="A161" t="s">
        <v>30</v>
      </c>
      <c r="B161" s="28">
        <f t="shared" si="16"/>
        <v>42887</v>
      </c>
      <c r="C161">
        <v>2017</v>
      </c>
      <c r="D161" t="s">
        <v>38</v>
      </c>
      <c r="E161" t="str">
        <f t="shared" si="17"/>
        <v>Jun-17</v>
      </c>
      <c r="F161">
        <f>VLOOKUP(D161,'Problem Statement 4'!$G$2:$H$13,2,0)</f>
        <v>6</v>
      </c>
      <c r="G161">
        <v>133.5</v>
      </c>
      <c r="H161">
        <v>143.69999999999999</v>
      </c>
      <c r="I161">
        <v>128</v>
      </c>
      <c r="J161">
        <v>138.6</v>
      </c>
      <c r="K161">
        <v>120.9</v>
      </c>
      <c r="L161">
        <v>140.9</v>
      </c>
      <c r="M161">
        <v>128.80000000000001</v>
      </c>
      <c r="N161">
        <v>140.19999999999999</v>
      </c>
      <c r="O161">
        <v>118.9</v>
      </c>
      <c r="P161">
        <v>133.5</v>
      </c>
      <c r="Q161">
        <v>130.4</v>
      </c>
      <c r="R161">
        <v>146.5</v>
      </c>
      <c r="S161">
        <v>134.9</v>
      </c>
      <c r="T161">
        <v>145.80000000000001</v>
      </c>
      <c r="U161">
        <v>143.1</v>
      </c>
      <c r="V161">
        <v>137.69999999999999</v>
      </c>
      <c r="W161">
        <v>142.30000000000001</v>
      </c>
      <c r="X161">
        <v>131.4</v>
      </c>
      <c r="Y161">
        <v>134.80000000000001</v>
      </c>
      <c r="Z161">
        <v>135.19999999999999</v>
      </c>
      <c r="AA161">
        <v>131.30000000000001</v>
      </c>
      <c r="AB161">
        <v>119.4</v>
      </c>
      <c r="AC161">
        <v>129.80000000000001</v>
      </c>
      <c r="AD161">
        <v>136.9</v>
      </c>
      <c r="AE161">
        <v>124.1</v>
      </c>
      <c r="AF161">
        <v>128.1</v>
      </c>
      <c r="AG161">
        <v>133.9</v>
      </c>
      <c r="AH161">
        <f t="shared" si="18"/>
        <v>1738.8000000000002</v>
      </c>
      <c r="AI161">
        <f t="shared" si="19"/>
        <v>134.80000000000001</v>
      </c>
      <c r="AJ161">
        <f t="shared" si="20"/>
        <v>119.4</v>
      </c>
      <c r="AK161">
        <f t="shared" si="21"/>
        <v>136.9</v>
      </c>
      <c r="AL161">
        <f t="shared" si="22"/>
        <v>1348.7999999999997</v>
      </c>
      <c r="AM161" t="str">
        <f t="shared" si="23"/>
        <v>No</v>
      </c>
    </row>
    <row r="162" spans="1:39" x14ac:dyDescent="0.3">
      <c r="A162" t="s">
        <v>32</v>
      </c>
      <c r="B162" s="28">
        <f t="shared" si="16"/>
        <v>42887</v>
      </c>
      <c r="C162">
        <v>2017</v>
      </c>
      <c r="D162" t="s">
        <v>38</v>
      </c>
      <c r="E162" t="str">
        <f t="shared" si="17"/>
        <v>Jun-17</v>
      </c>
      <c r="F162">
        <f>VLOOKUP(D162,'Problem Statement 4'!$G$2:$H$13,2,0)</f>
        <v>6</v>
      </c>
      <c r="G162">
        <v>132.9</v>
      </c>
      <c r="H162">
        <v>148.69999999999999</v>
      </c>
      <c r="I162">
        <v>128.30000000000001</v>
      </c>
      <c r="J162">
        <v>137.30000000000001</v>
      </c>
      <c r="K162">
        <v>113.5</v>
      </c>
      <c r="L162">
        <v>137.19999999999999</v>
      </c>
      <c r="M162">
        <v>142.19999999999999</v>
      </c>
      <c r="N162">
        <v>128.19999999999999</v>
      </c>
      <c r="O162">
        <v>120.9</v>
      </c>
      <c r="P162">
        <v>138.80000000000001</v>
      </c>
      <c r="Q162">
        <v>124.2</v>
      </c>
      <c r="R162">
        <v>143.1</v>
      </c>
      <c r="S162">
        <v>135.69999999999999</v>
      </c>
      <c r="T162">
        <v>148.6</v>
      </c>
      <c r="U162">
        <v>131.5</v>
      </c>
      <c r="V162">
        <v>123.2</v>
      </c>
      <c r="W162">
        <v>130.19999999999999</v>
      </c>
      <c r="X162">
        <v>131.4</v>
      </c>
      <c r="Y162">
        <v>119</v>
      </c>
      <c r="Z162">
        <v>126.8</v>
      </c>
      <c r="AA162">
        <v>123.8</v>
      </c>
      <c r="AB162">
        <v>113.9</v>
      </c>
      <c r="AC162">
        <v>122.9</v>
      </c>
      <c r="AD162">
        <v>134.30000000000001</v>
      </c>
      <c r="AE162">
        <v>122.5</v>
      </c>
      <c r="AF162">
        <v>122.7</v>
      </c>
      <c r="AG162">
        <v>129.9</v>
      </c>
      <c r="AH162">
        <f t="shared" si="18"/>
        <v>1731.0000000000002</v>
      </c>
      <c r="AI162">
        <f t="shared" si="19"/>
        <v>119</v>
      </c>
      <c r="AJ162">
        <f t="shared" si="20"/>
        <v>113.9</v>
      </c>
      <c r="AK162">
        <f t="shared" si="21"/>
        <v>134.30000000000001</v>
      </c>
      <c r="AL162">
        <f t="shared" si="22"/>
        <v>1283.5999999999999</v>
      </c>
      <c r="AM162" t="str">
        <f t="shared" si="23"/>
        <v>No</v>
      </c>
    </row>
    <row r="163" spans="1:39" x14ac:dyDescent="0.3">
      <c r="A163" t="s">
        <v>33</v>
      </c>
      <c r="B163" s="28">
        <f t="shared" si="16"/>
        <v>42887</v>
      </c>
      <c r="C163">
        <v>2017</v>
      </c>
      <c r="D163" t="s">
        <v>38</v>
      </c>
      <c r="E163" t="str">
        <f t="shared" si="17"/>
        <v>Jun-17</v>
      </c>
      <c r="F163">
        <f>VLOOKUP(D163,'Problem Statement 4'!$G$2:$H$13,2,0)</f>
        <v>6</v>
      </c>
      <c r="G163">
        <v>133.30000000000001</v>
      </c>
      <c r="H163">
        <v>145.5</v>
      </c>
      <c r="I163">
        <v>128.1</v>
      </c>
      <c r="J163">
        <v>138.1</v>
      </c>
      <c r="K163">
        <v>118.2</v>
      </c>
      <c r="L163">
        <v>139.19999999999999</v>
      </c>
      <c r="M163">
        <v>133.30000000000001</v>
      </c>
      <c r="N163">
        <v>136.19999999999999</v>
      </c>
      <c r="O163">
        <v>119.6</v>
      </c>
      <c r="P163">
        <v>135.30000000000001</v>
      </c>
      <c r="Q163">
        <v>127.8</v>
      </c>
      <c r="R163">
        <v>144.9</v>
      </c>
      <c r="S163">
        <v>135.19999999999999</v>
      </c>
      <c r="T163">
        <v>146.5</v>
      </c>
      <c r="U163">
        <v>138.5</v>
      </c>
      <c r="V163">
        <v>131.69999999999999</v>
      </c>
      <c r="W163">
        <v>137.5</v>
      </c>
      <c r="X163">
        <v>131.4</v>
      </c>
      <c r="Y163">
        <v>128.80000000000001</v>
      </c>
      <c r="Z163">
        <v>131.19999999999999</v>
      </c>
      <c r="AA163">
        <v>128.5</v>
      </c>
      <c r="AB163">
        <v>116.5</v>
      </c>
      <c r="AC163">
        <v>125.9</v>
      </c>
      <c r="AD163">
        <v>135.4</v>
      </c>
      <c r="AE163">
        <v>123.4</v>
      </c>
      <c r="AF163">
        <v>125.5</v>
      </c>
      <c r="AG163">
        <v>132</v>
      </c>
      <c r="AH163">
        <f t="shared" si="18"/>
        <v>1734.7</v>
      </c>
      <c r="AI163">
        <f t="shared" si="19"/>
        <v>128.80000000000001</v>
      </c>
      <c r="AJ163">
        <f t="shared" si="20"/>
        <v>116.5</v>
      </c>
      <c r="AK163">
        <f t="shared" si="21"/>
        <v>135.4</v>
      </c>
      <c r="AL163">
        <f t="shared" si="22"/>
        <v>1320.1000000000001</v>
      </c>
      <c r="AM163" t="str">
        <f t="shared" si="23"/>
        <v>No</v>
      </c>
    </row>
    <row r="164" spans="1:39" x14ac:dyDescent="0.3">
      <c r="A164" t="s">
        <v>30</v>
      </c>
      <c r="B164" s="28">
        <f t="shared" si="16"/>
        <v>42917</v>
      </c>
      <c r="C164">
        <v>2017</v>
      </c>
      <c r="D164" t="s">
        <v>39</v>
      </c>
      <c r="E164" t="str">
        <f t="shared" si="17"/>
        <v>Jul-17</v>
      </c>
      <c r="F164">
        <f>VLOOKUP(D164,'Problem Statement 4'!$G$2:$H$13,2,0)</f>
        <v>7</v>
      </c>
      <c r="G164">
        <v>134</v>
      </c>
      <c r="H164">
        <v>144.19999999999999</v>
      </c>
      <c r="I164">
        <v>129.80000000000001</v>
      </c>
      <c r="J164">
        <v>139</v>
      </c>
      <c r="K164">
        <v>120.9</v>
      </c>
      <c r="L164">
        <v>143.9</v>
      </c>
      <c r="M164">
        <v>151.5</v>
      </c>
      <c r="N164">
        <v>138.1</v>
      </c>
      <c r="O164">
        <v>120</v>
      </c>
      <c r="P164">
        <v>133.9</v>
      </c>
      <c r="Q164">
        <v>131.4</v>
      </c>
      <c r="R164">
        <v>147.69999999999999</v>
      </c>
      <c r="S164">
        <v>138.5</v>
      </c>
      <c r="T164">
        <v>147.4</v>
      </c>
      <c r="U164">
        <v>144.30000000000001</v>
      </c>
      <c r="V164">
        <v>138.1</v>
      </c>
      <c r="W164">
        <v>143.5</v>
      </c>
      <c r="X164">
        <v>132.6</v>
      </c>
      <c r="Y164">
        <v>135.30000000000001</v>
      </c>
      <c r="Z164">
        <v>136.1</v>
      </c>
      <c r="AA164">
        <v>132.1</v>
      </c>
      <c r="AB164">
        <v>119.1</v>
      </c>
      <c r="AC164">
        <v>130.6</v>
      </c>
      <c r="AD164">
        <v>138.6</v>
      </c>
      <c r="AE164">
        <v>124.4</v>
      </c>
      <c r="AF164">
        <v>128.6</v>
      </c>
      <c r="AG164">
        <v>136.19999999999999</v>
      </c>
      <c r="AH164">
        <f t="shared" si="18"/>
        <v>1772.9</v>
      </c>
      <c r="AI164">
        <f t="shared" si="19"/>
        <v>135.30000000000001</v>
      </c>
      <c r="AJ164">
        <f t="shared" si="20"/>
        <v>119.1</v>
      </c>
      <c r="AK164">
        <f t="shared" si="21"/>
        <v>138.6</v>
      </c>
      <c r="AL164">
        <f t="shared" si="22"/>
        <v>1357.7</v>
      </c>
      <c r="AM164" t="str">
        <f t="shared" si="23"/>
        <v>No</v>
      </c>
    </row>
    <row r="165" spans="1:39" x14ac:dyDescent="0.3">
      <c r="A165" t="s">
        <v>32</v>
      </c>
      <c r="B165" s="28">
        <f t="shared" si="16"/>
        <v>42917</v>
      </c>
      <c r="C165">
        <v>2017</v>
      </c>
      <c r="D165" t="s">
        <v>39</v>
      </c>
      <c r="E165" t="str">
        <f t="shared" si="17"/>
        <v>Jul-17</v>
      </c>
      <c r="F165">
        <f>VLOOKUP(D165,'Problem Statement 4'!$G$2:$H$13,2,0)</f>
        <v>7</v>
      </c>
      <c r="G165">
        <v>132.80000000000001</v>
      </c>
      <c r="H165">
        <v>148.4</v>
      </c>
      <c r="I165">
        <v>129.4</v>
      </c>
      <c r="J165">
        <v>137.69999999999999</v>
      </c>
      <c r="K165">
        <v>113.4</v>
      </c>
      <c r="L165">
        <v>139.4</v>
      </c>
      <c r="M165">
        <v>175.1</v>
      </c>
      <c r="N165">
        <v>124.7</v>
      </c>
      <c r="O165">
        <v>121.5</v>
      </c>
      <c r="P165">
        <v>137.80000000000001</v>
      </c>
      <c r="Q165">
        <v>124.4</v>
      </c>
      <c r="R165">
        <v>143.69999999999999</v>
      </c>
      <c r="S165">
        <v>139.80000000000001</v>
      </c>
      <c r="T165">
        <v>150.5</v>
      </c>
      <c r="U165">
        <v>131.6</v>
      </c>
      <c r="V165">
        <v>123.7</v>
      </c>
      <c r="W165">
        <v>130.4</v>
      </c>
      <c r="X165">
        <v>132.6</v>
      </c>
      <c r="Y165">
        <v>119.7</v>
      </c>
      <c r="Z165">
        <v>127.2</v>
      </c>
      <c r="AA165">
        <v>125</v>
      </c>
      <c r="AB165">
        <v>113.2</v>
      </c>
      <c r="AC165">
        <v>123.5</v>
      </c>
      <c r="AD165">
        <v>135.5</v>
      </c>
      <c r="AE165">
        <v>122.4</v>
      </c>
      <c r="AF165">
        <v>123</v>
      </c>
      <c r="AG165">
        <v>131.80000000000001</v>
      </c>
      <c r="AH165">
        <f t="shared" si="18"/>
        <v>1768.1</v>
      </c>
      <c r="AI165">
        <f t="shared" si="19"/>
        <v>119.7</v>
      </c>
      <c r="AJ165">
        <f t="shared" si="20"/>
        <v>113.2</v>
      </c>
      <c r="AK165">
        <f t="shared" si="21"/>
        <v>135.5</v>
      </c>
      <c r="AL165">
        <f t="shared" si="22"/>
        <v>1289.9000000000001</v>
      </c>
      <c r="AM165" t="str">
        <f t="shared" si="23"/>
        <v>No</v>
      </c>
    </row>
    <row r="166" spans="1:39" x14ac:dyDescent="0.3">
      <c r="A166" t="s">
        <v>33</v>
      </c>
      <c r="B166" s="28">
        <f t="shared" si="16"/>
        <v>42917</v>
      </c>
      <c r="C166">
        <v>2017</v>
      </c>
      <c r="D166" t="s">
        <v>39</v>
      </c>
      <c r="E166" t="str">
        <f t="shared" si="17"/>
        <v>Jul-17</v>
      </c>
      <c r="F166">
        <f>VLOOKUP(D166,'Problem Statement 4'!$G$2:$H$13,2,0)</f>
        <v>7</v>
      </c>
      <c r="G166">
        <v>133.6</v>
      </c>
      <c r="H166">
        <v>145.69999999999999</v>
      </c>
      <c r="I166">
        <v>129.6</v>
      </c>
      <c r="J166">
        <v>138.5</v>
      </c>
      <c r="K166">
        <v>118.1</v>
      </c>
      <c r="L166">
        <v>141.80000000000001</v>
      </c>
      <c r="M166">
        <v>159.5</v>
      </c>
      <c r="N166">
        <v>133.6</v>
      </c>
      <c r="O166">
        <v>120.5</v>
      </c>
      <c r="P166">
        <v>135.19999999999999</v>
      </c>
      <c r="Q166">
        <v>128.5</v>
      </c>
      <c r="R166">
        <v>145.80000000000001</v>
      </c>
      <c r="S166">
        <v>139</v>
      </c>
      <c r="T166">
        <v>148.19999999999999</v>
      </c>
      <c r="U166">
        <v>139.30000000000001</v>
      </c>
      <c r="V166">
        <v>132.1</v>
      </c>
      <c r="W166">
        <v>138.30000000000001</v>
      </c>
      <c r="X166">
        <v>132.6</v>
      </c>
      <c r="Y166">
        <v>129.4</v>
      </c>
      <c r="Z166">
        <v>131.9</v>
      </c>
      <c r="AA166">
        <v>129.4</v>
      </c>
      <c r="AB166">
        <v>116</v>
      </c>
      <c r="AC166">
        <v>126.6</v>
      </c>
      <c r="AD166">
        <v>136.80000000000001</v>
      </c>
      <c r="AE166">
        <v>123.6</v>
      </c>
      <c r="AF166">
        <v>125.9</v>
      </c>
      <c r="AG166">
        <v>134.19999999999999</v>
      </c>
      <c r="AH166">
        <f t="shared" si="18"/>
        <v>1769.3999999999999</v>
      </c>
      <c r="AI166">
        <f t="shared" si="19"/>
        <v>129.4</v>
      </c>
      <c r="AJ166">
        <f t="shared" si="20"/>
        <v>116</v>
      </c>
      <c r="AK166">
        <f t="shared" si="21"/>
        <v>136.80000000000001</v>
      </c>
      <c r="AL166">
        <f t="shared" si="22"/>
        <v>1327.9</v>
      </c>
      <c r="AM166" t="str">
        <f t="shared" si="23"/>
        <v>No</v>
      </c>
    </row>
    <row r="167" spans="1:39" x14ac:dyDescent="0.3">
      <c r="A167" t="s">
        <v>30</v>
      </c>
      <c r="B167" s="28">
        <f t="shared" si="16"/>
        <v>42948</v>
      </c>
      <c r="C167">
        <v>2017</v>
      </c>
      <c r="D167" t="s">
        <v>40</v>
      </c>
      <c r="E167" t="str">
        <f t="shared" si="17"/>
        <v>Aug-17</v>
      </c>
      <c r="F167">
        <f>VLOOKUP(D167,'Problem Statement 4'!$G$2:$H$13,2,0)</f>
        <v>8</v>
      </c>
      <c r="G167">
        <v>134.80000000000001</v>
      </c>
      <c r="H167">
        <v>143.1</v>
      </c>
      <c r="I167">
        <v>130</v>
      </c>
      <c r="J167">
        <v>139.4</v>
      </c>
      <c r="K167">
        <v>120.5</v>
      </c>
      <c r="L167">
        <v>148</v>
      </c>
      <c r="M167">
        <v>162.9</v>
      </c>
      <c r="N167">
        <v>137.4</v>
      </c>
      <c r="O167">
        <v>120.8</v>
      </c>
      <c r="P167">
        <v>134.69999999999999</v>
      </c>
      <c r="Q167">
        <v>131.6</v>
      </c>
      <c r="R167">
        <v>148.69999999999999</v>
      </c>
      <c r="S167">
        <v>140.6</v>
      </c>
      <c r="T167">
        <v>149</v>
      </c>
      <c r="U167">
        <v>145.30000000000001</v>
      </c>
      <c r="V167">
        <v>139.19999999999999</v>
      </c>
      <c r="W167">
        <v>144.5</v>
      </c>
      <c r="X167">
        <v>134.4</v>
      </c>
      <c r="Y167">
        <v>136.4</v>
      </c>
      <c r="Z167">
        <v>137.30000000000001</v>
      </c>
      <c r="AA167">
        <v>133</v>
      </c>
      <c r="AB167">
        <v>120.3</v>
      </c>
      <c r="AC167">
        <v>131.5</v>
      </c>
      <c r="AD167">
        <v>140.19999999999999</v>
      </c>
      <c r="AE167">
        <v>125.4</v>
      </c>
      <c r="AF167">
        <v>129.69999999999999</v>
      </c>
      <c r="AG167">
        <v>137.80000000000001</v>
      </c>
      <c r="AH167">
        <f t="shared" si="18"/>
        <v>1792.4999999999998</v>
      </c>
      <c r="AI167">
        <f t="shared" si="19"/>
        <v>136.4</v>
      </c>
      <c r="AJ167">
        <f t="shared" si="20"/>
        <v>120.3</v>
      </c>
      <c r="AK167">
        <f t="shared" si="21"/>
        <v>140.19999999999999</v>
      </c>
      <c r="AL167">
        <f t="shared" si="22"/>
        <v>1369.3000000000002</v>
      </c>
      <c r="AM167" t="str">
        <f t="shared" si="23"/>
        <v>No</v>
      </c>
    </row>
    <row r="168" spans="1:39" x14ac:dyDescent="0.3">
      <c r="A168" t="s">
        <v>32</v>
      </c>
      <c r="B168" s="28">
        <f t="shared" si="16"/>
        <v>42948</v>
      </c>
      <c r="C168">
        <v>2017</v>
      </c>
      <c r="D168" t="s">
        <v>40</v>
      </c>
      <c r="E168" t="str">
        <f t="shared" si="17"/>
        <v>Aug-17</v>
      </c>
      <c r="F168">
        <f>VLOOKUP(D168,'Problem Statement 4'!$G$2:$H$13,2,0)</f>
        <v>8</v>
      </c>
      <c r="G168">
        <v>133.19999999999999</v>
      </c>
      <c r="H168">
        <v>143.9</v>
      </c>
      <c r="I168">
        <v>128.30000000000001</v>
      </c>
      <c r="J168">
        <v>138.30000000000001</v>
      </c>
      <c r="K168">
        <v>114.1</v>
      </c>
      <c r="L168">
        <v>142.69999999999999</v>
      </c>
      <c r="M168">
        <v>179.8</v>
      </c>
      <c r="N168">
        <v>123.5</v>
      </c>
      <c r="O168">
        <v>122.1</v>
      </c>
      <c r="P168">
        <v>137.5</v>
      </c>
      <c r="Q168">
        <v>124.6</v>
      </c>
      <c r="R168">
        <v>144.5</v>
      </c>
      <c r="S168">
        <v>140.5</v>
      </c>
      <c r="T168">
        <v>152.1</v>
      </c>
      <c r="U168">
        <v>132.69999999999999</v>
      </c>
      <c r="V168">
        <v>124.3</v>
      </c>
      <c r="W168">
        <v>131.4</v>
      </c>
      <c r="X168">
        <v>134.4</v>
      </c>
      <c r="Y168">
        <v>118.9</v>
      </c>
      <c r="Z168">
        <v>127.7</v>
      </c>
      <c r="AA168">
        <v>125.7</v>
      </c>
      <c r="AB168">
        <v>114.6</v>
      </c>
      <c r="AC168">
        <v>124.1</v>
      </c>
      <c r="AD168">
        <v>135.69999999999999</v>
      </c>
      <c r="AE168">
        <v>123.3</v>
      </c>
      <c r="AF168">
        <v>123.8</v>
      </c>
      <c r="AG168">
        <v>132.69999999999999</v>
      </c>
      <c r="AH168">
        <f t="shared" si="18"/>
        <v>1772.9999999999998</v>
      </c>
      <c r="AI168">
        <f t="shared" si="19"/>
        <v>118.9</v>
      </c>
      <c r="AJ168">
        <f t="shared" si="20"/>
        <v>114.6</v>
      </c>
      <c r="AK168">
        <f t="shared" si="21"/>
        <v>135.69999999999999</v>
      </c>
      <c r="AL168">
        <f t="shared" si="22"/>
        <v>1299.5</v>
      </c>
      <c r="AM168" t="str">
        <f t="shared" si="23"/>
        <v>No</v>
      </c>
    </row>
    <row r="169" spans="1:39" x14ac:dyDescent="0.3">
      <c r="A169" t="s">
        <v>33</v>
      </c>
      <c r="B169" s="28">
        <f t="shared" si="16"/>
        <v>42948</v>
      </c>
      <c r="C169">
        <v>2017</v>
      </c>
      <c r="D169" t="s">
        <v>40</v>
      </c>
      <c r="E169" t="str">
        <f t="shared" si="17"/>
        <v>Aug-17</v>
      </c>
      <c r="F169">
        <f>VLOOKUP(D169,'Problem Statement 4'!$G$2:$H$13,2,0)</f>
        <v>8</v>
      </c>
      <c r="G169">
        <v>134.30000000000001</v>
      </c>
      <c r="H169">
        <v>143.4</v>
      </c>
      <c r="I169">
        <v>129.30000000000001</v>
      </c>
      <c r="J169">
        <v>139</v>
      </c>
      <c r="K169">
        <v>118.1</v>
      </c>
      <c r="L169">
        <v>145.5</v>
      </c>
      <c r="M169">
        <v>168.6</v>
      </c>
      <c r="N169">
        <v>132.69999999999999</v>
      </c>
      <c r="O169">
        <v>121.2</v>
      </c>
      <c r="P169">
        <v>135.6</v>
      </c>
      <c r="Q169">
        <v>128.69999999999999</v>
      </c>
      <c r="R169">
        <v>146.80000000000001</v>
      </c>
      <c r="S169">
        <v>140.6</v>
      </c>
      <c r="T169">
        <v>149.80000000000001</v>
      </c>
      <c r="U169">
        <v>140.30000000000001</v>
      </c>
      <c r="V169">
        <v>133</v>
      </c>
      <c r="W169">
        <v>139.30000000000001</v>
      </c>
      <c r="X169">
        <v>134.4</v>
      </c>
      <c r="Y169">
        <v>129.80000000000001</v>
      </c>
      <c r="Z169">
        <v>132.80000000000001</v>
      </c>
      <c r="AA169">
        <v>130.19999999999999</v>
      </c>
      <c r="AB169">
        <v>117.3</v>
      </c>
      <c r="AC169">
        <v>127.3</v>
      </c>
      <c r="AD169">
        <v>137.6</v>
      </c>
      <c r="AE169">
        <v>124.5</v>
      </c>
      <c r="AF169">
        <v>126.8</v>
      </c>
      <c r="AG169">
        <v>135.4</v>
      </c>
      <c r="AH169">
        <f t="shared" si="18"/>
        <v>1783.8</v>
      </c>
      <c r="AI169">
        <f t="shared" si="19"/>
        <v>129.80000000000001</v>
      </c>
      <c r="AJ169">
        <f t="shared" si="20"/>
        <v>117.3</v>
      </c>
      <c r="AK169">
        <f t="shared" si="21"/>
        <v>137.6</v>
      </c>
      <c r="AL169">
        <f t="shared" si="22"/>
        <v>1338.4</v>
      </c>
      <c r="AM169" t="str">
        <f t="shared" si="23"/>
        <v>No</v>
      </c>
    </row>
    <row r="170" spans="1:39" x14ac:dyDescent="0.3">
      <c r="A170" t="s">
        <v>30</v>
      </c>
      <c r="B170" s="28">
        <f t="shared" si="16"/>
        <v>42979</v>
      </c>
      <c r="C170">
        <v>2017</v>
      </c>
      <c r="D170" t="s">
        <v>41</v>
      </c>
      <c r="E170" t="str">
        <f t="shared" si="17"/>
        <v>Sep-17</v>
      </c>
      <c r="F170">
        <f>VLOOKUP(D170,'Problem Statement 4'!$G$2:$H$13,2,0)</f>
        <v>9</v>
      </c>
      <c r="G170">
        <v>135.19999999999999</v>
      </c>
      <c r="H170">
        <v>142</v>
      </c>
      <c r="I170">
        <v>130.5</v>
      </c>
      <c r="J170">
        <v>140.19999999999999</v>
      </c>
      <c r="K170">
        <v>120.7</v>
      </c>
      <c r="L170">
        <v>147.80000000000001</v>
      </c>
      <c r="M170">
        <v>154.5</v>
      </c>
      <c r="N170">
        <v>137.1</v>
      </c>
      <c r="O170">
        <v>121</v>
      </c>
      <c r="P170">
        <v>134.69999999999999</v>
      </c>
      <c r="Q170">
        <v>131.69999999999999</v>
      </c>
      <c r="R170">
        <v>149.30000000000001</v>
      </c>
      <c r="S170">
        <v>139.6</v>
      </c>
      <c r="T170">
        <v>149.80000000000001</v>
      </c>
      <c r="U170">
        <v>146.1</v>
      </c>
      <c r="V170">
        <v>139.69999999999999</v>
      </c>
      <c r="W170">
        <v>145.19999999999999</v>
      </c>
      <c r="X170">
        <v>135.69999999999999</v>
      </c>
      <c r="Y170">
        <v>137.4</v>
      </c>
      <c r="Z170">
        <v>137.9</v>
      </c>
      <c r="AA170">
        <v>133.4</v>
      </c>
      <c r="AB170">
        <v>121.2</v>
      </c>
      <c r="AC170">
        <v>132.30000000000001</v>
      </c>
      <c r="AD170">
        <v>139.6</v>
      </c>
      <c r="AE170">
        <v>126.7</v>
      </c>
      <c r="AF170">
        <v>130.30000000000001</v>
      </c>
      <c r="AG170">
        <v>137.6</v>
      </c>
      <c r="AH170">
        <f t="shared" si="18"/>
        <v>1784.3</v>
      </c>
      <c r="AI170">
        <f t="shared" si="19"/>
        <v>137.4</v>
      </c>
      <c r="AJ170">
        <f t="shared" si="20"/>
        <v>121.2</v>
      </c>
      <c r="AK170">
        <f t="shared" si="21"/>
        <v>139.6</v>
      </c>
      <c r="AL170">
        <f t="shared" si="22"/>
        <v>1377.1</v>
      </c>
      <c r="AM170" t="str">
        <f t="shared" si="23"/>
        <v>No</v>
      </c>
    </row>
    <row r="171" spans="1:39" x14ac:dyDescent="0.3">
      <c r="A171" t="s">
        <v>32</v>
      </c>
      <c r="B171" s="28">
        <f t="shared" si="16"/>
        <v>42979</v>
      </c>
      <c r="C171">
        <v>2017</v>
      </c>
      <c r="D171" t="s">
        <v>41</v>
      </c>
      <c r="E171" t="str">
        <f t="shared" si="17"/>
        <v>Sep-17</v>
      </c>
      <c r="F171">
        <f>VLOOKUP(D171,'Problem Statement 4'!$G$2:$H$13,2,0)</f>
        <v>9</v>
      </c>
      <c r="G171">
        <v>133.6</v>
      </c>
      <c r="H171">
        <v>143</v>
      </c>
      <c r="I171">
        <v>129.69999999999999</v>
      </c>
      <c r="J171">
        <v>138.69999999999999</v>
      </c>
      <c r="K171">
        <v>114.5</v>
      </c>
      <c r="L171">
        <v>137.5</v>
      </c>
      <c r="M171">
        <v>160.69999999999999</v>
      </c>
      <c r="N171">
        <v>124.5</v>
      </c>
      <c r="O171">
        <v>122.4</v>
      </c>
      <c r="P171">
        <v>137.30000000000001</v>
      </c>
      <c r="Q171">
        <v>124.8</v>
      </c>
      <c r="R171">
        <v>145</v>
      </c>
      <c r="S171">
        <v>138</v>
      </c>
      <c r="T171">
        <v>153.6</v>
      </c>
      <c r="U171">
        <v>133.30000000000001</v>
      </c>
      <c r="V171">
        <v>124.6</v>
      </c>
      <c r="W171">
        <v>132</v>
      </c>
      <c r="X171">
        <v>135.69999999999999</v>
      </c>
      <c r="Y171">
        <v>120.6</v>
      </c>
      <c r="Z171">
        <v>128.1</v>
      </c>
      <c r="AA171">
        <v>126.1</v>
      </c>
      <c r="AB171">
        <v>115.7</v>
      </c>
      <c r="AC171">
        <v>124.5</v>
      </c>
      <c r="AD171">
        <v>135.9</v>
      </c>
      <c r="AE171">
        <v>124.4</v>
      </c>
      <c r="AF171">
        <v>124.5</v>
      </c>
      <c r="AG171">
        <v>132.4</v>
      </c>
      <c r="AH171">
        <f t="shared" si="18"/>
        <v>1749.7</v>
      </c>
      <c r="AI171">
        <f t="shared" si="19"/>
        <v>120.6</v>
      </c>
      <c r="AJ171">
        <f t="shared" si="20"/>
        <v>115.7</v>
      </c>
      <c r="AK171">
        <f t="shared" si="21"/>
        <v>135.9</v>
      </c>
      <c r="AL171">
        <f t="shared" si="22"/>
        <v>1306.8000000000002</v>
      </c>
      <c r="AM171" t="str">
        <f t="shared" si="23"/>
        <v>No</v>
      </c>
    </row>
    <row r="172" spans="1:39" x14ac:dyDescent="0.3">
      <c r="A172" t="s">
        <v>33</v>
      </c>
      <c r="B172" s="28">
        <f t="shared" si="16"/>
        <v>42979</v>
      </c>
      <c r="C172">
        <v>2017</v>
      </c>
      <c r="D172" t="s">
        <v>41</v>
      </c>
      <c r="E172" t="str">
        <f t="shared" si="17"/>
        <v>Sep-17</v>
      </c>
      <c r="F172">
        <f>VLOOKUP(D172,'Problem Statement 4'!$G$2:$H$13,2,0)</f>
        <v>9</v>
      </c>
      <c r="G172">
        <v>134.69999999999999</v>
      </c>
      <c r="H172">
        <v>142.4</v>
      </c>
      <c r="I172">
        <v>130.19999999999999</v>
      </c>
      <c r="J172">
        <v>139.6</v>
      </c>
      <c r="K172">
        <v>118.4</v>
      </c>
      <c r="L172">
        <v>143</v>
      </c>
      <c r="M172">
        <v>156.6</v>
      </c>
      <c r="N172">
        <v>132.9</v>
      </c>
      <c r="O172">
        <v>121.5</v>
      </c>
      <c r="P172">
        <v>135.6</v>
      </c>
      <c r="Q172">
        <v>128.80000000000001</v>
      </c>
      <c r="R172">
        <v>147.30000000000001</v>
      </c>
      <c r="S172">
        <v>139</v>
      </c>
      <c r="T172">
        <v>150.80000000000001</v>
      </c>
      <c r="U172">
        <v>141.1</v>
      </c>
      <c r="V172">
        <v>133.4</v>
      </c>
      <c r="W172">
        <v>140</v>
      </c>
      <c r="X172">
        <v>135.69999999999999</v>
      </c>
      <c r="Y172">
        <v>131</v>
      </c>
      <c r="Z172">
        <v>133.30000000000001</v>
      </c>
      <c r="AA172">
        <v>130.6</v>
      </c>
      <c r="AB172">
        <v>118.3</v>
      </c>
      <c r="AC172">
        <v>127.9</v>
      </c>
      <c r="AD172">
        <v>137.4</v>
      </c>
      <c r="AE172">
        <v>125.7</v>
      </c>
      <c r="AF172">
        <v>127.5</v>
      </c>
      <c r="AG172">
        <v>135.19999999999999</v>
      </c>
      <c r="AH172">
        <f t="shared" si="18"/>
        <v>1769.9999999999998</v>
      </c>
      <c r="AI172">
        <f t="shared" si="19"/>
        <v>131</v>
      </c>
      <c r="AJ172">
        <f t="shared" si="20"/>
        <v>118.3</v>
      </c>
      <c r="AK172">
        <f t="shared" si="21"/>
        <v>137.4</v>
      </c>
      <c r="AL172">
        <f t="shared" si="22"/>
        <v>1346</v>
      </c>
      <c r="AM172" t="str">
        <f t="shared" si="23"/>
        <v>No</v>
      </c>
    </row>
    <row r="173" spans="1:39" x14ac:dyDescent="0.3">
      <c r="A173" t="s">
        <v>30</v>
      </c>
      <c r="B173" s="28">
        <f t="shared" si="16"/>
        <v>43009</v>
      </c>
      <c r="C173">
        <v>2017</v>
      </c>
      <c r="D173" t="s">
        <v>42</v>
      </c>
      <c r="E173" t="str">
        <f t="shared" si="17"/>
        <v>Oct-17</v>
      </c>
      <c r="F173">
        <f>VLOOKUP(D173,'Problem Statement 4'!$G$2:$H$13,2,0)</f>
        <v>10</v>
      </c>
      <c r="G173">
        <v>135.9</v>
      </c>
      <c r="H173">
        <v>141.9</v>
      </c>
      <c r="I173">
        <v>131</v>
      </c>
      <c r="J173">
        <v>141.5</v>
      </c>
      <c r="K173">
        <v>121.4</v>
      </c>
      <c r="L173">
        <v>146.69999999999999</v>
      </c>
      <c r="M173">
        <v>157.1</v>
      </c>
      <c r="N173">
        <v>136.4</v>
      </c>
      <c r="O173">
        <v>121.4</v>
      </c>
      <c r="P173">
        <v>135.6</v>
      </c>
      <c r="Q173">
        <v>131.30000000000001</v>
      </c>
      <c r="R173">
        <v>150.30000000000001</v>
      </c>
      <c r="S173">
        <v>140.4</v>
      </c>
      <c r="T173">
        <v>150.5</v>
      </c>
      <c r="U173">
        <v>147.19999999999999</v>
      </c>
      <c r="V173">
        <v>140.6</v>
      </c>
      <c r="W173">
        <v>146.19999999999999</v>
      </c>
      <c r="X173">
        <v>137.30000000000001</v>
      </c>
      <c r="Y173">
        <v>138.1</v>
      </c>
      <c r="Z173">
        <v>138.4</v>
      </c>
      <c r="AA173">
        <v>134.19999999999999</v>
      </c>
      <c r="AB173">
        <v>121</v>
      </c>
      <c r="AC173">
        <v>133</v>
      </c>
      <c r="AD173">
        <v>140.1</v>
      </c>
      <c r="AE173">
        <v>127.4</v>
      </c>
      <c r="AF173">
        <v>130.69999999999999</v>
      </c>
      <c r="AG173">
        <v>138.30000000000001</v>
      </c>
      <c r="AH173">
        <f t="shared" si="18"/>
        <v>1790.8999999999999</v>
      </c>
      <c r="AI173">
        <f t="shared" si="19"/>
        <v>138.1</v>
      </c>
      <c r="AJ173">
        <f t="shared" si="20"/>
        <v>121</v>
      </c>
      <c r="AK173">
        <f t="shared" si="21"/>
        <v>140.1</v>
      </c>
      <c r="AL173">
        <f t="shared" si="22"/>
        <v>1385.5</v>
      </c>
      <c r="AM173" t="str">
        <f t="shared" si="23"/>
        <v>No</v>
      </c>
    </row>
    <row r="174" spans="1:39" x14ac:dyDescent="0.3">
      <c r="A174" t="s">
        <v>32</v>
      </c>
      <c r="B174" s="28">
        <f t="shared" si="16"/>
        <v>43009</v>
      </c>
      <c r="C174">
        <v>2017</v>
      </c>
      <c r="D174" t="s">
        <v>42</v>
      </c>
      <c r="E174" t="str">
        <f t="shared" si="17"/>
        <v>Oct-17</v>
      </c>
      <c r="F174">
        <f>VLOOKUP(D174,'Problem Statement 4'!$G$2:$H$13,2,0)</f>
        <v>10</v>
      </c>
      <c r="G174">
        <v>133.9</v>
      </c>
      <c r="H174">
        <v>142.80000000000001</v>
      </c>
      <c r="I174">
        <v>131.4</v>
      </c>
      <c r="J174">
        <v>139.1</v>
      </c>
      <c r="K174">
        <v>114.9</v>
      </c>
      <c r="L174">
        <v>135.6</v>
      </c>
      <c r="M174">
        <v>173.2</v>
      </c>
      <c r="N174">
        <v>124.1</v>
      </c>
      <c r="O174">
        <v>122.6</v>
      </c>
      <c r="P174">
        <v>137.80000000000001</v>
      </c>
      <c r="Q174">
        <v>125.1</v>
      </c>
      <c r="R174">
        <v>145.5</v>
      </c>
      <c r="S174">
        <v>139.69999999999999</v>
      </c>
      <c r="T174">
        <v>154.6</v>
      </c>
      <c r="U174">
        <v>134</v>
      </c>
      <c r="V174">
        <v>124.9</v>
      </c>
      <c r="W174">
        <v>132.6</v>
      </c>
      <c r="X174">
        <v>137.30000000000001</v>
      </c>
      <c r="Y174">
        <v>122.6</v>
      </c>
      <c r="Z174">
        <v>128.30000000000001</v>
      </c>
      <c r="AA174">
        <v>126.6</v>
      </c>
      <c r="AB174">
        <v>115</v>
      </c>
      <c r="AC174">
        <v>124.8</v>
      </c>
      <c r="AD174">
        <v>136.30000000000001</v>
      </c>
      <c r="AE174">
        <v>124.6</v>
      </c>
      <c r="AF174">
        <v>124.5</v>
      </c>
      <c r="AG174">
        <v>133.5</v>
      </c>
      <c r="AH174">
        <f t="shared" si="18"/>
        <v>1765.6999999999998</v>
      </c>
      <c r="AI174">
        <f t="shared" si="19"/>
        <v>122.6</v>
      </c>
      <c r="AJ174">
        <f t="shared" si="20"/>
        <v>115</v>
      </c>
      <c r="AK174">
        <f t="shared" si="21"/>
        <v>136.30000000000001</v>
      </c>
      <c r="AL174">
        <f t="shared" si="22"/>
        <v>1312.2</v>
      </c>
      <c r="AM174" t="str">
        <f t="shared" si="23"/>
        <v>No</v>
      </c>
    </row>
    <row r="175" spans="1:39" x14ac:dyDescent="0.3">
      <c r="A175" t="s">
        <v>33</v>
      </c>
      <c r="B175" s="28">
        <f t="shared" si="16"/>
        <v>43009</v>
      </c>
      <c r="C175">
        <v>2017</v>
      </c>
      <c r="D175" t="s">
        <v>42</v>
      </c>
      <c r="E175" t="str">
        <f t="shared" si="17"/>
        <v>Oct-17</v>
      </c>
      <c r="F175">
        <f>VLOOKUP(D175,'Problem Statement 4'!$G$2:$H$13,2,0)</f>
        <v>10</v>
      </c>
      <c r="G175">
        <v>135.30000000000001</v>
      </c>
      <c r="H175">
        <v>142.19999999999999</v>
      </c>
      <c r="I175">
        <v>131.19999999999999</v>
      </c>
      <c r="J175">
        <v>140.6</v>
      </c>
      <c r="K175">
        <v>119</v>
      </c>
      <c r="L175">
        <v>141.5</v>
      </c>
      <c r="M175">
        <v>162.6</v>
      </c>
      <c r="N175">
        <v>132.30000000000001</v>
      </c>
      <c r="O175">
        <v>121.8</v>
      </c>
      <c r="P175">
        <v>136.30000000000001</v>
      </c>
      <c r="Q175">
        <v>128.69999999999999</v>
      </c>
      <c r="R175">
        <v>148.1</v>
      </c>
      <c r="S175">
        <v>140.1</v>
      </c>
      <c r="T175">
        <v>151.6</v>
      </c>
      <c r="U175">
        <v>142</v>
      </c>
      <c r="V175">
        <v>134.1</v>
      </c>
      <c r="W175">
        <v>140.80000000000001</v>
      </c>
      <c r="X175">
        <v>137.30000000000001</v>
      </c>
      <c r="Y175">
        <v>132.19999999999999</v>
      </c>
      <c r="Z175">
        <v>133.6</v>
      </c>
      <c r="AA175">
        <v>131.30000000000001</v>
      </c>
      <c r="AB175">
        <v>117.8</v>
      </c>
      <c r="AC175">
        <v>128.4</v>
      </c>
      <c r="AD175">
        <v>137.9</v>
      </c>
      <c r="AE175">
        <v>126.2</v>
      </c>
      <c r="AF175">
        <v>127.7</v>
      </c>
      <c r="AG175">
        <v>136.1</v>
      </c>
      <c r="AH175">
        <f t="shared" si="18"/>
        <v>1779.6999999999998</v>
      </c>
      <c r="AI175">
        <f t="shared" si="19"/>
        <v>132.19999999999999</v>
      </c>
      <c r="AJ175">
        <f t="shared" si="20"/>
        <v>117.8</v>
      </c>
      <c r="AK175">
        <f t="shared" si="21"/>
        <v>137.9</v>
      </c>
      <c r="AL175">
        <f t="shared" si="22"/>
        <v>1353.0000000000002</v>
      </c>
      <c r="AM175" t="str">
        <f t="shared" si="23"/>
        <v>No</v>
      </c>
    </row>
    <row r="176" spans="1:39" x14ac:dyDescent="0.3">
      <c r="A176" t="s">
        <v>30</v>
      </c>
      <c r="B176" s="28">
        <f t="shared" si="16"/>
        <v>43040</v>
      </c>
      <c r="C176">
        <v>2017</v>
      </c>
      <c r="D176" t="s">
        <v>44</v>
      </c>
      <c r="E176" t="str">
        <f t="shared" si="17"/>
        <v>Nov-17</v>
      </c>
      <c r="F176">
        <f>VLOOKUP(D176,'Problem Statement 4'!$G$2:$H$13,2,0)</f>
        <v>11</v>
      </c>
      <c r="G176">
        <v>136.30000000000001</v>
      </c>
      <c r="H176">
        <v>142.5</v>
      </c>
      <c r="I176">
        <v>140.5</v>
      </c>
      <c r="J176">
        <v>141.5</v>
      </c>
      <c r="K176">
        <v>121.6</v>
      </c>
      <c r="L176">
        <v>147.30000000000001</v>
      </c>
      <c r="M176">
        <v>168</v>
      </c>
      <c r="N176">
        <v>135.80000000000001</v>
      </c>
      <c r="O176">
        <v>122.5</v>
      </c>
      <c r="P176">
        <v>136</v>
      </c>
      <c r="Q176">
        <v>131.9</v>
      </c>
      <c r="R176">
        <v>151.4</v>
      </c>
      <c r="S176">
        <v>142.4</v>
      </c>
      <c r="T176">
        <v>152.1</v>
      </c>
      <c r="U176">
        <v>148.19999999999999</v>
      </c>
      <c r="V176">
        <v>141.5</v>
      </c>
      <c r="W176">
        <v>147.30000000000001</v>
      </c>
      <c r="X176">
        <v>138.6</v>
      </c>
      <c r="Y176">
        <v>141.1</v>
      </c>
      <c r="Z176">
        <v>139.4</v>
      </c>
      <c r="AA176">
        <v>135.80000000000001</v>
      </c>
      <c r="AB176">
        <v>121.6</v>
      </c>
      <c r="AC176">
        <v>133.69999999999999</v>
      </c>
      <c r="AD176">
        <v>141.5</v>
      </c>
      <c r="AE176">
        <v>128.1</v>
      </c>
      <c r="AF176">
        <v>131.69999999999999</v>
      </c>
      <c r="AG176">
        <v>140</v>
      </c>
      <c r="AH176">
        <f t="shared" si="18"/>
        <v>1817.7000000000003</v>
      </c>
      <c r="AI176">
        <f t="shared" si="19"/>
        <v>141.1</v>
      </c>
      <c r="AJ176">
        <f t="shared" si="20"/>
        <v>121.6</v>
      </c>
      <c r="AK176">
        <f t="shared" si="21"/>
        <v>141.5</v>
      </c>
      <c r="AL176">
        <f t="shared" si="22"/>
        <v>1396.3999999999999</v>
      </c>
      <c r="AM176" t="str">
        <f t="shared" si="23"/>
        <v>No</v>
      </c>
    </row>
    <row r="177" spans="1:39" x14ac:dyDescent="0.3">
      <c r="A177" t="s">
        <v>32</v>
      </c>
      <c r="B177" s="28">
        <f t="shared" si="16"/>
        <v>43040</v>
      </c>
      <c r="C177">
        <v>2017</v>
      </c>
      <c r="D177" t="s">
        <v>44</v>
      </c>
      <c r="E177" t="str">
        <f t="shared" si="17"/>
        <v>Nov-17</v>
      </c>
      <c r="F177">
        <f>VLOOKUP(D177,'Problem Statement 4'!$G$2:$H$13,2,0)</f>
        <v>11</v>
      </c>
      <c r="G177">
        <v>134.30000000000001</v>
      </c>
      <c r="H177">
        <v>142.1</v>
      </c>
      <c r="I177">
        <v>146.69999999999999</v>
      </c>
      <c r="J177">
        <v>139.5</v>
      </c>
      <c r="K177">
        <v>115.2</v>
      </c>
      <c r="L177">
        <v>136.4</v>
      </c>
      <c r="M177">
        <v>185.2</v>
      </c>
      <c r="N177">
        <v>122.2</v>
      </c>
      <c r="O177">
        <v>123.9</v>
      </c>
      <c r="P177">
        <v>138.30000000000001</v>
      </c>
      <c r="Q177">
        <v>125.4</v>
      </c>
      <c r="R177">
        <v>146</v>
      </c>
      <c r="S177">
        <v>141.5</v>
      </c>
      <c r="T177">
        <v>156.19999999999999</v>
      </c>
      <c r="U177">
        <v>135</v>
      </c>
      <c r="V177">
        <v>125.4</v>
      </c>
      <c r="W177">
        <v>133.5</v>
      </c>
      <c r="X177">
        <v>138.6</v>
      </c>
      <c r="Y177">
        <v>125.7</v>
      </c>
      <c r="Z177">
        <v>128.80000000000001</v>
      </c>
      <c r="AA177">
        <v>127.4</v>
      </c>
      <c r="AB177">
        <v>115.3</v>
      </c>
      <c r="AC177">
        <v>125.1</v>
      </c>
      <c r="AD177">
        <v>136.6</v>
      </c>
      <c r="AE177">
        <v>124.9</v>
      </c>
      <c r="AF177">
        <v>124.9</v>
      </c>
      <c r="AG177">
        <v>134.80000000000001</v>
      </c>
      <c r="AH177">
        <f t="shared" si="18"/>
        <v>1796.7</v>
      </c>
      <c r="AI177">
        <f t="shared" si="19"/>
        <v>125.7</v>
      </c>
      <c r="AJ177">
        <f t="shared" si="20"/>
        <v>115.3</v>
      </c>
      <c r="AK177">
        <f t="shared" si="21"/>
        <v>136.6</v>
      </c>
      <c r="AL177">
        <f t="shared" si="22"/>
        <v>1319.8000000000002</v>
      </c>
      <c r="AM177" t="str">
        <f t="shared" si="23"/>
        <v>No</v>
      </c>
    </row>
    <row r="178" spans="1:39" x14ac:dyDescent="0.3">
      <c r="A178" t="s">
        <v>33</v>
      </c>
      <c r="B178" s="28">
        <f t="shared" si="16"/>
        <v>43040</v>
      </c>
      <c r="C178">
        <v>2017</v>
      </c>
      <c r="D178" t="s">
        <v>44</v>
      </c>
      <c r="E178" t="str">
        <f t="shared" si="17"/>
        <v>Nov-17</v>
      </c>
      <c r="F178">
        <f>VLOOKUP(D178,'Problem Statement 4'!$G$2:$H$13,2,0)</f>
        <v>11</v>
      </c>
      <c r="G178">
        <v>135.69999999999999</v>
      </c>
      <c r="H178">
        <v>142.4</v>
      </c>
      <c r="I178">
        <v>142.9</v>
      </c>
      <c r="J178">
        <v>140.80000000000001</v>
      </c>
      <c r="K178">
        <v>119.2</v>
      </c>
      <c r="L178">
        <v>142.19999999999999</v>
      </c>
      <c r="M178">
        <v>173.8</v>
      </c>
      <c r="N178">
        <v>131.19999999999999</v>
      </c>
      <c r="O178">
        <v>123</v>
      </c>
      <c r="P178">
        <v>136.80000000000001</v>
      </c>
      <c r="Q178">
        <v>129.19999999999999</v>
      </c>
      <c r="R178">
        <v>148.9</v>
      </c>
      <c r="S178">
        <v>142.1</v>
      </c>
      <c r="T178">
        <v>153.19999999999999</v>
      </c>
      <c r="U178">
        <v>143</v>
      </c>
      <c r="V178">
        <v>134.80000000000001</v>
      </c>
      <c r="W178">
        <v>141.80000000000001</v>
      </c>
      <c r="X178">
        <v>138.6</v>
      </c>
      <c r="Y178">
        <v>135.30000000000001</v>
      </c>
      <c r="Z178">
        <v>134.4</v>
      </c>
      <c r="AA178">
        <v>132.6</v>
      </c>
      <c r="AB178">
        <v>118.3</v>
      </c>
      <c r="AC178">
        <v>128.9</v>
      </c>
      <c r="AD178">
        <v>138.6</v>
      </c>
      <c r="AE178">
        <v>126.8</v>
      </c>
      <c r="AF178">
        <v>128.4</v>
      </c>
      <c r="AG178">
        <v>137.6</v>
      </c>
      <c r="AH178">
        <f t="shared" si="18"/>
        <v>1808.2</v>
      </c>
      <c r="AI178">
        <f t="shared" si="19"/>
        <v>135.30000000000001</v>
      </c>
      <c r="AJ178">
        <f t="shared" si="20"/>
        <v>118.3</v>
      </c>
      <c r="AK178">
        <f t="shared" si="21"/>
        <v>138.6</v>
      </c>
      <c r="AL178">
        <f t="shared" si="22"/>
        <v>1362.5</v>
      </c>
      <c r="AM178" t="str">
        <f t="shared" si="23"/>
        <v>No</v>
      </c>
    </row>
    <row r="179" spans="1:39" x14ac:dyDescent="0.3">
      <c r="A179" t="s">
        <v>30</v>
      </c>
      <c r="B179" s="28">
        <f t="shared" si="16"/>
        <v>43070</v>
      </c>
      <c r="C179">
        <v>2017</v>
      </c>
      <c r="D179" t="s">
        <v>45</v>
      </c>
      <c r="E179" t="str">
        <f t="shared" si="17"/>
        <v>Dec-17</v>
      </c>
      <c r="F179">
        <f>VLOOKUP(D179,'Problem Statement 4'!$G$2:$H$13,2,0)</f>
        <v>12</v>
      </c>
      <c r="G179">
        <v>136.4</v>
      </c>
      <c r="H179">
        <v>143.69999999999999</v>
      </c>
      <c r="I179">
        <v>144.80000000000001</v>
      </c>
      <c r="J179">
        <v>141.9</v>
      </c>
      <c r="K179">
        <v>123.1</v>
      </c>
      <c r="L179">
        <v>147.19999999999999</v>
      </c>
      <c r="M179">
        <v>161</v>
      </c>
      <c r="N179">
        <v>133.80000000000001</v>
      </c>
      <c r="O179">
        <v>121.9</v>
      </c>
      <c r="P179">
        <v>135.80000000000001</v>
      </c>
      <c r="Q179">
        <v>131.1</v>
      </c>
      <c r="R179">
        <v>151.4</v>
      </c>
      <c r="S179">
        <v>141.5</v>
      </c>
      <c r="T179">
        <v>153.19999999999999</v>
      </c>
      <c r="U179">
        <v>148</v>
      </c>
      <c r="V179">
        <v>141.9</v>
      </c>
      <c r="W179">
        <v>147.19999999999999</v>
      </c>
      <c r="X179">
        <v>139.1</v>
      </c>
      <c r="Y179">
        <v>142.6</v>
      </c>
      <c r="Z179">
        <v>139.5</v>
      </c>
      <c r="AA179">
        <v>136.1</v>
      </c>
      <c r="AB179">
        <v>122</v>
      </c>
      <c r="AC179">
        <v>133.4</v>
      </c>
      <c r="AD179">
        <v>141.1</v>
      </c>
      <c r="AE179">
        <v>127.8</v>
      </c>
      <c r="AF179">
        <v>131.9</v>
      </c>
      <c r="AG179">
        <v>139.80000000000001</v>
      </c>
      <c r="AH179">
        <f t="shared" si="18"/>
        <v>1813.6000000000001</v>
      </c>
      <c r="AI179">
        <f t="shared" si="19"/>
        <v>142.6</v>
      </c>
      <c r="AJ179">
        <f t="shared" si="20"/>
        <v>122</v>
      </c>
      <c r="AK179">
        <f t="shared" si="21"/>
        <v>141.1</v>
      </c>
      <c r="AL179">
        <f t="shared" si="22"/>
        <v>1398.1000000000001</v>
      </c>
      <c r="AM179" t="str">
        <f t="shared" si="23"/>
        <v>No</v>
      </c>
    </row>
    <row r="180" spans="1:39" x14ac:dyDescent="0.3">
      <c r="A180" t="s">
        <v>32</v>
      </c>
      <c r="B180" s="28">
        <f t="shared" si="16"/>
        <v>43070</v>
      </c>
      <c r="C180">
        <v>2017</v>
      </c>
      <c r="D180" t="s">
        <v>45</v>
      </c>
      <c r="E180" t="str">
        <f t="shared" si="17"/>
        <v>Dec-17</v>
      </c>
      <c r="F180">
        <f>VLOOKUP(D180,'Problem Statement 4'!$G$2:$H$13,2,0)</f>
        <v>12</v>
      </c>
      <c r="G180">
        <v>134.4</v>
      </c>
      <c r="H180">
        <v>142.6</v>
      </c>
      <c r="I180">
        <v>145.9</v>
      </c>
      <c r="J180">
        <v>139.5</v>
      </c>
      <c r="K180">
        <v>115.9</v>
      </c>
      <c r="L180">
        <v>135</v>
      </c>
      <c r="M180">
        <v>163.19999999999999</v>
      </c>
      <c r="N180">
        <v>119.8</v>
      </c>
      <c r="O180">
        <v>120.7</v>
      </c>
      <c r="P180">
        <v>139.69999999999999</v>
      </c>
      <c r="Q180">
        <v>125.7</v>
      </c>
      <c r="R180">
        <v>146.30000000000001</v>
      </c>
      <c r="S180">
        <v>138.80000000000001</v>
      </c>
      <c r="T180">
        <v>157</v>
      </c>
      <c r="U180">
        <v>135.6</v>
      </c>
      <c r="V180">
        <v>125.6</v>
      </c>
      <c r="W180">
        <v>134</v>
      </c>
      <c r="X180">
        <v>139.1</v>
      </c>
      <c r="Y180">
        <v>126.8</v>
      </c>
      <c r="Z180">
        <v>129.30000000000001</v>
      </c>
      <c r="AA180">
        <v>128.19999999999999</v>
      </c>
      <c r="AB180">
        <v>115.3</v>
      </c>
      <c r="AC180">
        <v>125.6</v>
      </c>
      <c r="AD180">
        <v>136.69999999999999</v>
      </c>
      <c r="AE180">
        <v>124.6</v>
      </c>
      <c r="AF180">
        <v>125.1</v>
      </c>
      <c r="AG180">
        <v>134.1</v>
      </c>
      <c r="AH180">
        <f t="shared" si="18"/>
        <v>1767.5</v>
      </c>
      <c r="AI180">
        <f t="shared" si="19"/>
        <v>126.8</v>
      </c>
      <c r="AJ180">
        <f t="shared" si="20"/>
        <v>115.3</v>
      </c>
      <c r="AK180">
        <f t="shared" si="21"/>
        <v>136.69999999999999</v>
      </c>
      <c r="AL180">
        <f t="shared" si="22"/>
        <v>1324.1</v>
      </c>
      <c r="AM180" t="str">
        <f t="shared" si="23"/>
        <v>No</v>
      </c>
    </row>
    <row r="181" spans="1:39" x14ac:dyDescent="0.3">
      <c r="A181" t="s">
        <v>33</v>
      </c>
      <c r="B181" s="28">
        <f t="shared" si="16"/>
        <v>43070</v>
      </c>
      <c r="C181">
        <v>2017</v>
      </c>
      <c r="D181" t="s">
        <v>45</v>
      </c>
      <c r="E181" t="str">
        <f t="shared" si="17"/>
        <v>Dec-17</v>
      </c>
      <c r="F181">
        <f>VLOOKUP(D181,'Problem Statement 4'!$G$2:$H$13,2,0)</f>
        <v>12</v>
      </c>
      <c r="G181">
        <v>135.80000000000001</v>
      </c>
      <c r="H181">
        <v>143.30000000000001</v>
      </c>
      <c r="I181">
        <v>145.19999999999999</v>
      </c>
      <c r="J181">
        <v>141</v>
      </c>
      <c r="K181">
        <v>120.5</v>
      </c>
      <c r="L181">
        <v>141.5</v>
      </c>
      <c r="M181">
        <v>161.69999999999999</v>
      </c>
      <c r="N181">
        <v>129.1</v>
      </c>
      <c r="O181">
        <v>121.5</v>
      </c>
      <c r="P181">
        <v>137.1</v>
      </c>
      <c r="Q181">
        <v>128.80000000000001</v>
      </c>
      <c r="R181">
        <v>149</v>
      </c>
      <c r="S181">
        <v>140.5</v>
      </c>
      <c r="T181">
        <v>154.19999999999999</v>
      </c>
      <c r="U181">
        <v>143.1</v>
      </c>
      <c r="V181">
        <v>135.1</v>
      </c>
      <c r="W181">
        <v>142</v>
      </c>
      <c r="X181">
        <v>139.1</v>
      </c>
      <c r="Y181">
        <v>136.6</v>
      </c>
      <c r="Z181">
        <v>134.69999999999999</v>
      </c>
      <c r="AA181">
        <v>133.1</v>
      </c>
      <c r="AB181">
        <v>118.5</v>
      </c>
      <c r="AC181">
        <v>129</v>
      </c>
      <c r="AD181">
        <v>138.5</v>
      </c>
      <c r="AE181">
        <v>126.5</v>
      </c>
      <c r="AF181">
        <v>128.6</v>
      </c>
      <c r="AG181">
        <v>137.19999999999999</v>
      </c>
      <c r="AH181">
        <f t="shared" si="18"/>
        <v>1794.9999999999998</v>
      </c>
      <c r="AI181">
        <f t="shared" si="19"/>
        <v>136.6</v>
      </c>
      <c r="AJ181">
        <f t="shared" si="20"/>
        <v>118.5</v>
      </c>
      <c r="AK181">
        <f t="shared" si="21"/>
        <v>138.5</v>
      </c>
      <c r="AL181">
        <f t="shared" si="22"/>
        <v>1365.4</v>
      </c>
      <c r="AM181" t="str">
        <f t="shared" si="23"/>
        <v>No</v>
      </c>
    </row>
    <row r="182" spans="1:39" x14ac:dyDescent="0.3">
      <c r="A182" t="s">
        <v>30</v>
      </c>
      <c r="B182" s="28">
        <f t="shared" si="16"/>
        <v>43101</v>
      </c>
      <c r="C182">
        <v>2018</v>
      </c>
      <c r="D182" t="s">
        <v>31</v>
      </c>
      <c r="E182" t="str">
        <f t="shared" si="17"/>
        <v>Jan-18</v>
      </c>
      <c r="F182">
        <f>VLOOKUP(D182,'Problem Statement 4'!$G$2:$H$13,2,0)</f>
        <v>1</v>
      </c>
      <c r="G182">
        <v>136.6</v>
      </c>
      <c r="H182">
        <v>144.4</v>
      </c>
      <c r="I182">
        <v>143.80000000000001</v>
      </c>
      <c r="J182">
        <v>142</v>
      </c>
      <c r="K182">
        <v>123.2</v>
      </c>
      <c r="L182">
        <v>147.9</v>
      </c>
      <c r="M182">
        <v>152.1</v>
      </c>
      <c r="N182">
        <v>131.80000000000001</v>
      </c>
      <c r="O182">
        <v>119.5</v>
      </c>
      <c r="P182">
        <v>136</v>
      </c>
      <c r="Q182">
        <v>131.19999999999999</v>
      </c>
      <c r="R182">
        <v>151.80000000000001</v>
      </c>
      <c r="S182">
        <v>140.4</v>
      </c>
      <c r="T182">
        <v>153.6</v>
      </c>
      <c r="U182">
        <v>148.30000000000001</v>
      </c>
      <c r="V182">
        <v>142.30000000000001</v>
      </c>
      <c r="W182">
        <v>147.5</v>
      </c>
      <c r="X182">
        <v>140.4</v>
      </c>
      <c r="Y182">
        <v>142.30000000000001</v>
      </c>
      <c r="Z182">
        <v>139.80000000000001</v>
      </c>
      <c r="AA182">
        <v>136</v>
      </c>
      <c r="AB182">
        <v>122.7</v>
      </c>
      <c r="AC182">
        <v>134.30000000000001</v>
      </c>
      <c r="AD182">
        <v>141.6</v>
      </c>
      <c r="AE182">
        <v>128.6</v>
      </c>
      <c r="AF182">
        <v>132.30000000000001</v>
      </c>
      <c r="AG182">
        <v>139.30000000000001</v>
      </c>
      <c r="AH182">
        <f t="shared" si="18"/>
        <v>1800.7</v>
      </c>
      <c r="AI182">
        <f t="shared" si="19"/>
        <v>142.30000000000001</v>
      </c>
      <c r="AJ182">
        <f t="shared" si="20"/>
        <v>122.7</v>
      </c>
      <c r="AK182">
        <f t="shared" si="21"/>
        <v>141.6</v>
      </c>
      <c r="AL182">
        <f t="shared" si="22"/>
        <v>1403.1</v>
      </c>
      <c r="AM182" t="str">
        <f t="shared" si="23"/>
        <v>No</v>
      </c>
    </row>
    <row r="183" spans="1:39" x14ac:dyDescent="0.3">
      <c r="A183" t="s">
        <v>32</v>
      </c>
      <c r="B183" s="28">
        <f t="shared" si="16"/>
        <v>43101</v>
      </c>
      <c r="C183">
        <v>2018</v>
      </c>
      <c r="D183" t="s">
        <v>31</v>
      </c>
      <c r="E183" t="str">
        <f t="shared" si="17"/>
        <v>Jan-18</v>
      </c>
      <c r="F183">
        <f>VLOOKUP(D183,'Problem Statement 4'!$G$2:$H$13,2,0)</f>
        <v>1</v>
      </c>
      <c r="G183">
        <v>134.6</v>
      </c>
      <c r="H183">
        <v>143.69999999999999</v>
      </c>
      <c r="I183">
        <v>143.6</v>
      </c>
      <c r="J183">
        <v>139.6</v>
      </c>
      <c r="K183">
        <v>116.4</v>
      </c>
      <c r="L183">
        <v>133.80000000000001</v>
      </c>
      <c r="M183">
        <v>150.5</v>
      </c>
      <c r="N183">
        <v>118.4</v>
      </c>
      <c r="O183">
        <v>117.3</v>
      </c>
      <c r="P183">
        <v>140.5</v>
      </c>
      <c r="Q183">
        <v>125.9</v>
      </c>
      <c r="R183">
        <v>146.80000000000001</v>
      </c>
      <c r="S183">
        <v>137.19999999999999</v>
      </c>
      <c r="T183">
        <v>157.69999999999999</v>
      </c>
      <c r="U183">
        <v>136</v>
      </c>
      <c r="V183">
        <v>125.9</v>
      </c>
      <c r="W183">
        <v>134.4</v>
      </c>
      <c r="X183">
        <v>140.4</v>
      </c>
      <c r="Y183">
        <v>127.3</v>
      </c>
      <c r="Z183">
        <v>129.5</v>
      </c>
      <c r="AA183">
        <v>129</v>
      </c>
      <c r="AB183">
        <v>116.3</v>
      </c>
      <c r="AC183">
        <v>126.2</v>
      </c>
      <c r="AD183">
        <v>137.1</v>
      </c>
      <c r="AE183">
        <v>125.5</v>
      </c>
      <c r="AF183">
        <v>125.8</v>
      </c>
      <c r="AG183">
        <v>134.1</v>
      </c>
      <c r="AH183">
        <f t="shared" si="18"/>
        <v>1748.3000000000002</v>
      </c>
      <c r="AI183">
        <f t="shared" si="19"/>
        <v>127.3</v>
      </c>
      <c r="AJ183">
        <f t="shared" si="20"/>
        <v>116.3</v>
      </c>
      <c r="AK183">
        <f t="shared" si="21"/>
        <v>137.1</v>
      </c>
      <c r="AL183">
        <f t="shared" si="22"/>
        <v>1330.3999999999999</v>
      </c>
      <c r="AM183" t="str">
        <f t="shared" si="23"/>
        <v>No</v>
      </c>
    </row>
    <row r="184" spans="1:39" x14ac:dyDescent="0.3">
      <c r="A184" t="s">
        <v>33</v>
      </c>
      <c r="B184" s="28">
        <f t="shared" si="16"/>
        <v>43101</v>
      </c>
      <c r="C184">
        <v>2018</v>
      </c>
      <c r="D184" t="s">
        <v>31</v>
      </c>
      <c r="E184" t="str">
        <f t="shared" si="17"/>
        <v>Jan-18</v>
      </c>
      <c r="F184">
        <f>VLOOKUP(D184,'Problem Statement 4'!$G$2:$H$13,2,0)</f>
        <v>1</v>
      </c>
      <c r="G184">
        <v>136</v>
      </c>
      <c r="H184">
        <v>144.19999999999999</v>
      </c>
      <c r="I184">
        <v>143.69999999999999</v>
      </c>
      <c r="J184">
        <v>141.1</v>
      </c>
      <c r="K184">
        <v>120.7</v>
      </c>
      <c r="L184">
        <v>141.30000000000001</v>
      </c>
      <c r="M184">
        <v>151.6</v>
      </c>
      <c r="N184">
        <v>127.3</v>
      </c>
      <c r="O184">
        <v>118.8</v>
      </c>
      <c r="P184">
        <v>137.5</v>
      </c>
      <c r="Q184">
        <v>129</v>
      </c>
      <c r="R184">
        <v>149.5</v>
      </c>
      <c r="S184">
        <v>139.19999999999999</v>
      </c>
      <c r="T184">
        <v>154.69999999999999</v>
      </c>
      <c r="U184">
        <v>143.5</v>
      </c>
      <c r="V184">
        <v>135.5</v>
      </c>
      <c r="W184">
        <v>142.30000000000001</v>
      </c>
      <c r="X184">
        <v>140.4</v>
      </c>
      <c r="Y184">
        <v>136.6</v>
      </c>
      <c r="Z184">
        <v>134.9</v>
      </c>
      <c r="AA184">
        <v>133.30000000000001</v>
      </c>
      <c r="AB184">
        <v>119.3</v>
      </c>
      <c r="AC184">
        <v>129.69999999999999</v>
      </c>
      <c r="AD184">
        <v>139</v>
      </c>
      <c r="AE184">
        <v>127.3</v>
      </c>
      <c r="AF184">
        <v>129.1</v>
      </c>
      <c r="AG184">
        <v>136.9</v>
      </c>
      <c r="AH184">
        <f t="shared" si="18"/>
        <v>1779.9</v>
      </c>
      <c r="AI184">
        <f t="shared" si="19"/>
        <v>136.6</v>
      </c>
      <c r="AJ184">
        <f t="shared" si="20"/>
        <v>119.3</v>
      </c>
      <c r="AK184">
        <f t="shared" si="21"/>
        <v>139</v>
      </c>
      <c r="AL184">
        <f t="shared" si="22"/>
        <v>1370.6999999999998</v>
      </c>
      <c r="AM184" t="str">
        <f t="shared" si="23"/>
        <v>No</v>
      </c>
    </row>
    <row r="185" spans="1:39" x14ac:dyDescent="0.3">
      <c r="A185" t="s">
        <v>30</v>
      </c>
      <c r="B185" s="28">
        <f t="shared" si="16"/>
        <v>43132</v>
      </c>
      <c r="C185">
        <v>2018</v>
      </c>
      <c r="D185" t="s">
        <v>34</v>
      </c>
      <c r="E185" t="str">
        <f t="shared" si="17"/>
        <v>Feb-18</v>
      </c>
      <c r="F185">
        <f>VLOOKUP(D185,'Problem Statement 4'!$G$2:$H$13,2,0)</f>
        <v>2</v>
      </c>
      <c r="G185">
        <v>136.4</v>
      </c>
      <c r="H185">
        <v>143.69999999999999</v>
      </c>
      <c r="I185">
        <v>140.6</v>
      </c>
      <c r="J185">
        <v>141.5</v>
      </c>
      <c r="K185">
        <v>122.9</v>
      </c>
      <c r="L185">
        <v>149.4</v>
      </c>
      <c r="M185">
        <v>142.4</v>
      </c>
      <c r="N185">
        <v>130.19999999999999</v>
      </c>
      <c r="O185">
        <v>117.9</v>
      </c>
      <c r="P185">
        <v>135.6</v>
      </c>
      <c r="Q185">
        <v>130.5</v>
      </c>
      <c r="R185">
        <v>151.69999999999999</v>
      </c>
      <c r="S185">
        <v>138.69999999999999</v>
      </c>
      <c r="T185">
        <v>153.30000000000001</v>
      </c>
      <c r="U185">
        <v>148.69999999999999</v>
      </c>
      <c r="V185">
        <v>142.4</v>
      </c>
      <c r="W185">
        <v>147.80000000000001</v>
      </c>
      <c r="X185">
        <v>141.30000000000001</v>
      </c>
      <c r="Y185">
        <v>142.4</v>
      </c>
      <c r="Z185">
        <v>139.9</v>
      </c>
      <c r="AA185">
        <v>136.19999999999999</v>
      </c>
      <c r="AB185">
        <v>123.3</v>
      </c>
      <c r="AC185">
        <v>134.30000000000001</v>
      </c>
      <c r="AD185">
        <v>141.5</v>
      </c>
      <c r="AE185">
        <v>128.80000000000001</v>
      </c>
      <c r="AF185">
        <v>132.5</v>
      </c>
      <c r="AG185">
        <v>138.5</v>
      </c>
      <c r="AH185">
        <f t="shared" si="18"/>
        <v>1781.5</v>
      </c>
      <c r="AI185">
        <f t="shared" si="19"/>
        <v>142.4</v>
      </c>
      <c r="AJ185">
        <f t="shared" si="20"/>
        <v>123.3</v>
      </c>
      <c r="AK185">
        <f t="shared" si="21"/>
        <v>141.5</v>
      </c>
      <c r="AL185">
        <f t="shared" si="22"/>
        <v>1405.1999999999998</v>
      </c>
      <c r="AM185" t="str">
        <f t="shared" si="23"/>
        <v>No</v>
      </c>
    </row>
    <row r="186" spans="1:39" x14ac:dyDescent="0.3">
      <c r="A186" t="s">
        <v>32</v>
      </c>
      <c r="B186" s="28">
        <f t="shared" si="16"/>
        <v>43132</v>
      </c>
      <c r="C186">
        <v>2018</v>
      </c>
      <c r="D186" t="s">
        <v>34</v>
      </c>
      <c r="E186" t="str">
        <f t="shared" si="17"/>
        <v>Feb-18</v>
      </c>
      <c r="F186">
        <f>VLOOKUP(D186,'Problem Statement 4'!$G$2:$H$13,2,0)</f>
        <v>2</v>
      </c>
      <c r="G186">
        <v>134.80000000000001</v>
      </c>
      <c r="H186">
        <v>143</v>
      </c>
      <c r="I186">
        <v>139.9</v>
      </c>
      <c r="J186">
        <v>139.9</v>
      </c>
      <c r="K186">
        <v>116.2</v>
      </c>
      <c r="L186">
        <v>135.5</v>
      </c>
      <c r="M186">
        <v>136.9</v>
      </c>
      <c r="N186">
        <v>117</v>
      </c>
      <c r="O186">
        <v>115.4</v>
      </c>
      <c r="P186">
        <v>140.69999999999999</v>
      </c>
      <c r="Q186">
        <v>125.9</v>
      </c>
      <c r="R186">
        <v>147.1</v>
      </c>
      <c r="S186">
        <v>135.6</v>
      </c>
      <c r="T186">
        <v>159.30000000000001</v>
      </c>
      <c r="U186">
        <v>136.30000000000001</v>
      </c>
      <c r="V186">
        <v>126.1</v>
      </c>
      <c r="W186">
        <v>134.69999999999999</v>
      </c>
      <c r="X186">
        <v>141.30000000000001</v>
      </c>
      <c r="Y186">
        <v>127.3</v>
      </c>
      <c r="Z186">
        <v>129.9</v>
      </c>
      <c r="AA186">
        <v>129.80000000000001</v>
      </c>
      <c r="AB186">
        <v>117.4</v>
      </c>
      <c r="AC186">
        <v>126.5</v>
      </c>
      <c r="AD186">
        <v>137.19999999999999</v>
      </c>
      <c r="AE186">
        <v>126.2</v>
      </c>
      <c r="AF186">
        <v>126.5</v>
      </c>
      <c r="AG186">
        <v>134</v>
      </c>
      <c r="AH186">
        <f t="shared" si="18"/>
        <v>1727.9</v>
      </c>
      <c r="AI186">
        <f t="shared" si="19"/>
        <v>127.3</v>
      </c>
      <c r="AJ186">
        <f t="shared" si="20"/>
        <v>117.4</v>
      </c>
      <c r="AK186">
        <f t="shared" si="21"/>
        <v>137.19999999999999</v>
      </c>
      <c r="AL186">
        <f t="shared" si="22"/>
        <v>1336.6000000000001</v>
      </c>
      <c r="AM186" t="str">
        <f t="shared" si="23"/>
        <v>No</v>
      </c>
    </row>
    <row r="187" spans="1:39" x14ac:dyDescent="0.3">
      <c r="A187" t="s">
        <v>33</v>
      </c>
      <c r="B187" s="28">
        <f t="shared" si="16"/>
        <v>43132</v>
      </c>
      <c r="C187">
        <v>2018</v>
      </c>
      <c r="D187" t="s">
        <v>34</v>
      </c>
      <c r="E187" t="str">
        <f t="shared" si="17"/>
        <v>Feb-18</v>
      </c>
      <c r="F187">
        <f>VLOOKUP(D187,'Problem Statement 4'!$G$2:$H$13,2,0)</f>
        <v>2</v>
      </c>
      <c r="G187">
        <v>135.9</v>
      </c>
      <c r="H187">
        <v>143.5</v>
      </c>
      <c r="I187">
        <v>140.30000000000001</v>
      </c>
      <c r="J187">
        <v>140.9</v>
      </c>
      <c r="K187">
        <v>120.4</v>
      </c>
      <c r="L187">
        <v>142.9</v>
      </c>
      <c r="M187">
        <v>140.5</v>
      </c>
      <c r="N187">
        <v>125.8</v>
      </c>
      <c r="O187">
        <v>117.1</v>
      </c>
      <c r="P187">
        <v>137.30000000000001</v>
      </c>
      <c r="Q187">
        <v>128.6</v>
      </c>
      <c r="R187">
        <v>149.6</v>
      </c>
      <c r="S187">
        <v>137.6</v>
      </c>
      <c r="T187">
        <v>154.9</v>
      </c>
      <c r="U187">
        <v>143.80000000000001</v>
      </c>
      <c r="V187">
        <v>135.6</v>
      </c>
      <c r="W187">
        <v>142.6</v>
      </c>
      <c r="X187">
        <v>141.30000000000001</v>
      </c>
      <c r="Y187">
        <v>136.69999999999999</v>
      </c>
      <c r="Z187">
        <v>135.19999999999999</v>
      </c>
      <c r="AA187">
        <v>133.80000000000001</v>
      </c>
      <c r="AB187">
        <v>120.2</v>
      </c>
      <c r="AC187">
        <v>129.9</v>
      </c>
      <c r="AD187">
        <v>139</v>
      </c>
      <c r="AE187">
        <v>127.7</v>
      </c>
      <c r="AF187">
        <v>129.6</v>
      </c>
      <c r="AG187">
        <v>136.4</v>
      </c>
      <c r="AH187">
        <f t="shared" si="18"/>
        <v>1760.3999999999996</v>
      </c>
      <c r="AI187">
        <f t="shared" si="19"/>
        <v>136.69999999999999</v>
      </c>
      <c r="AJ187">
        <f t="shared" si="20"/>
        <v>120.2</v>
      </c>
      <c r="AK187">
        <f t="shared" si="21"/>
        <v>139</v>
      </c>
      <c r="AL187">
        <f t="shared" si="22"/>
        <v>1374.4</v>
      </c>
      <c r="AM187" t="str">
        <f t="shared" si="23"/>
        <v>No</v>
      </c>
    </row>
    <row r="188" spans="1:39" x14ac:dyDescent="0.3">
      <c r="A188" t="s">
        <v>30</v>
      </c>
      <c r="B188" s="28">
        <f t="shared" si="16"/>
        <v>43160</v>
      </c>
      <c r="C188">
        <v>2018</v>
      </c>
      <c r="D188" t="s">
        <v>35</v>
      </c>
      <c r="E188" t="str">
        <f t="shared" si="17"/>
        <v>Mar-18</v>
      </c>
      <c r="F188">
        <f>VLOOKUP(D188,'Problem Statement 4'!$G$2:$H$13,2,0)</f>
        <v>3</v>
      </c>
      <c r="G188">
        <v>136.80000000000001</v>
      </c>
      <c r="H188">
        <v>143.80000000000001</v>
      </c>
      <c r="I188">
        <v>140</v>
      </c>
      <c r="J188">
        <v>142</v>
      </c>
      <c r="K188">
        <v>123.2</v>
      </c>
      <c r="L188">
        <v>152.9</v>
      </c>
      <c r="M188">
        <v>138</v>
      </c>
      <c r="N188">
        <v>129.30000000000001</v>
      </c>
      <c r="O188">
        <v>117.1</v>
      </c>
      <c r="P188">
        <v>136.30000000000001</v>
      </c>
      <c r="Q188">
        <v>131.19999999999999</v>
      </c>
      <c r="R188">
        <v>152.80000000000001</v>
      </c>
      <c r="S188">
        <v>138.6</v>
      </c>
      <c r="T188">
        <v>155.1</v>
      </c>
      <c r="U188">
        <v>149.19999999999999</v>
      </c>
      <c r="V188">
        <v>143</v>
      </c>
      <c r="W188">
        <v>148.30000000000001</v>
      </c>
      <c r="X188">
        <v>142</v>
      </c>
      <c r="Y188">
        <v>142.6</v>
      </c>
      <c r="Z188">
        <v>139.9</v>
      </c>
      <c r="AA188">
        <v>136.69999999999999</v>
      </c>
      <c r="AB188">
        <v>124.6</v>
      </c>
      <c r="AC188">
        <v>135.1</v>
      </c>
      <c r="AD188">
        <v>142.69999999999999</v>
      </c>
      <c r="AE188">
        <v>129.30000000000001</v>
      </c>
      <c r="AF188">
        <v>133.30000000000001</v>
      </c>
      <c r="AG188">
        <v>138.69999999999999</v>
      </c>
      <c r="AH188">
        <f t="shared" si="18"/>
        <v>1781.9999999999998</v>
      </c>
      <c r="AI188">
        <f t="shared" si="19"/>
        <v>142.6</v>
      </c>
      <c r="AJ188">
        <f t="shared" si="20"/>
        <v>124.6</v>
      </c>
      <c r="AK188">
        <f t="shared" si="21"/>
        <v>142.69999999999999</v>
      </c>
      <c r="AL188">
        <f t="shared" si="22"/>
        <v>1411.8999999999996</v>
      </c>
      <c r="AM188" t="str">
        <f t="shared" si="23"/>
        <v>No</v>
      </c>
    </row>
    <row r="189" spans="1:39" x14ac:dyDescent="0.3">
      <c r="A189" t="s">
        <v>32</v>
      </c>
      <c r="B189" s="28">
        <f t="shared" si="16"/>
        <v>43160</v>
      </c>
      <c r="C189">
        <v>2018</v>
      </c>
      <c r="D189" t="s">
        <v>35</v>
      </c>
      <c r="E189" t="str">
        <f t="shared" si="17"/>
        <v>Mar-18</v>
      </c>
      <c r="F189">
        <f>VLOOKUP(D189,'Problem Statement 4'!$G$2:$H$13,2,0)</f>
        <v>3</v>
      </c>
      <c r="G189">
        <v>135</v>
      </c>
      <c r="H189">
        <v>143.1</v>
      </c>
      <c r="I189">
        <v>135.5</v>
      </c>
      <c r="J189">
        <v>139.9</v>
      </c>
      <c r="K189">
        <v>116.5</v>
      </c>
      <c r="L189">
        <v>138.5</v>
      </c>
      <c r="M189">
        <v>128</v>
      </c>
      <c r="N189">
        <v>115.5</v>
      </c>
      <c r="O189">
        <v>114.2</v>
      </c>
      <c r="P189">
        <v>140.69999999999999</v>
      </c>
      <c r="Q189">
        <v>126.2</v>
      </c>
      <c r="R189">
        <v>147.6</v>
      </c>
      <c r="S189">
        <v>134.80000000000001</v>
      </c>
      <c r="T189">
        <v>159.69999999999999</v>
      </c>
      <c r="U189">
        <v>136.69999999999999</v>
      </c>
      <c r="V189">
        <v>126.7</v>
      </c>
      <c r="W189">
        <v>135.19999999999999</v>
      </c>
      <c r="X189">
        <v>142</v>
      </c>
      <c r="Y189">
        <v>126.4</v>
      </c>
      <c r="Z189">
        <v>130.80000000000001</v>
      </c>
      <c r="AA189">
        <v>130.5</v>
      </c>
      <c r="AB189">
        <v>117.8</v>
      </c>
      <c r="AC189">
        <v>126.8</v>
      </c>
      <c r="AD189">
        <v>137.80000000000001</v>
      </c>
      <c r="AE189">
        <v>126.7</v>
      </c>
      <c r="AF189">
        <v>127.1</v>
      </c>
      <c r="AG189">
        <v>134</v>
      </c>
      <c r="AH189">
        <f t="shared" si="18"/>
        <v>1715.5</v>
      </c>
      <c r="AI189">
        <f t="shared" si="19"/>
        <v>126.4</v>
      </c>
      <c r="AJ189">
        <f t="shared" si="20"/>
        <v>117.8</v>
      </c>
      <c r="AK189">
        <f t="shared" si="21"/>
        <v>137.80000000000001</v>
      </c>
      <c r="AL189">
        <f t="shared" si="22"/>
        <v>1342.1999999999998</v>
      </c>
      <c r="AM189" t="str">
        <f t="shared" si="23"/>
        <v>No</v>
      </c>
    </row>
    <row r="190" spans="1:39" x14ac:dyDescent="0.3">
      <c r="A190" t="s">
        <v>33</v>
      </c>
      <c r="B190" s="28">
        <f t="shared" si="16"/>
        <v>43160</v>
      </c>
      <c r="C190">
        <v>2018</v>
      </c>
      <c r="D190" t="s">
        <v>35</v>
      </c>
      <c r="E190" t="str">
        <f t="shared" si="17"/>
        <v>Mar-18</v>
      </c>
      <c r="F190">
        <f>VLOOKUP(D190,'Problem Statement 4'!$G$2:$H$13,2,0)</f>
        <v>3</v>
      </c>
      <c r="G190">
        <v>136.19999999999999</v>
      </c>
      <c r="H190">
        <v>143.6</v>
      </c>
      <c r="I190">
        <v>138.30000000000001</v>
      </c>
      <c r="J190">
        <v>141.19999999999999</v>
      </c>
      <c r="K190">
        <v>120.7</v>
      </c>
      <c r="L190">
        <v>146.19999999999999</v>
      </c>
      <c r="M190">
        <v>134.6</v>
      </c>
      <c r="N190">
        <v>124.6</v>
      </c>
      <c r="O190">
        <v>116.1</v>
      </c>
      <c r="P190">
        <v>137.80000000000001</v>
      </c>
      <c r="Q190">
        <v>129.1</v>
      </c>
      <c r="R190">
        <v>150.4</v>
      </c>
      <c r="S190">
        <v>137.19999999999999</v>
      </c>
      <c r="T190">
        <v>156.30000000000001</v>
      </c>
      <c r="U190">
        <v>144.30000000000001</v>
      </c>
      <c r="V190">
        <v>136.19999999999999</v>
      </c>
      <c r="W190">
        <v>143.1</v>
      </c>
      <c r="X190">
        <v>142</v>
      </c>
      <c r="Y190">
        <v>136.5</v>
      </c>
      <c r="Z190">
        <v>135.6</v>
      </c>
      <c r="AA190">
        <v>134.30000000000001</v>
      </c>
      <c r="AB190">
        <v>121</v>
      </c>
      <c r="AC190">
        <v>130.4</v>
      </c>
      <c r="AD190">
        <v>139.80000000000001</v>
      </c>
      <c r="AE190">
        <v>128.19999999999999</v>
      </c>
      <c r="AF190">
        <v>130.30000000000001</v>
      </c>
      <c r="AG190">
        <v>136.5</v>
      </c>
      <c r="AH190">
        <f t="shared" si="18"/>
        <v>1756</v>
      </c>
      <c r="AI190">
        <f t="shared" si="19"/>
        <v>136.5</v>
      </c>
      <c r="AJ190">
        <f t="shared" si="20"/>
        <v>121</v>
      </c>
      <c r="AK190">
        <f t="shared" si="21"/>
        <v>139.80000000000001</v>
      </c>
      <c r="AL190">
        <f t="shared" si="22"/>
        <v>1380.7</v>
      </c>
      <c r="AM190" t="str">
        <f t="shared" si="23"/>
        <v>No</v>
      </c>
    </row>
    <row r="191" spans="1:39" x14ac:dyDescent="0.3">
      <c r="A191" t="s">
        <v>30</v>
      </c>
      <c r="B191" s="28">
        <f t="shared" si="16"/>
        <v>43191</v>
      </c>
      <c r="C191">
        <v>2018</v>
      </c>
      <c r="D191" t="s">
        <v>36</v>
      </c>
      <c r="E191" t="str">
        <f t="shared" si="17"/>
        <v>Apr-18</v>
      </c>
      <c r="F191">
        <f>VLOOKUP(D191,'Problem Statement 4'!$G$2:$H$13,2,0)</f>
        <v>4</v>
      </c>
      <c r="G191">
        <v>137.1</v>
      </c>
      <c r="H191">
        <v>144.5</v>
      </c>
      <c r="I191">
        <v>135.9</v>
      </c>
      <c r="J191">
        <v>142.4</v>
      </c>
      <c r="K191">
        <v>123.5</v>
      </c>
      <c r="L191">
        <v>156.4</v>
      </c>
      <c r="M191">
        <v>135.1</v>
      </c>
      <c r="N191">
        <v>128.4</v>
      </c>
      <c r="O191">
        <v>115.2</v>
      </c>
      <c r="P191">
        <v>137.19999999999999</v>
      </c>
      <c r="Q191">
        <v>131.9</v>
      </c>
      <c r="R191">
        <v>153.80000000000001</v>
      </c>
      <c r="S191">
        <v>138.6</v>
      </c>
      <c r="T191">
        <v>156.1</v>
      </c>
      <c r="U191">
        <v>150.1</v>
      </c>
      <c r="V191">
        <v>143.30000000000001</v>
      </c>
      <c r="W191">
        <v>149.1</v>
      </c>
      <c r="X191">
        <v>142.9</v>
      </c>
      <c r="Y191">
        <v>143.80000000000001</v>
      </c>
      <c r="Z191">
        <v>140.9</v>
      </c>
      <c r="AA191">
        <v>137.6</v>
      </c>
      <c r="AB191">
        <v>125.3</v>
      </c>
      <c r="AC191">
        <v>136</v>
      </c>
      <c r="AD191">
        <v>143.69999999999999</v>
      </c>
      <c r="AE191">
        <v>130.4</v>
      </c>
      <c r="AF191">
        <v>134.19999999999999</v>
      </c>
      <c r="AG191">
        <v>139.1</v>
      </c>
      <c r="AH191">
        <f t="shared" si="18"/>
        <v>1780</v>
      </c>
      <c r="AI191">
        <f t="shared" si="19"/>
        <v>143.80000000000001</v>
      </c>
      <c r="AJ191">
        <f t="shared" si="20"/>
        <v>125.3</v>
      </c>
      <c r="AK191">
        <f t="shared" si="21"/>
        <v>143.69999999999999</v>
      </c>
      <c r="AL191">
        <f t="shared" si="22"/>
        <v>1420.6000000000001</v>
      </c>
      <c r="AM191" t="str">
        <f t="shared" si="23"/>
        <v>No</v>
      </c>
    </row>
    <row r="192" spans="1:39" x14ac:dyDescent="0.3">
      <c r="A192" t="s">
        <v>32</v>
      </c>
      <c r="B192" s="28">
        <f t="shared" si="16"/>
        <v>43191</v>
      </c>
      <c r="C192">
        <v>2018</v>
      </c>
      <c r="D192" t="s">
        <v>36</v>
      </c>
      <c r="E192" t="str">
        <f t="shared" si="17"/>
        <v>Apr-18</v>
      </c>
      <c r="F192">
        <f>VLOOKUP(D192,'Problem Statement 4'!$G$2:$H$13,2,0)</f>
        <v>4</v>
      </c>
      <c r="G192">
        <v>135</v>
      </c>
      <c r="H192">
        <v>144.30000000000001</v>
      </c>
      <c r="I192">
        <v>130.80000000000001</v>
      </c>
      <c r="J192">
        <v>140.30000000000001</v>
      </c>
      <c r="K192">
        <v>116.6</v>
      </c>
      <c r="L192">
        <v>150.1</v>
      </c>
      <c r="M192">
        <v>127.6</v>
      </c>
      <c r="N192">
        <v>114</v>
      </c>
      <c r="O192">
        <v>110.6</v>
      </c>
      <c r="P192">
        <v>140.19999999999999</v>
      </c>
      <c r="Q192">
        <v>126.5</v>
      </c>
      <c r="R192">
        <v>148.30000000000001</v>
      </c>
      <c r="S192">
        <v>135.69999999999999</v>
      </c>
      <c r="T192">
        <v>159.19999999999999</v>
      </c>
      <c r="U192">
        <v>137.80000000000001</v>
      </c>
      <c r="V192">
        <v>127.4</v>
      </c>
      <c r="W192">
        <v>136.19999999999999</v>
      </c>
      <c r="X192">
        <v>142.9</v>
      </c>
      <c r="Y192">
        <v>124.6</v>
      </c>
      <c r="Z192">
        <v>131.80000000000001</v>
      </c>
      <c r="AA192">
        <v>131.30000000000001</v>
      </c>
      <c r="AB192">
        <v>118.9</v>
      </c>
      <c r="AC192">
        <v>127.6</v>
      </c>
      <c r="AD192">
        <v>139.69999999999999</v>
      </c>
      <c r="AE192">
        <v>127.6</v>
      </c>
      <c r="AF192">
        <v>128.19999999999999</v>
      </c>
      <c r="AG192">
        <v>134.80000000000001</v>
      </c>
      <c r="AH192">
        <f t="shared" si="18"/>
        <v>1720.0000000000002</v>
      </c>
      <c r="AI192">
        <f t="shared" si="19"/>
        <v>124.6</v>
      </c>
      <c r="AJ192">
        <f t="shared" si="20"/>
        <v>118.9</v>
      </c>
      <c r="AK192">
        <f t="shared" si="21"/>
        <v>139.69999999999999</v>
      </c>
      <c r="AL192">
        <f t="shared" si="22"/>
        <v>1349.9999999999998</v>
      </c>
      <c r="AM192" t="str">
        <f t="shared" si="23"/>
        <v>No</v>
      </c>
    </row>
    <row r="193" spans="1:39" x14ac:dyDescent="0.3">
      <c r="A193" t="s">
        <v>33</v>
      </c>
      <c r="B193" s="28">
        <f t="shared" si="16"/>
        <v>43191</v>
      </c>
      <c r="C193">
        <v>2018</v>
      </c>
      <c r="D193" t="s">
        <v>36</v>
      </c>
      <c r="E193" t="str">
        <f t="shared" si="17"/>
        <v>Apr-18</v>
      </c>
      <c r="F193">
        <f>VLOOKUP(D193,'Problem Statement 4'!$G$2:$H$13,2,0)</f>
        <v>4</v>
      </c>
      <c r="G193">
        <v>136.4</v>
      </c>
      <c r="H193">
        <v>144.4</v>
      </c>
      <c r="I193">
        <v>133.9</v>
      </c>
      <c r="J193">
        <v>141.6</v>
      </c>
      <c r="K193">
        <v>121</v>
      </c>
      <c r="L193">
        <v>153.5</v>
      </c>
      <c r="M193">
        <v>132.6</v>
      </c>
      <c r="N193">
        <v>123.5</v>
      </c>
      <c r="O193">
        <v>113.7</v>
      </c>
      <c r="P193">
        <v>138.19999999999999</v>
      </c>
      <c r="Q193">
        <v>129.6</v>
      </c>
      <c r="R193">
        <v>151.19999999999999</v>
      </c>
      <c r="S193">
        <v>137.5</v>
      </c>
      <c r="T193">
        <v>156.9</v>
      </c>
      <c r="U193">
        <v>145.30000000000001</v>
      </c>
      <c r="V193">
        <v>136.69999999999999</v>
      </c>
      <c r="W193">
        <v>144</v>
      </c>
      <c r="X193">
        <v>142.9</v>
      </c>
      <c r="Y193">
        <v>136.5</v>
      </c>
      <c r="Z193">
        <v>136.6</v>
      </c>
      <c r="AA193">
        <v>135.19999999999999</v>
      </c>
      <c r="AB193">
        <v>121.9</v>
      </c>
      <c r="AC193">
        <v>131.30000000000001</v>
      </c>
      <c r="AD193">
        <v>141.4</v>
      </c>
      <c r="AE193">
        <v>129.19999999999999</v>
      </c>
      <c r="AF193">
        <v>131.30000000000001</v>
      </c>
      <c r="AG193">
        <v>137.1</v>
      </c>
      <c r="AH193">
        <f t="shared" si="18"/>
        <v>1757.1000000000001</v>
      </c>
      <c r="AI193">
        <f t="shared" si="19"/>
        <v>136.5</v>
      </c>
      <c r="AJ193">
        <f t="shared" si="20"/>
        <v>121.9</v>
      </c>
      <c r="AK193">
        <f t="shared" si="21"/>
        <v>141.4</v>
      </c>
      <c r="AL193">
        <f t="shared" si="22"/>
        <v>1389.4</v>
      </c>
      <c r="AM193" t="str">
        <f t="shared" si="23"/>
        <v>No</v>
      </c>
    </row>
    <row r="194" spans="1:39" x14ac:dyDescent="0.3">
      <c r="A194" t="s">
        <v>30</v>
      </c>
      <c r="B194" s="28">
        <f t="shared" si="16"/>
        <v>43221</v>
      </c>
      <c r="C194">
        <v>2018</v>
      </c>
      <c r="D194" t="s">
        <v>37</v>
      </c>
      <c r="E194" t="str">
        <f t="shared" si="17"/>
        <v>May-18</v>
      </c>
      <c r="F194">
        <f>VLOOKUP(D194,'Problem Statement 4'!$G$2:$H$13,2,0)</f>
        <v>5</v>
      </c>
      <c r="G194">
        <v>137.4</v>
      </c>
      <c r="H194">
        <v>145.69999999999999</v>
      </c>
      <c r="I194">
        <v>135.5</v>
      </c>
      <c r="J194">
        <v>142.9</v>
      </c>
      <c r="K194">
        <v>123.6</v>
      </c>
      <c r="L194">
        <v>157.5</v>
      </c>
      <c r="M194">
        <v>137.80000000000001</v>
      </c>
      <c r="N194">
        <v>127.2</v>
      </c>
      <c r="O194">
        <v>111.8</v>
      </c>
      <c r="P194">
        <v>137.4</v>
      </c>
      <c r="Q194">
        <v>132.19999999999999</v>
      </c>
      <c r="R194">
        <v>154.30000000000001</v>
      </c>
      <c r="S194">
        <v>139.1</v>
      </c>
      <c r="T194">
        <v>157</v>
      </c>
      <c r="U194">
        <v>150.80000000000001</v>
      </c>
      <c r="V194">
        <v>144.1</v>
      </c>
      <c r="W194">
        <v>149.80000000000001</v>
      </c>
      <c r="X194">
        <v>143.19999999999999</v>
      </c>
      <c r="Y194">
        <v>144.30000000000001</v>
      </c>
      <c r="Z194">
        <v>141.80000000000001</v>
      </c>
      <c r="AA194">
        <v>138.4</v>
      </c>
      <c r="AB194">
        <v>126.4</v>
      </c>
      <c r="AC194">
        <v>136.80000000000001</v>
      </c>
      <c r="AD194">
        <v>144.4</v>
      </c>
      <c r="AE194">
        <v>131.19999999999999</v>
      </c>
      <c r="AF194">
        <v>135.1</v>
      </c>
      <c r="AG194">
        <v>139.80000000000001</v>
      </c>
      <c r="AH194">
        <f t="shared" si="18"/>
        <v>1782.4</v>
      </c>
      <c r="AI194">
        <f t="shared" si="19"/>
        <v>144.30000000000001</v>
      </c>
      <c r="AJ194">
        <f t="shared" si="20"/>
        <v>126.4</v>
      </c>
      <c r="AK194">
        <f t="shared" si="21"/>
        <v>144.4</v>
      </c>
      <c r="AL194">
        <f t="shared" si="22"/>
        <v>1428.2</v>
      </c>
      <c r="AM194" t="str">
        <f t="shared" si="23"/>
        <v>No</v>
      </c>
    </row>
    <row r="195" spans="1:39" x14ac:dyDescent="0.3">
      <c r="A195" t="s">
        <v>32</v>
      </c>
      <c r="B195" s="28">
        <f t="shared" ref="B195:B258" si="24">DATE(C195,F195,1)</f>
        <v>43221</v>
      </c>
      <c r="C195">
        <v>2018</v>
      </c>
      <c r="D195" t="s">
        <v>37</v>
      </c>
      <c r="E195" t="str">
        <f t="shared" ref="E195:E258" si="25">_xlfn.CONCAT(TEXT(B195,"mmm"),,"-",RIGHT(C195,2))</f>
        <v>May-18</v>
      </c>
      <c r="F195">
        <f>VLOOKUP(D195,'Problem Statement 4'!$G$2:$H$13,2,0)</f>
        <v>5</v>
      </c>
      <c r="G195">
        <v>135</v>
      </c>
      <c r="H195">
        <v>148.19999999999999</v>
      </c>
      <c r="I195">
        <v>130.5</v>
      </c>
      <c r="J195">
        <v>140.69999999999999</v>
      </c>
      <c r="K195">
        <v>116.4</v>
      </c>
      <c r="L195">
        <v>151.30000000000001</v>
      </c>
      <c r="M195">
        <v>131.4</v>
      </c>
      <c r="N195">
        <v>112.8</v>
      </c>
      <c r="O195">
        <v>105.3</v>
      </c>
      <c r="P195">
        <v>139.6</v>
      </c>
      <c r="Q195">
        <v>126.6</v>
      </c>
      <c r="R195">
        <v>148.69999999999999</v>
      </c>
      <c r="S195">
        <v>136.4</v>
      </c>
      <c r="T195">
        <v>160.30000000000001</v>
      </c>
      <c r="U195">
        <v>138.6</v>
      </c>
      <c r="V195">
        <v>127.9</v>
      </c>
      <c r="W195">
        <v>137</v>
      </c>
      <c r="X195">
        <v>143.19999999999999</v>
      </c>
      <c r="Y195">
        <v>124.7</v>
      </c>
      <c r="Z195">
        <v>132.5</v>
      </c>
      <c r="AA195">
        <v>132</v>
      </c>
      <c r="AB195">
        <v>119.8</v>
      </c>
      <c r="AC195">
        <v>128</v>
      </c>
      <c r="AD195">
        <v>140.4</v>
      </c>
      <c r="AE195">
        <v>128.1</v>
      </c>
      <c r="AF195">
        <v>128.9</v>
      </c>
      <c r="AG195">
        <v>135.4</v>
      </c>
      <c r="AH195">
        <f t="shared" ref="AH195:AH258" si="26">SUM(G195:S195)</f>
        <v>1722.8999999999999</v>
      </c>
      <c r="AI195">
        <f t="shared" ref="AI195:AI258" si="27">SUM(Y195)</f>
        <v>124.7</v>
      </c>
      <c r="AJ195">
        <f t="shared" ref="AJ195:AJ258" si="28">SUM(AB195)</f>
        <v>119.8</v>
      </c>
      <c r="AK195">
        <f t="shared" ref="AK195:AK258" si="29">SUM(AD195)</f>
        <v>140.4</v>
      </c>
      <c r="AL195">
        <f t="shared" ref="AL195:AL258" si="30">SUM(T195:X195,Z195:AA195,AC195,AE195:AF195)</f>
        <v>1356.5</v>
      </c>
      <c r="AM195" t="str">
        <f t="shared" ref="AM195:AM258" si="31">IF(AND(L195&gt;150,M195&gt;150),"Yes","No")</f>
        <v>No</v>
      </c>
    </row>
    <row r="196" spans="1:39" x14ac:dyDescent="0.3">
      <c r="A196" t="s">
        <v>33</v>
      </c>
      <c r="B196" s="28">
        <f t="shared" si="24"/>
        <v>43221</v>
      </c>
      <c r="C196">
        <v>2018</v>
      </c>
      <c r="D196" t="s">
        <v>37</v>
      </c>
      <c r="E196" t="str">
        <f t="shared" si="25"/>
        <v>May-18</v>
      </c>
      <c r="F196">
        <f>VLOOKUP(D196,'Problem Statement 4'!$G$2:$H$13,2,0)</f>
        <v>5</v>
      </c>
      <c r="G196">
        <v>136.6</v>
      </c>
      <c r="H196">
        <v>146.6</v>
      </c>
      <c r="I196">
        <v>133.6</v>
      </c>
      <c r="J196">
        <v>142.1</v>
      </c>
      <c r="K196">
        <v>121</v>
      </c>
      <c r="L196">
        <v>154.6</v>
      </c>
      <c r="M196">
        <v>135.6</v>
      </c>
      <c r="N196">
        <v>122.3</v>
      </c>
      <c r="O196">
        <v>109.6</v>
      </c>
      <c r="P196">
        <v>138.1</v>
      </c>
      <c r="Q196">
        <v>129.9</v>
      </c>
      <c r="R196">
        <v>151.69999999999999</v>
      </c>
      <c r="S196">
        <v>138.1</v>
      </c>
      <c r="T196">
        <v>157.9</v>
      </c>
      <c r="U196">
        <v>146</v>
      </c>
      <c r="V196">
        <v>137.4</v>
      </c>
      <c r="W196">
        <v>144.69999999999999</v>
      </c>
      <c r="X196">
        <v>143.19999999999999</v>
      </c>
      <c r="Y196">
        <v>136.9</v>
      </c>
      <c r="Z196">
        <v>137.4</v>
      </c>
      <c r="AA196">
        <v>136</v>
      </c>
      <c r="AB196">
        <v>122.9</v>
      </c>
      <c r="AC196">
        <v>131.80000000000001</v>
      </c>
      <c r="AD196">
        <v>142.1</v>
      </c>
      <c r="AE196">
        <v>129.9</v>
      </c>
      <c r="AF196">
        <v>132.1</v>
      </c>
      <c r="AG196">
        <v>137.80000000000001</v>
      </c>
      <c r="AH196">
        <f t="shared" si="26"/>
        <v>1759.8</v>
      </c>
      <c r="AI196">
        <f t="shared" si="27"/>
        <v>136.9</v>
      </c>
      <c r="AJ196">
        <f t="shared" si="28"/>
        <v>122.9</v>
      </c>
      <c r="AK196">
        <f t="shared" si="29"/>
        <v>142.1</v>
      </c>
      <c r="AL196">
        <f t="shared" si="30"/>
        <v>1396.4</v>
      </c>
      <c r="AM196" t="str">
        <f t="shared" si="31"/>
        <v>No</v>
      </c>
    </row>
    <row r="197" spans="1:39" x14ac:dyDescent="0.3">
      <c r="A197" t="s">
        <v>30</v>
      </c>
      <c r="B197" s="28">
        <f t="shared" si="24"/>
        <v>43252</v>
      </c>
      <c r="C197">
        <v>2018</v>
      </c>
      <c r="D197" t="s">
        <v>38</v>
      </c>
      <c r="E197" t="str">
        <f t="shared" si="25"/>
        <v>Jun-18</v>
      </c>
      <c r="F197">
        <f>VLOOKUP(D197,'Problem Statement 4'!$G$2:$H$13,2,0)</f>
        <v>6</v>
      </c>
      <c r="G197">
        <v>137.6</v>
      </c>
      <c r="H197">
        <v>148.1</v>
      </c>
      <c r="I197">
        <v>136.69999999999999</v>
      </c>
      <c r="J197">
        <v>143.19999999999999</v>
      </c>
      <c r="K197">
        <v>124</v>
      </c>
      <c r="L197">
        <v>154.1</v>
      </c>
      <c r="M197">
        <v>143.5</v>
      </c>
      <c r="N197">
        <v>126</v>
      </c>
      <c r="O197">
        <v>112.4</v>
      </c>
      <c r="P197">
        <v>137.6</v>
      </c>
      <c r="Q197">
        <v>132.80000000000001</v>
      </c>
      <c r="R197">
        <v>154.30000000000001</v>
      </c>
      <c r="S197">
        <v>140</v>
      </c>
      <c r="T197">
        <v>157.30000000000001</v>
      </c>
      <c r="U197">
        <v>151.30000000000001</v>
      </c>
      <c r="V197">
        <v>144.69999999999999</v>
      </c>
      <c r="W197">
        <v>150.30000000000001</v>
      </c>
      <c r="X197">
        <v>142.5</v>
      </c>
      <c r="Y197">
        <v>145.1</v>
      </c>
      <c r="Z197">
        <v>142.19999999999999</v>
      </c>
      <c r="AA197">
        <v>138.4</v>
      </c>
      <c r="AB197">
        <v>127.4</v>
      </c>
      <c r="AC197">
        <v>137.80000000000001</v>
      </c>
      <c r="AD197">
        <v>145.1</v>
      </c>
      <c r="AE197">
        <v>131.4</v>
      </c>
      <c r="AF197">
        <v>135.6</v>
      </c>
      <c r="AG197">
        <v>140.5</v>
      </c>
      <c r="AH197">
        <f t="shared" si="26"/>
        <v>1790.2999999999997</v>
      </c>
      <c r="AI197">
        <f t="shared" si="27"/>
        <v>145.1</v>
      </c>
      <c r="AJ197">
        <f t="shared" si="28"/>
        <v>127.4</v>
      </c>
      <c r="AK197">
        <f t="shared" si="29"/>
        <v>145.1</v>
      </c>
      <c r="AL197">
        <f t="shared" si="30"/>
        <v>1431.5</v>
      </c>
      <c r="AM197" t="str">
        <f t="shared" si="31"/>
        <v>No</v>
      </c>
    </row>
    <row r="198" spans="1:39" x14ac:dyDescent="0.3">
      <c r="A198" t="s">
        <v>32</v>
      </c>
      <c r="B198" s="28">
        <f t="shared" si="24"/>
        <v>43252</v>
      </c>
      <c r="C198">
        <v>2018</v>
      </c>
      <c r="D198" t="s">
        <v>38</v>
      </c>
      <c r="E198" t="str">
        <f t="shared" si="25"/>
        <v>Jun-18</v>
      </c>
      <c r="F198">
        <f>VLOOKUP(D198,'Problem Statement 4'!$G$2:$H$13,2,0)</f>
        <v>6</v>
      </c>
      <c r="G198">
        <v>135.30000000000001</v>
      </c>
      <c r="H198">
        <v>149.69999999999999</v>
      </c>
      <c r="I198">
        <v>133.9</v>
      </c>
      <c r="J198">
        <v>140.80000000000001</v>
      </c>
      <c r="K198">
        <v>116.6</v>
      </c>
      <c r="L198">
        <v>152.19999999999999</v>
      </c>
      <c r="M198">
        <v>144</v>
      </c>
      <c r="N198">
        <v>112.3</v>
      </c>
      <c r="O198">
        <v>108.4</v>
      </c>
      <c r="P198">
        <v>140</v>
      </c>
      <c r="Q198">
        <v>126.7</v>
      </c>
      <c r="R198">
        <v>149</v>
      </c>
      <c r="S198">
        <v>138.4</v>
      </c>
      <c r="T198">
        <v>161</v>
      </c>
      <c r="U198">
        <v>138.9</v>
      </c>
      <c r="V198">
        <v>128.69999999999999</v>
      </c>
      <c r="W198">
        <v>137.4</v>
      </c>
      <c r="X198">
        <v>142.5</v>
      </c>
      <c r="Y198">
        <v>126.5</v>
      </c>
      <c r="Z198">
        <v>133.1</v>
      </c>
      <c r="AA198">
        <v>132.6</v>
      </c>
      <c r="AB198">
        <v>120.4</v>
      </c>
      <c r="AC198">
        <v>128.5</v>
      </c>
      <c r="AD198">
        <v>141.19999999999999</v>
      </c>
      <c r="AE198">
        <v>128.19999999999999</v>
      </c>
      <c r="AF198">
        <v>129.5</v>
      </c>
      <c r="AG198">
        <v>136.19999999999999</v>
      </c>
      <c r="AH198">
        <f t="shared" si="26"/>
        <v>1747.3000000000002</v>
      </c>
      <c r="AI198">
        <f t="shared" si="27"/>
        <v>126.5</v>
      </c>
      <c r="AJ198">
        <f t="shared" si="28"/>
        <v>120.4</v>
      </c>
      <c r="AK198">
        <f t="shared" si="29"/>
        <v>141.19999999999999</v>
      </c>
      <c r="AL198">
        <f t="shared" si="30"/>
        <v>1360.4</v>
      </c>
      <c r="AM198" t="str">
        <f t="shared" si="31"/>
        <v>No</v>
      </c>
    </row>
    <row r="199" spans="1:39" x14ac:dyDescent="0.3">
      <c r="A199" t="s">
        <v>33</v>
      </c>
      <c r="B199" s="28">
        <f t="shared" si="24"/>
        <v>43252</v>
      </c>
      <c r="C199">
        <v>2018</v>
      </c>
      <c r="D199" t="s">
        <v>38</v>
      </c>
      <c r="E199" t="str">
        <f t="shared" si="25"/>
        <v>Jun-18</v>
      </c>
      <c r="F199">
        <f>VLOOKUP(D199,'Problem Statement 4'!$G$2:$H$13,2,0)</f>
        <v>6</v>
      </c>
      <c r="G199">
        <v>136.9</v>
      </c>
      <c r="H199">
        <v>148.69999999999999</v>
      </c>
      <c r="I199">
        <v>135.6</v>
      </c>
      <c r="J199">
        <v>142.30000000000001</v>
      </c>
      <c r="K199">
        <v>121.3</v>
      </c>
      <c r="L199">
        <v>153.19999999999999</v>
      </c>
      <c r="M199">
        <v>143.69999999999999</v>
      </c>
      <c r="N199">
        <v>121.4</v>
      </c>
      <c r="O199">
        <v>111.1</v>
      </c>
      <c r="P199">
        <v>138.4</v>
      </c>
      <c r="Q199">
        <v>130.30000000000001</v>
      </c>
      <c r="R199">
        <v>151.80000000000001</v>
      </c>
      <c r="S199">
        <v>139.4</v>
      </c>
      <c r="T199">
        <v>158.30000000000001</v>
      </c>
      <c r="U199">
        <v>146.4</v>
      </c>
      <c r="V199">
        <v>138.1</v>
      </c>
      <c r="W199">
        <v>145.19999999999999</v>
      </c>
      <c r="X199">
        <v>142.5</v>
      </c>
      <c r="Y199">
        <v>138.1</v>
      </c>
      <c r="Z199">
        <v>137.9</v>
      </c>
      <c r="AA199">
        <v>136.19999999999999</v>
      </c>
      <c r="AB199">
        <v>123.7</v>
      </c>
      <c r="AC199">
        <v>132.6</v>
      </c>
      <c r="AD199">
        <v>142.80000000000001</v>
      </c>
      <c r="AE199">
        <v>130.1</v>
      </c>
      <c r="AF199">
        <v>132.6</v>
      </c>
      <c r="AG199">
        <v>138.5</v>
      </c>
      <c r="AH199">
        <f t="shared" si="26"/>
        <v>1774.1000000000001</v>
      </c>
      <c r="AI199">
        <f t="shared" si="27"/>
        <v>138.1</v>
      </c>
      <c r="AJ199">
        <f t="shared" si="28"/>
        <v>123.7</v>
      </c>
      <c r="AK199">
        <f t="shared" si="29"/>
        <v>142.80000000000001</v>
      </c>
      <c r="AL199">
        <f t="shared" si="30"/>
        <v>1399.8999999999996</v>
      </c>
      <c r="AM199" t="str">
        <f t="shared" si="31"/>
        <v>No</v>
      </c>
    </row>
    <row r="200" spans="1:39" x14ac:dyDescent="0.3">
      <c r="A200" t="s">
        <v>30</v>
      </c>
      <c r="B200" s="28">
        <f t="shared" si="24"/>
        <v>43282</v>
      </c>
      <c r="C200">
        <v>2018</v>
      </c>
      <c r="D200" t="s">
        <v>39</v>
      </c>
      <c r="E200" t="str">
        <f t="shared" si="25"/>
        <v>Jul-18</v>
      </c>
      <c r="F200">
        <f>VLOOKUP(D200,'Problem Statement 4'!$G$2:$H$13,2,0)</f>
        <v>7</v>
      </c>
      <c r="G200">
        <v>138.4</v>
      </c>
      <c r="H200">
        <v>149.30000000000001</v>
      </c>
      <c r="I200">
        <v>139.30000000000001</v>
      </c>
      <c r="J200">
        <v>143.4</v>
      </c>
      <c r="K200">
        <v>124.1</v>
      </c>
      <c r="L200">
        <v>153.30000000000001</v>
      </c>
      <c r="M200">
        <v>154.19999999999999</v>
      </c>
      <c r="N200">
        <v>126.4</v>
      </c>
      <c r="O200">
        <v>114.3</v>
      </c>
      <c r="P200">
        <v>138.19999999999999</v>
      </c>
      <c r="Q200">
        <v>132.80000000000001</v>
      </c>
      <c r="R200">
        <v>154.80000000000001</v>
      </c>
      <c r="S200">
        <v>142</v>
      </c>
      <c r="T200">
        <v>156.1</v>
      </c>
      <c r="U200">
        <v>151.5</v>
      </c>
      <c r="V200">
        <v>145.1</v>
      </c>
      <c r="W200">
        <v>150.6</v>
      </c>
      <c r="X200">
        <v>143.6</v>
      </c>
      <c r="Y200">
        <v>146.80000000000001</v>
      </c>
      <c r="Z200">
        <v>143.1</v>
      </c>
      <c r="AA200">
        <v>139</v>
      </c>
      <c r="AB200">
        <v>127.5</v>
      </c>
      <c r="AC200">
        <v>138.4</v>
      </c>
      <c r="AD200">
        <v>145.80000000000001</v>
      </c>
      <c r="AE200">
        <v>131.4</v>
      </c>
      <c r="AF200">
        <v>136</v>
      </c>
      <c r="AG200">
        <v>141.80000000000001</v>
      </c>
      <c r="AH200">
        <f t="shared" si="26"/>
        <v>1810.5000000000002</v>
      </c>
      <c r="AI200">
        <f t="shared" si="27"/>
        <v>146.80000000000001</v>
      </c>
      <c r="AJ200">
        <f t="shared" si="28"/>
        <v>127.5</v>
      </c>
      <c r="AK200">
        <f t="shared" si="29"/>
        <v>145.80000000000001</v>
      </c>
      <c r="AL200">
        <f t="shared" si="30"/>
        <v>1434.8000000000002</v>
      </c>
      <c r="AM200" t="str">
        <f t="shared" si="31"/>
        <v>Yes</v>
      </c>
    </row>
    <row r="201" spans="1:39" x14ac:dyDescent="0.3">
      <c r="A201" t="s">
        <v>32</v>
      </c>
      <c r="B201" s="28">
        <f t="shared" si="24"/>
        <v>43282</v>
      </c>
      <c r="C201">
        <v>2018</v>
      </c>
      <c r="D201" t="s">
        <v>39</v>
      </c>
      <c r="E201" t="str">
        <f t="shared" si="25"/>
        <v>Jul-18</v>
      </c>
      <c r="F201">
        <f>VLOOKUP(D201,'Problem Statement 4'!$G$2:$H$13,2,0)</f>
        <v>7</v>
      </c>
      <c r="G201">
        <v>135.6</v>
      </c>
      <c r="H201">
        <v>148.6</v>
      </c>
      <c r="I201">
        <v>139.1</v>
      </c>
      <c r="J201">
        <v>141</v>
      </c>
      <c r="K201">
        <v>116.7</v>
      </c>
      <c r="L201">
        <v>149.69999999999999</v>
      </c>
      <c r="M201">
        <v>159.19999999999999</v>
      </c>
      <c r="N201">
        <v>112.6</v>
      </c>
      <c r="O201">
        <v>111.8</v>
      </c>
      <c r="P201">
        <v>140.30000000000001</v>
      </c>
      <c r="Q201">
        <v>126.8</v>
      </c>
      <c r="R201">
        <v>149.4</v>
      </c>
      <c r="S201">
        <v>140.30000000000001</v>
      </c>
      <c r="T201">
        <v>161.4</v>
      </c>
      <c r="U201">
        <v>139.6</v>
      </c>
      <c r="V201">
        <v>128.9</v>
      </c>
      <c r="W201">
        <v>137.9</v>
      </c>
      <c r="X201">
        <v>143.6</v>
      </c>
      <c r="Y201">
        <v>128.1</v>
      </c>
      <c r="Z201">
        <v>133.6</v>
      </c>
      <c r="AA201">
        <v>133.6</v>
      </c>
      <c r="AB201">
        <v>120.1</v>
      </c>
      <c r="AC201">
        <v>129</v>
      </c>
      <c r="AD201">
        <v>144</v>
      </c>
      <c r="AE201">
        <v>128.19999999999999</v>
      </c>
      <c r="AF201">
        <v>130.19999999999999</v>
      </c>
      <c r="AG201">
        <v>137.5</v>
      </c>
      <c r="AH201">
        <f t="shared" si="26"/>
        <v>1771.1</v>
      </c>
      <c r="AI201">
        <f t="shared" si="27"/>
        <v>128.1</v>
      </c>
      <c r="AJ201">
        <f t="shared" si="28"/>
        <v>120.1</v>
      </c>
      <c r="AK201">
        <f t="shared" si="29"/>
        <v>144</v>
      </c>
      <c r="AL201">
        <f t="shared" si="30"/>
        <v>1366</v>
      </c>
      <c r="AM201" t="str">
        <f t="shared" si="31"/>
        <v>No</v>
      </c>
    </row>
    <row r="202" spans="1:39" x14ac:dyDescent="0.3">
      <c r="A202" t="s">
        <v>33</v>
      </c>
      <c r="B202" s="28">
        <f t="shared" si="24"/>
        <v>43282</v>
      </c>
      <c r="C202">
        <v>2018</v>
      </c>
      <c r="D202" t="s">
        <v>39</v>
      </c>
      <c r="E202" t="str">
        <f t="shared" si="25"/>
        <v>Jul-18</v>
      </c>
      <c r="F202">
        <f>VLOOKUP(D202,'Problem Statement 4'!$G$2:$H$13,2,0)</f>
        <v>7</v>
      </c>
      <c r="G202">
        <v>137.5</v>
      </c>
      <c r="H202">
        <v>149.1</v>
      </c>
      <c r="I202">
        <v>139.19999999999999</v>
      </c>
      <c r="J202">
        <v>142.5</v>
      </c>
      <c r="K202">
        <v>121.4</v>
      </c>
      <c r="L202">
        <v>151.6</v>
      </c>
      <c r="M202">
        <v>155.9</v>
      </c>
      <c r="N202">
        <v>121.7</v>
      </c>
      <c r="O202">
        <v>113.5</v>
      </c>
      <c r="P202">
        <v>138.9</v>
      </c>
      <c r="Q202">
        <v>130.30000000000001</v>
      </c>
      <c r="R202">
        <v>152.30000000000001</v>
      </c>
      <c r="S202">
        <v>141.4</v>
      </c>
      <c r="T202">
        <v>157.5</v>
      </c>
      <c r="U202">
        <v>146.80000000000001</v>
      </c>
      <c r="V202">
        <v>138.4</v>
      </c>
      <c r="W202">
        <v>145.6</v>
      </c>
      <c r="X202">
        <v>143.6</v>
      </c>
      <c r="Y202">
        <v>139.69999999999999</v>
      </c>
      <c r="Z202">
        <v>138.6</v>
      </c>
      <c r="AA202">
        <v>137</v>
      </c>
      <c r="AB202">
        <v>123.6</v>
      </c>
      <c r="AC202">
        <v>133.1</v>
      </c>
      <c r="AD202">
        <v>144.69999999999999</v>
      </c>
      <c r="AE202">
        <v>130.1</v>
      </c>
      <c r="AF202">
        <v>133.19999999999999</v>
      </c>
      <c r="AG202">
        <v>139.80000000000001</v>
      </c>
      <c r="AH202">
        <f t="shared" si="26"/>
        <v>1795.3</v>
      </c>
      <c r="AI202">
        <f t="shared" si="27"/>
        <v>139.69999999999999</v>
      </c>
      <c r="AJ202">
        <f t="shared" si="28"/>
        <v>123.6</v>
      </c>
      <c r="AK202">
        <f t="shared" si="29"/>
        <v>144.69999999999999</v>
      </c>
      <c r="AL202">
        <f t="shared" si="30"/>
        <v>1403.9</v>
      </c>
      <c r="AM202" t="str">
        <f t="shared" si="31"/>
        <v>Yes</v>
      </c>
    </row>
    <row r="203" spans="1:39" x14ac:dyDescent="0.3">
      <c r="A203" t="s">
        <v>30</v>
      </c>
      <c r="B203" s="28">
        <f t="shared" si="24"/>
        <v>43313</v>
      </c>
      <c r="C203">
        <v>2018</v>
      </c>
      <c r="D203" t="s">
        <v>40</v>
      </c>
      <c r="E203" t="str">
        <f t="shared" si="25"/>
        <v>Aug-18</v>
      </c>
      <c r="F203">
        <f>VLOOKUP(D203,'Problem Statement 4'!$G$2:$H$13,2,0)</f>
        <v>8</v>
      </c>
      <c r="G203">
        <v>139.19999999999999</v>
      </c>
      <c r="H203">
        <v>148.80000000000001</v>
      </c>
      <c r="I203">
        <v>139.1</v>
      </c>
      <c r="J203">
        <v>143.5</v>
      </c>
      <c r="K203">
        <v>125</v>
      </c>
      <c r="L203">
        <v>154.4</v>
      </c>
      <c r="M203">
        <v>156.30000000000001</v>
      </c>
      <c r="N203">
        <v>126.8</v>
      </c>
      <c r="O203">
        <v>115.4</v>
      </c>
      <c r="P203">
        <v>138.6</v>
      </c>
      <c r="Q203">
        <v>133.80000000000001</v>
      </c>
      <c r="R203">
        <v>155.19999999999999</v>
      </c>
      <c r="S203">
        <v>142.69999999999999</v>
      </c>
      <c r="T203">
        <v>156.4</v>
      </c>
      <c r="U203">
        <v>152.1</v>
      </c>
      <c r="V203">
        <v>145.80000000000001</v>
      </c>
      <c r="W203">
        <v>151.30000000000001</v>
      </c>
      <c r="X203">
        <v>144.6</v>
      </c>
      <c r="Y203">
        <v>147.69999999999999</v>
      </c>
      <c r="Z203">
        <v>143.80000000000001</v>
      </c>
      <c r="AA203">
        <v>139.4</v>
      </c>
      <c r="AB203">
        <v>128.30000000000001</v>
      </c>
      <c r="AC203">
        <v>138.6</v>
      </c>
      <c r="AD203">
        <v>146.9</v>
      </c>
      <c r="AE203">
        <v>131.30000000000001</v>
      </c>
      <c r="AF203">
        <v>136.6</v>
      </c>
      <c r="AG203">
        <v>142.5</v>
      </c>
      <c r="AH203">
        <f t="shared" si="26"/>
        <v>1818.8</v>
      </c>
      <c r="AI203">
        <f t="shared" si="27"/>
        <v>147.69999999999999</v>
      </c>
      <c r="AJ203">
        <f t="shared" si="28"/>
        <v>128.30000000000001</v>
      </c>
      <c r="AK203">
        <f t="shared" si="29"/>
        <v>146.9</v>
      </c>
      <c r="AL203">
        <f t="shared" si="30"/>
        <v>1439.8999999999999</v>
      </c>
      <c r="AM203" t="str">
        <f t="shared" si="31"/>
        <v>Yes</v>
      </c>
    </row>
    <row r="204" spans="1:39" x14ac:dyDescent="0.3">
      <c r="A204" t="s">
        <v>32</v>
      </c>
      <c r="B204" s="28">
        <f t="shared" si="24"/>
        <v>43313</v>
      </c>
      <c r="C204">
        <v>2018</v>
      </c>
      <c r="D204" t="s">
        <v>40</v>
      </c>
      <c r="E204" t="str">
        <f t="shared" si="25"/>
        <v>Aug-18</v>
      </c>
      <c r="F204">
        <f>VLOOKUP(D204,'Problem Statement 4'!$G$2:$H$13,2,0)</f>
        <v>8</v>
      </c>
      <c r="G204">
        <v>136.5</v>
      </c>
      <c r="H204">
        <v>146.4</v>
      </c>
      <c r="I204">
        <v>136.6</v>
      </c>
      <c r="J204">
        <v>141.19999999999999</v>
      </c>
      <c r="K204">
        <v>117.4</v>
      </c>
      <c r="L204">
        <v>146.30000000000001</v>
      </c>
      <c r="M204">
        <v>157.30000000000001</v>
      </c>
      <c r="N204">
        <v>113.6</v>
      </c>
      <c r="O204">
        <v>113.3</v>
      </c>
      <c r="P204">
        <v>141.1</v>
      </c>
      <c r="Q204">
        <v>127.4</v>
      </c>
      <c r="R204">
        <v>150.4</v>
      </c>
      <c r="S204">
        <v>140.1</v>
      </c>
      <c r="T204">
        <v>162.1</v>
      </c>
      <c r="U204">
        <v>140</v>
      </c>
      <c r="V204">
        <v>129</v>
      </c>
      <c r="W204">
        <v>138.30000000000001</v>
      </c>
      <c r="X204">
        <v>144.6</v>
      </c>
      <c r="Y204">
        <v>129.80000000000001</v>
      </c>
      <c r="Z204">
        <v>134.4</v>
      </c>
      <c r="AA204">
        <v>134.9</v>
      </c>
      <c r="AB204">
        <v>120.7</v>
      </c>
      <c r="AC204">
        <v>129.80000000000001</v>
      </c>
      <c r="AD204">
        <v>145.30000000000001</v>
      </c>
      <c r="AE204">
        <v>128.30000000000001</v>
      </c>
      <c r="AF204">
        <v>131</v>
      </c>
      <c r="AG204">
        <v>138</v>
      </c>
      <c r="AH204">
        <f t="shared" si="26"/>
        <v>1767.6</v>
      </c>
      <c r="AI204">
        <f t="shared" si="27"/>
        <v>129.80000000000001</v>
      </c>
      <c r="AJ204">
        <f t="shared" si="28"/>
        <v>120.7</v>
      </c>
      <c r="AK204">
        <f t="shared" si="29"/>
        <v>145.30000000000001</v>
      </c>
      <c r="AL204">
        <f t="shared" si="30"/>
        <v>1372.4</v>
      </c>
      <c r="AM204" t="str">
        <f t="shared" si="31"/>
        <v>No</v>
      </c>
    </row>
    <row r="205" spans="1:39" x14ac:dyDescent="0.3">
      <c r="A205" t="s">
        <v>33</v>
      </c>
      <c r="B205" s="28">
        <f t="shared" si="24"/>
        <v>43313</v>
      </c>
      <c r="C205">
        <v>2018</v>
      </c>
      <c r="D205" t="s">
        <v>40</v>
      </c>
      <c r="E205" t="str">
        <f t="shared" si="25"/>
        <v>Aug-18</v>
      </c>
      <c r="F205">
        <f>VLOOKUP(D205,'Problem Statement 4'!$G$2:$H$13,2,0)</f>
        <v>8</v>
      </c>
      <c r="G205">
        <v>138.30000000000001</v>
      </c>
      <c r="H205">
        <v>148</v>
      </c>
      <c r="I205">
        <v>138.1</v>
      </c>
      <c r="J205">
        <v>142.6</v>
      </c>
      <c r="K205">
        <v>122.2</v>
      </c>
      <c r="L205">
        <v>150.6</v>
      </c>
      <c r="M205">
        <v>156.6</v>
      </c>
      <c r="N205">
        <v>122.4</v>
      </c>
      <c r="O205">
        <v>114.7</v>
      </c>
      <c r="P205">
        <v>139.4</v>
      </c>
      <c r="Q205">
        <v>131.1</v>
      </c>
      <c r="R205">
        <v>153</v>
      </c>
      <c r="S205">
        <v>141.69999999999999</v>
      </c>
      <c r="T205">
        <v>157.9</v>
      </c>
      <c r="U205">
        <v>147.30000000000001</v>
      </c>
      <c r="V205">
        <v>138.80000000000001</v>
      </c>
      <c r="W205">
        <v>146.1</v>
      </c>
      <c r="X205">
        <v>144.6</v>
      </c>
      <c r="Y205">
        <v>140.9</v>
      </c>
      <c r="Z205">
        <v>139.4</v>
      </c>
      <c r="AA205">
        <v>137.69999999999999</v>
      </c>
      <c r="AB205">
        <v>124.3</v>
      </c>
      <c r="AC205">
        <v>133.6</v>
      </c>
      <c r="AD205">
        <v>146</v>
      </c>
      <c r="AE205">
        <v>130.1</v>
      </c>
      <c r="AF205">
        <v>133.9</v>
      </c>
      <c r="AG205">
        <v>140.4</v>
      </c>
      <c r="AH205">
        <f t="shared" si="26"/>
        <v>1798.7000000000003</v>
      </c>
      <c r="AI205">
        <f t="shared" si="27"/>
        <v>140.9</v>
      </c>
      <c r="AJ205">
        <f t="shared" si="28"/>
        <v>124.3</v>
      </c>
      <c r="AK205">
        <f t="shared" si="29"/>
        <v>146</v>
      </c>
      <c r="AL205">
        <f t="shared" si="30"/>
        <v>1409.3999999999999</v>
      </c>
      <c r="AM205" t="str">
        <f t="shared" si="31"/>
        <v>Yes</v>
      </c>
    </row>
    <row r="206" spans="1:39" x14ac:dyDescent="0.3">
      <c r="A206" t="s">
        <v>30</v>
      </c>
      <c r="B206" s="28">
        <f t="shared" si="24"/>
        <v>43344</v>
      </c>
      <c r="C206">
        <v>2018</v>
      </c>
      <c r="D206" t="s">
        <v>41</v>
      </c>
      <c r="E206" t="str">
        <f t="shared" si="25"/>
        <v>Sep-18</v>
      </c>
      <c r="F206">
        <f>VLOOKUP(D206,'Problem Statement 4'!$G$2:$H$13,2,0)</f>
        <v>9</v>
      </c>
      <c r="G206">
        <v>139.4</v>
      </c>
      <c r="H206">
        <v>147.19999999999999</v>
      </c>
      <c r="I206">
        <v>136.6</v>
      </c>
      <c r="J206">
        <v>143.69999999999999</v>
      </c>
      <c r="K206">
        <v>124.6</v>
      </c>
      <c r="L206">
        <v>150.1</v>
      </c>
      <c r="M206">
        <v>149.4</v>
      </c>
      <c r="N206">
        <v>125.4</v>
      </c>
      <c r="O206">
        <v>114.4</v>
      </c>
      <c r="P206">
        <v>138.69999999999999</v>
      </c>
      <c r="Q206">
        <v>133.1</v>
      </c>
      <c r="R206">
        <v>155.9</v>
      </c>
      <c r="S206">
        <v>141.30000000000001</v>
      </c>
      <c r="T206">
        <v>157.69999999999999</v>
      </c>
      <c r="U206">
        <v>152.1</v>
      </c>
      <c r="V206">
        <v>146.1</v>
      </c>
      <c r="W206">
        <v>151.30000000000001</v>
      </c>
      <c r="X206">
        <v>145.30000000000001</v>
      </c>
      <c r="Y206">
        <v>149</v>
      </c>
      <c r="Z206">
        <v>144</v>
      </c>
      <c r="AA206">
        <v>140</v>
      </c>
      <c r="AB206">
        <v>129.9</v>
      </c>
      <c r="AC206">
        <v>140</v>
      </c>
      <c r="AD206">
        <v>147.6</v>
      </c>
      <c r="AE206">
        <v>132</v>
      </c>
      <c r="AF206">
        <v>137.4</v>
      </c>
      <c r="AG206">
        <v>142.1</v>
      </c>
      <c r="AH206">
        <f t="shared" si="26"/>
        <v>1799.8000000000002</v>
      </c>
      <c r="AI206">
        <f t="shared" si="27"/>
        <v>149</v>
      </c>
      <c r="AJ206">
        <f t="shared" si="28"/>
        <v>129.9</v>
      </c>
      <c r="AK206">
        <f t="shared" si="29"/>
        <v>147.6</v>
      </c>
      <c r="AL206">
        <f t="shared" si="30"/>
        <v>1445.9</v>
      </c>
      <c r="AM206" t="str">
        <f t="shared" si="31"/>
        <v>No</v>
      </c>
    </row>
    <row r="207" spans="1:39" x14ac:dyDescent="0.3">
      <c r="A207" t="s">
        <v>32</v>
      </c>
      <c r="B207" s="28">
        <f t="shared" si="24"/>
        <v>43344</v>
      </c>
      <c r="C207">
        <v>2018</v>
      </c>
      <c r="D207" t="s">
        <v>41</v>
      </c>
      <c r="E207" t="str">
        <f t="shared" si="25"/>
        <v>Sep-18</v>
      </c>
      <c r="F207">
        <f>VLOOKUP(D207,'Problem Statement 4'!$G$2:$H$13,2,0)</f>
        <v>9</v>
      </c>
      <c r="G207">
        <v>137</v>
      </c>
      <c r="H207">
        <v>143.1</v>
      </c>
      <c r="I207">
        <v>132.80000000000001</v>
      </c>
      <c r="J207">
        <v>141.5</v>
      </c>
      <c r="K207">
        <v>117.8</v>
      </c>
      <c r="L207">
        <v>140</v>
      </c>
      <c r="M207">
        <v>151.30000000000001</v>
      </c>
      <c r="N207">
        <v>113.5</v>
      </c>
      <c r="O207">
        <v>112.3</v>
      </c>
      <c r="P207">
        <v>141.19999999999999</v>
      </c>
      <c r="Q207">
        <v>127.7</v>
      </c>
      <c r="R207">
        <v>151.30000000000001</v>
      </c>
      <c r="S207">
        <v>138.9</v>
      </c>
      <c r="T207">
        <v>163.30000000000001</v>
      </c>
      <c r="U207">
        <v>140.80000000000001</v>
      </c>
      <c r="V207">
        <v>129.30000000000001</v>
      </c>
      <c r="W207">
        <v>139.1</v>
      </c>
      <c r="X207">
        <v>145.30000000000001</v>
      </c>
      <c r="Y207">
        <v>131.19999999999999</v>
      </c>
      <c r="Z207">
        <v>134.9</v>
      </c>
      <c r="AA207">
        <v>135.69999999999999</v>
      </c>
      <c r="AB207">
        <v>122.5</v>
      </c>
      <c r="AC207">
        <v>130.19999999999999</v>
      </c>
      <c r="AD207">
        <v>145.19999999999999</v>
      </c>
      <c r="AE207">
        <v>129.30000000000001</v>
      </c>
      <c r="AF207">
        <v>131.9</v>
      </c>
      <c r="AG207">
        <v>138.1</v>
      </c>
      <c r="AH207">
        <f t="shared" si="26"/>
        <v>1748.4</v>
      </c>
      <c r="AI207">
        <f t="shared" si="27"/>
        <v>131.19999999999999</v>
      </c>
      <c r="AJ207">
        <f t="shared" si="28"/>
        <v>122.5</v>
      </c>
      <c r="AK207">
        <f t="shared" si="29"/>
        <v>145.19999999999999</v>
      </c>
      <c r="AL207">
        <f t="shared" si="30"/>
        <v>1379.8</v>
      </c>
      <c r="AM207" t="str">
        <f t="shared" si="31"/>
        <v>No</v>
      </c>
    </row>
    <row r="208" spans="1:39" x14ac:dyDescent="0.3">
      <c r="A208" t="s">
        <v>33</v>
      </c>
      <c r="B208" s="28">
        <f t="shared" si="24"/>
        <v>43344</v>
      </c>
      <c r="C208">
        <v>2018</v>
      </c>
      <c r="D208" t="s">
        <v>41</v>
      </c>
      <c r="E208" t="str">
        <f t="shared" si="25"/>
        <v>Sep-18</v>
      </c>
      <c r="F208">
        <f>VLOOKUP(D208,'Problem Statement 4'!$G$2:$H$13,2,0)</f>
        <v>9</v>
      </c>
      <c r="G208">
        <v>138.6</v>
      </c>
      <c r="H208">
        <v>145.80000000000001</v>
      </c>
      <c r="I208">
        <v>135.1</v>
      </c>
      <c r="J208">
        <v>142.9</v>
      </c>
      <c r="K208">
        <v>122.1</v>
      </c>
      <c r="L208">
        <v>145.4</v>
      </c>
      <c r="M208">
        <v>150</v>
      </c>
      <c r="N208">
        <v>121.4</v>
      </c>
      <c r="O208">
        <v>113.7</v>
      </c>
      <c r="P208">
        <v>139.5</v>
      </c>
      <c r="Q208">
        <v>130.80000000000001</v>
      </c>
      <c r="R208">
        <v>153.80000000000001</v>
      </c>
      <c r="S208">
        <v>140.4</v>
      </c>
      <c r="T208">
        <v>159.19999999999999</v>
      </c>
      <c r="U208">
        <v>147.69999999999999</v>
      </c>
      <c r="V208">
        <v>139.1</v>
      </c>
      <c r="W208">
        <v>146.5</v>
      </c>
      <c r="X208">
        <v>145.30000000000001</v>
      </c>
      <c r="Y208">
        <v>142.30000000000001</v>
      </c>
      <c r="Z208">
        <v>139.69999999999999</v>
      </c>
      <c r="AA208">
        <v>138.4</v>
      </c>
      <c r="AB208">
        <v>126</v>
      </c>
      <c r="AC208">
        <v>134.5</v>
      </c>
      <c r="AD208">
        <v>146.19999999999999</v>
      </c>
      <c r="AE208">
        <v>130.9</v>
      </c>
      <c r="AF208">
        <v>134.69999999999999</v>
      </c>
      <c r="AG208">
        <v>140.19999999999999</v>
      </c>
      <c r="AH208">
        <f t="shared" si="26"/>
        <v>1779.5</v>
      </c>
      <c r="AI208">
        <f t="shared" si="27"/>
        <v>142.30000000000001</v>
      </c>
      <c r="AJ208">
        <f t="shared" si="28"/>
        <v>126</v>
      </c>
      <c r="AK208">
        <f t="shared" si="29"/>
        <v>146.19999999999999</v>
      </c>
      <c r="AL208">
        <f t="shared" si="30"/>
        <v>1416.0000000000002</v>
      </c>
      <c r="AM208" t="str">
        <f t="shared" si="31"/>
        <v>No</v>
      </c>
    </row>
    <row r="209" spans="1:39" x14ac:dyDescent="0.3">
      <c r="A209" t="s">
        <v>30</v>
      </c>
      <c r="B209" s="28">
        <f t="shared" si="24"/>
        <v>43374</v>
      </c>
      <c r="C209">
        <v>2018</v>
      </c>
      <c r="D209" t="s">
        <v>42</v>
      </c>
      <c r="E209" t="str">
        <f t="shared" si="25"/>
        <v>Oct-18</v>
      </c>
      <c r="F209">
        <f>VLOOKUP(D209,'Problem Statement 4'!$G$2:$H$13,2,0)</f>
        <v>10</v>
      </c>
      <c r="G209">
        <v>139.30000000000001</v>
      </c>
      <c r="H209">
        <v>147.6</v>
      </c>
      <c r="I209">
        <v>134.6</v>
      </c>
      <c r="J209">
        <v>141.9</v>
      </c>
      <c r="K209">
        <v>123.5</v>
      </c>
      <c r="L209">
        <v>144.5</v>
      </c>
      <c r="M209">
        <v>147.6</v>
      </c>
      <c r="N209">
        <v>121.4</v>
      </c>
      <c r="O209">
        <v>112.3</v>
      </c>
      <c r="P209">
        <v>139.5</v>
      </c>
      <c r="Q209">
        <v>134.6</v>
      </c>
      <c r="R209">
        <v>155.19999999999999</v>
      </c>
      <c r="S209">
        <v>140.19999999999999</v>
      </c>
      <c r="T209">
        <v>159.6</v>
      </c>
      <c r="U209">
        <v>150.69999999999999</v>
      </c>
      <c r="V209">
        <v>144.5</v>
      </c>
      <c r="W209">
        <v>149.80000000000001</v>
      </c>
      <c r="X209">
        <v>146.30000000000001</v>
      </c>
      <c r="Y209">
        <v>149.69999999999999</v>
      </c>
      <c r="Z209">
        <v>147.5</v>
      </c>
      <c r="AA209">
        <v>144.80000000000001</v>
      </c>
      <c r="AB209">
        <v>130.80000000000001</v>
      </c>
      <c r="AC209">
        <v>140.1</v>
      </c>
      <c r="AD209">
        <v>148</v>
      </c>
      <c r="AE209">
        <v>134.4</v>
      </c>
      <c r="AF209">
        <v>139.80000000000001</v>
      </c>
      <c r="AG209">
        <v>142.19999999999999</v>
      </c>
      <c r="AH209">
        <f t="shared" si="26"/>
        <v>1782.2</v>
      </c>
      <c r="AI209">
        <f t="shared" si="27"/>
        <v>149.69999999999999</v>
      </c>
      <c r="AJ209">
        <f t="shared" si="28"/>
        <v>130.80000000000001</v>
      </c>
      <c r="AK209">
        <f t="shared" si="29"/>
        <v>148</v>
      </c>
      <c r="AL209">
        <f t="shared" si="30"/>
        <v>1457.4999999999998</v>
      </c>
      <c r="AM209" t="str">
        <f t="shared" si="31"/>
        <v>No</v>
      </c>
    </row>
    <row r="210" spans="1:39" x14ac:dyDescent="0.3">
      <c r="A210" t="s">
        <v>32</v>
      </c>
      <c r="B210" s="28">
        <f t="shared" si="24"/>
        <v>43374</v>
      </c>
      <c r="C210">
        <v>2018</v>
      </c>
      <c r="D210" t="s">
        <v>42</v>
      </c>
      <c r="E210" t="str">
        <f t="shared" si="25"/>
        <v>Oct-18</v>
      </c>
      <c r="F210">
        <f>VLOOKUP(D210,'Problem Statement 4'!$G$2:$H$13,2,0)</f>
        <v>10</v>
      </c>
      <c r="G210">
        <v>137.6</v>
      </c>
      <c r="H210">
        <v>144.9</v>
      </c>
      <c r="I210">
        <v>133.5</v>
      </c>
      <c r="J210">
        <v>141.5</v>
      </c>
      <c r="K210">
        <v>118</v>
      </c>
      <c r="L210">
        <v>139.5</v>
      </c>
      <c r="M210">
        <v>153</v>
      </c>
      <c r="N210">
        <v>113.2</v>
      </c>
      <c r="O210">
        <v>112.8</v>
      </c>
      <c r="P210">
        <v>141.1</v>
      </c>
      <c r="Q210">
        <v>127.6</v>
      </c>
      <c r="R210">
        <v>152</v>
      </c>
      <c r="S210">
        <v>139.4</v>
      </c>
      <c r="T210">
        <v>164</v>
      </c>
      <c r="U210">
        <v>141.5</v>
      </c>
      <c r="V210">
        <v>129.80000000000001</v>
      </c>
      <c r="W210">
        <v>139.69999999999999</v>
      </c>
      <c r="X210">
        <v>146.30000000000001</v>
      </c>
      <c r="Y210">
        <v>133.4</v>
      </c>
      <c r="Z210">
        <v>135.1</v>
      </c>
      <c r="AA210">
        <v>136.19999999999999</v>
      </c>
      <c r="AB210">
        <v>123.3</v>
      </c>
      <c r="AC210">
        <v>130.69999999999999</v>
      </c>
      <c r="AD210">
        <v>145.5</v>
      </c>
      <c r="AE210">
        <v>130.4</v>
      </c>
      <c r="AF210">
        <v>132.5</v>
      </c>
      <c r="AG210">
        <v>138.9</v>
      </c>
      <c r="AH210">
        <f t="shared" si="26"/>
        <v>1754.1</v>
      </c>
      <c r="AI210">
        <f t="shared" si="27"/>
        <v>133.4</v>
      </c>
      <c r="AJ210">
        <f t="shared" si="28"/>
        <v>123.3</v>
      </c>
      <c r="AK210">
        <f t="shared" si="29"/>
        <v>145.5</v>
      </c>
      <c r="AL210">
        <f t="shared" si="30"/>
        <v>1386.2</v>
      </c>
      <c r="AM210" t="str">
        <f t="shared" si="31"/>
        <v>No</v>
      </c>
    </row>
    <row r="211" spans="1:39" x14ac:dyDescent="0.3">
      <c r="A211" t="s">
        <v>33</v>
      </c>
      <c r="B211" s="28">
        <f t="shared" si="24"/>
        <v>43374</v>
      </c>
      <c r="C211">
        <v>2018</v>
      </c>
      <c r="D211" t="s">
        <v>42</v>
      </c>
      <c r="E211" t="str">
        <f t="shared" si="25"/>
        <v>Oct-18</v>
      </c>
      <c r="F211">
        <f>VLOOKUP(D211,'Problem Statement 4'!$G$2:$H$13,2,0)</f>
        <v>10</v>
      </c>
      <c r="G211">
        <v>137.4</v>
      </c>
      <c r="H211">
        <v>149.5</v>
      </c>
      <c r="I211">
        <v>137.30000000000001</v>
      </c>
      <c r="J211">
        <v>141.9</v>
      </c>
      <c r="K211">
        <v>121.1</v>
      </c>
      <c r="L211">
        <v>142.5</v>
      </c>
      <c r="M211">
        <v>146.69999999999999</v>
      </c>
      <c r="N211">
        <v>119.1</v>
      </c>
      <c r="O211">
        <v>111.9</v>
      </c>
      <c r="P211">
        <v>141</v>
      </c>
      <c r="Q211">
        <v>133.6</v>
      </c>
      <c r="R211">
        <v>154.5</v>
      </c>
      <c r="S211">
        <v>139.69999999999999</v>
      </c>
      <c r="T211">
        <v>162.6</v>
      </c>
      <c r="U211">
        <v>148</v>
      </c>
      <c r="V211">
        <v>139.19999999999999</v>
      </c>
      <c r="W211">
        <v>146.80000000000001</v>
      </c>
      <c r="X211">
        <v>146.9</v>
      </c>
      <c r="Y211">
        <v>145.30000000000001</v>
      </c>
      <c r="Z211">
        <v>142.19999999999999</v>
      </c>
      <c r="AA211">
        <v>142.1</v>
      </c>
      <c r="AB211">
        <v>125.5</v>
      </c>
      <c r="AC211">
        <v>136.5</v>
      </c>
      <c r="AD211">
        <v>147.80000000000001</v>
      </c>
      <c r="AE211">
        <v>132</v>
      </c>
      <c r="AF211">
        <v>136.30000000000001</v>
      </c>
      <c r="AG211">
        <v>140.80000000000001</v>
      </c>
      <c r="AH211">
        <f t="shared" si="26"/>
        <v>1776.2</v>
      </c>
      <c r="AI211">
        <f t="shared" si="27"/>
        <v>145.30000000000001</v>
      </c>
      <c r="AJ211">
        <f t="shared" si="28"/>
        <v>125.5</v>
      </c>
      <c r="AK211">
        <f t="shared" si="29"/>
        <v>147.80000000000001</v>
      </c>
      <c r="AL211">
        <f t="shared" si="30"/>
        <v>1432.6</v>
      </c>
      <c r="AM211" t="str">
        <f t="shared" si="31"/>
        <v>No</v>
      </c>
    </row>
    <row r="212" spans="1:39" x14ac:dyDescent="0.3">
      <c r="A212" t="s">
        <v>30</v>
      </c>
      <c r="B212" s="28">
        <f t="shared" si="24"/>
        <v>43405</v>
      </c>
      <c r="C212">
        <v>2018</v>
      </c>
      <c r="D212" t="s">
        <v>44</v>
      </c>
      <c r="E212" t="str">
        <f t="shared" si="25"/>
        <v>Nov-18</v>
      </c>
      <c r="F212">
        <f>VLOOKUP(D212,'Problem Statement 4'!$G$2:$H$13,2,0)</f>
        <v>11</v>
      </c>
      <c r="G212">
        <v>137.1</v>
      </c>
      <c r="H212">
        <v>150.80000000000001</v>
      </c>
      <c r="I212">
        <v>136.69999999999999</v>
      </c>
      <c r="J212">
        <v>141.9</v>
      </c>
      <c r="K212">
        <v>122.8</v>
      </c>
      <c r="L212">
        <v>143.9</v>
      </c>
      <c r="M212">
        <v>147.5</v>
      </c>
      <c r="N212">
        <v>121</v>
      </c>
      <c r="O212">
        <v>111.6</v>
      </c>
      <c r="P212">
        <v>140.6</v>
      </c>
      <c r="Q212">
        <v>137.5</v>
      </c>
      <c r="R212">
        <v>156.1</v>
      </c>
      <c r="S212">
        <v>140</v>
      </c>
      <c r="T212">
        <v>161.9</v>
      </c>
      <c r="U212">
        <v>151.69999999999999</v>
      </c>
      <c r="V212">
        <v>145.5</v>
      </c>
      <c r="W212">
        <v>150.80000000000001</v>
      </c>
      <c r="X212">
        <v>146.9</v>
      </c>
      <c r="Y212">
        <v>150.30000000000001</v>
      </c>
      <c r="Z212">
        <v>148</v>
      </c>
      <c r="AA212">
        <v>145.4</v>
      </c>
      <c r="AB212">
        <v>130.30000000000001</v>
      </c>
      <c r="AC212">
        <v>143.1</v>
      </c>
      <c r="AD212">
        <v>150.19999999999999</v>
      </c>
      <c r="AE212">
        <v>133.1</v>
      </c>
      <c r="AF212">
        <v>140.1</v>
      </c>
      <c r="AG212">
        <v>142.4</v>
      </c>
      <c r="AH212">
        <f t="shared" si="26"/>
        <v>1787.4999999999995</v>
      </c>
      <c r="AI212">
        <f t="shared" si="27"/>
        <v>150.30000000000001</v>
      </c>
      <c r="AJ212">
        <f t="shared" si="28"/>
        <v>130.30000000000001</v>
      </c>
      <c r="AK212">
        <f t="shared" si="29"/>
        <v>150.19999999999999</v>
      </c>
      <c r="AL212">
        <f t="shared" si="30"/>
        <v>1466.4999999999998</v>
      </c>
      <c r="AM212" t="str">
        <f t="shared" si="31"/>
        <v>No</v>
      </c>
    </row>
    <row r="213" spans="1:39" x14ac:dyDescent="0.3">
      <c r="A213" t="s">
        <v>32</v>
      </c>
      <c r="B213" s="28">
        <f t="shared" si="24"/>
        <v>43405</v>
      </c>
      <c r="C213">
        <v>2018</v>
      </c>
      <c r="D213" t="s">
        <v>44</v>
      </c>
      <c r="E213" t="str">
        <f t="shared" si="25"/>
        <v>Nov-18</v>
      </c>
      <c r="F213">
        <f>VLOOKUP(D213,'Problem Statement 4'!$G$2:$H$13,2,0)</f>
        <v>11</v>
      </c>
      <c r="G213">
        <v>138.1</v>
      </c>
      <c r="H213">
        <v>146.30000000000001</v>
      </c>
      <c r="I213">
        <v>137.80000000000001</v>
      </c>
      <c r="J213">
        <v>141.6</v>
      </c>
      <c r="K213">
        <v>118.1</v>
      </c>
      <c r="L213">
        <v>141.5</v>
      </c>
      <c r="M213">
        <v>145.19999999999999</v>
      </c>
      <c r="N213">
        <v>115.3</v>
      </c>
      <c r="O213">
        <v>112.5</v>
      </c>
      <c r="P213">
        <v>141.4</v>
      </c>
      <c r="Q213">
        <v>128</v>
      </c>
      <c r="R213">
        <v>152.6</v>
      </c>
      <c r="S213">
        <v>139.1</v>
      </c>
      <c r="T213">
        <v>164.4</v>
      </c>
      <c r="U213">
        <v>142.4</v>
      </c>
      <c r="V213">
        <v>130.19999999999999</v>
      </c>
      <c r="W213">
        <v>140.5</v>
      </c>
      <c r="X213">
        <v>146.9</v>
      </c>
      <c r="Y213">
        <v>136.69999999999999</v>
      </c>
      <c r="Z213">
        <v>135.80000000000001</v>
      </c>
      <c r="AA213">
        <v>136.80000000000001</v>
      </c>
      <c r="AB213">
        <v>121.2</v>
      </c>
      <c r="AC213">
        <v>131.30000000000001</v>
      </c>
      <c r="AD213">
        <v>146.1</v>
      </c>
      <c r="AE213">
        <v>130.5</v>
      </c>
      <c r="AF213">
        <v>132.19999999999999</v>
      </c>
      <c r="AG213">
        <v>139</v>
      </c>
      <c r="AH213">
        <f t="shared" si="26"/>
        <v>1757.4999999999998</v>
      </c>
      <c r="AI213">
        <f t="shared" si="27"/>
        <v>136.69999999999999</v>
      </c>
      <c r="AJ213">
        <f t="shared" si="28"/>
        <v>121.2</v>
      </c>
      <c r="AK213">
        <f t="shared" si="29"/>
        <v>146.1</v>
      </c>
      <c r="AL213">
        <f t="shared" si="30"/>
        <v>1391</v>
      </c>
      <c r="AM213" t="str">
        <f t="shared" si="31"/>
        <v>No</v>
      </c>
    </row>
    <row r="214" spans="1:39" x14ac:dyDescent="0.3">
      <c r="A214" t="s">
        <v>33</v>
      </c>
      <c r="B214" s="28">
        <f t="shared" si="24"/>
        <v>43405</v>
      </c>
      <c r="C214">
        <v>2018</v>
      </c>
      <c r="D214" t="s">
        <v>44</v>
      </c>
      <c r="E214" t="str">
        <f t="shared" si="25"/>
        <v>Nov-18</v>
      </c>
      <c r="F214">
        <f>VLOOKUP(D214,'Problem Statement 4'!$G$2:$H$13,2,0)</f>
        <v>11</v>
      </c>
      <c r="G214">
        <v>137.4</v>
      </c>
      <c r="H214">
        <v>149.19999999999999</v>
      </c>
      <c r="I214">
        <v>137.1</v>
      </c>
      <c r="J214">
        <v>141.80000000000001</v>
      </c>
      <c r="K214">
        <v>121.1</v>
      </c>
      <c r="L214">
        <v>142.80000000000001</v>
      </c>
      <c r="M214">
        <v>146.69999999999999</v>
      </c>
      <c r="N214">
        <v>119.1</v>
      </c>
      <c r="O214">
        <v>111.9</v>
      </c>
      <c r="P214">
        <v>140.9</v>
      </c>
      <c r="Q214">
        <v>133.5</v>
      </c>
      <c r="R214">
        <v>154.5</v>
      </c>
      <c r="S214">
        <v>139.69999999999999</v>
      </c>
      <c r="T214">
        <v>162.6</v>
      </c>
      <c r="U214">
        <v>148</v>
      </c>
      <c r="V214">
        <v>139.1</v>
      </c>
      <c r="W214">
        <v>146.69999999999999</v>
      </c>
      <c r="X214">
        <v>146.9</v>
      </c>
      <c r="Y214">
        <v>145.1</v>
      </c>
      <c r="Z214">
        <v>142.19999999999999</v>
      </c>
      <c r="AA214">
        <v>142.1</v>
      </c>
      <c r="AB214">
        <v>125.5</v>
      </c>
      <c r="AC214">
        <v>136.5</v>
      </c>
      <c r="AD214">
        <v>147.80000000000001</v>
      </c>
      <c r="AE214">
        <v>132</v>
      </c>
      <c r="AF214">
        <v>136.30000000000001</v>
      </c>
      <c r="AG214">
        <v>140.80000000000001</v>
      </c>
      <c r="AH214">
        <f t="shared" si="26"/>
        <v>1775.7000000000003</v>
      </c>
      <c r="AI214">
        <f t="shared" si="27"/>
        <v>145.1</v>
      </c>
      <c r="AJ214">
        <f t="shared" si="28"/>
        <v>125.5</v>
      </c>
      <c r="AK214">
        <f t="shared" si="29"/>
        <v>147.80000000000001</v>
      </c>
      <c r="AL214">
        <f t="shared" si="30"/>
        <v>1432.3999999999999</v>
      </c>
      <c r="AM214" t="str">
        <f t="shared" si="31"/>
        <v>No</v>
      </c>
    </row>
    <row r="215" spans="1:39" x14ac:dyDescent="0.3">
      <c r="A215" t="s">
        <v>30</v>
      </c>
      <c r="B215" s="28">
        <f t="shared" si="24"/>
        <v>43435</v>
      </c>
      <c r="C215">
        <v>2018</v>
      </c>
      <c r="D215" t="s">
        <v>45</v>
      </c>
      <c r="E215" t="str">
        <f t="shared" si="25"/>
        <v>Dec-18</v>
      </c>
      <c r="F215">
        <f>VLOOKUP(D215,'Problem Statement 4'!$G$2:$H$13,2,0)</f>
        <v>12</v>
      </c>
      <c r="G215">
        <v>137.1</v>
      </c>
      <c r="H215">
        <v>151.9</v>
      </c>
      <c r="I215">
        <v>137.4</v>
      </c>
      <c r="J215">
        <v>142.4</v>
      </c>
      <c r="K215">
        <v>124.2</v>
      </c>
      <c r="L215">
        <v>140.19999999999999</v>
      </c>
      <c r="M215">
        <v>136.6</v>
      </c>
      <c r="N215">
        <v>120.9</v>
      </c>
      <c r="O215">
        <v>109.9</v>
      </c>
      <c r="P215">
        <v>140.19999999999999</v>
      </c>
      <c r="Q215">
        <v>137.80000000000001</v>
      </c>
      <c r="R215">
        <v>156</v>
      </c>
      <c r="S215">
        <v>138.5</v>
      </c>
      <c r="T215">
        <v>162.4</v>
      </c>
      <c r="U215">
        <v>151.6</v>
      </c>
      <c r="V215">
        <v>145.9</v>
      </c>
      <c r="W215">
        <v>150.80000000000001</v>
      </c>
      <c r="X215">
        <v>146.5</v>
      </c>
      <c r="Y215">
        <v>149</v>
      </c>
      <c r="Z215">
        <v>149.5</v>
      </c>
      <c r="AA215">
        <v>149.6</v>
      </c>
      <c r="AB215">
        <v>128.9</v>
      </c>
      <c r="AC215">
        <v>143.30000000000001</v>
      </c>
      <c r="AD215">
        <v>155.1</v>
      </c>
      <c r="AE215">
        <v>133.19999999999999</v>
      </c>
      <c r="AF215">
        <v>141.6</v>
      </c>
      <c r="AG215">
        <v>141.9</v>
      </c>
      <c r="AH215">
        <f t="shared" si="26"/>
        <v>1773.1000000000001</v>
      </c>
      <c r="AI215">
        <f t="shared" si="27"/>
        <v>149</v>
      </c>
      <c r="AJ215">
        <f t="shared" si="28"/>
        <v>128.9</v>
      </c>
      <c r="AK215">
        <f t="shared" si="29"/>
        <v>155.1</v>
      </c>
      <c r="AL215">
        <f t="shared" si="30"/>
        <v>1474.3999999999999</v>
      </c>
      <c r="AM215" t="str">
        <f t="shared" si="31"/>
        <v>No</v>
      </c>
    </row>
    <row r="216" spans="1:39" x14ac:dyDescent="0.3">
      <c r="A216" t="s">
        <v>32</v>
      </c>
      <c r="B216" s="28">
        <f t="shared" si="24"/>
        <v>43435</v>
      </c>
      <c r="C216">
        <v>2018</v>
      </c>
      <c r="D216" t="s">
        <v>45</v>
      </c>
      <c r="E216" t="str">
        <f t="shared" si="25"/>
        <v>Dec-18</v>
      </c>
      <c r="F216">
        <f>VLOOKUP(D216,'Problem Statement 4'!$G$2:$H$13,2,0)</f>
        <v>12</v>
      </c>
      <c r="G216">
        <v>138.5</v>
      </c>
      <c r="H216">
        <v>147.80000000000001</v>
      </c>
      <c r="I216">
        <v>141.1</v>
      </c>
      <c r="J216">
        <v>141.6</v>
      </c>
      <c r="K216">
        <v>118.1</v>
      </c>
      <c r="L216">
        <v>138.5</v>
      </c>
      <c r="M216">
        <v>132.4</v>
      </c>
      <c r="N216">
        <v>117.5</v>
      </c>
      <c r="O216">
        <v>111</v>
      </c>
      <c r="P216">
        <v>141.5</v>
      </c>
      <c r="Q216">
        <v>128.1</v>
      </c>
      <c r="R216">
        <v>152.9</v>
      </c>
      <c r="S216">
        <v>137.6</v>
      </c>
      <c r="T216">
        <v>164.6</v>
      </c>
      <c r="U216">
        <v>142.69999999999999</v>
      </c>
      <c r="V216">
        <v>130.30000000000001</v>
      </c>
      <c r="W216">
        <v>140.80000000000001</v>
      </c>
      <c r="X216">
        <v>146.5</v>
      </c>
      <c r="Y216">
        <v>132.4</v>
      </c>
      <c r="Z216">
        <v>136.19999999999999</v>
      </c>
      <c r="AA216">
        <v>137.30000000000001</v>
      </c>
      <c r="AB216">
        <v>118.8</v>
      </c>
      <c r="AC216">
        <v>131.69999999999999</v>
      </c>
      <c r="AD216">
        <v>146.5</v>
      </c>
      <c r="AE216">
        <v>130.80000000000001</v>
      </c>
      <c r="AF216">
        <v>131.69999999999999</v>
      </c>
      <c r="AG216">
        <v>138</v>
      </c>
      <c r="AH216">
        <f t="shared" si="26"/>
        <v>1746.6</v>
      </c>
      <c r="AI216">
        <f t="shared" si="27"/>
        <v>132.4</v>
      </c>
      <c r="AJ216">
        <f t="shared" si="28"/>
        <v>118.8</v>
      </c>
      <c r="AK216">
        <f t="shared" si="29"/>
        <v>146.5</v>
      </c>
      <c r="AL216">
        <f t="shared" si="30"/>
        <v>1392.6</v>
      </c>
      <c r="AM216" t="str">
        <f t="shared" si="31"/>
        <v>No</v>
      </c>
    </row>
    <row r="217" spans="1:39" x14ac:dyDescent="0.3">
      <c r="A217" t="s">
        <v>33</v>
      </c>
      <c r="B217" s="28">
        <f t="shared" si="24"/>
        <v>43435</v>
      </c>
      <c r="C217">
        <v>2018</v>
      </c>
      <c r="D217" t="s">
        <v>45</v>
      </c>
      <c r="E217" t="str">
        <f t="shared" si="25"/>
        <v>Dec-18</v>
      </c>
      <c r="F217">
        <f>VLOOKUP(D217,'Problem Statement 4'!$G$2:$H$13,2,0)</f>
        <v>12</v>
      </c>
      <c r="G217">
        <v>137.5</v>
      </c>
      <c r="H217">
        <v>150.5</v>
      </c>
      <c r="I217">
        <v>138.80000000000001</v>
      </c>
      <c r="J217">
        <v>142.1</v>
      </c>
      <c r="K217">
        <v>122</v>
      </c>
      <c r="L217">
        <v>139.4</v>
      </c>
      <c r="M217">
        <v>135.19999999999999</v>
      </c>
      <c r="N217">
        <v>119.8</v>
      </c>
      <c r="O217">
        <v>110.3</v>
      </c>
      <c r="P217">
        <v>140.6</v>
      </c>
      <c r="Q217">
        <v>133.80000000000001</v>
      </c>
      <c r="R217">
        <v>154.6</v>
      </c>
      <c r="S217">
        <v>138.19999999999999</v>
      </c>
      <c r="T217">
        <v>163</v>
      </c>
      <c r="U217">
        <v>148.1</v>
      </c>
      <c r="V217">
        <v>139.4</v>
      </c>
      <c r="W217">
        <v>146.80000000000001</v>
      </c>
      <c r="X217">
        <v>146.5</v>
      </c>
      <c r="Y217">
        <v>142.69999999999999</v>
      </c>
      <c r="Z217">
        <v>143.19999999999999</v>
      </c>
      <c r="AA217">
        <v>144.9</v>
      </c>
      <c r="AB217">
        <v>123.6</v>
      </c>
      <c r="AC217">
        <v>136.80000000000001</v>
      </c>
      <c r="AD217">
        <v>150.1</v>
      </c>
      <c r="AE217">
        <v>132.19999999999999</v>
      </c>
      <c r="AF217">
        <v>136.80000000000001</v>
      </c>
      <c r="AG217">
        <v>140.1</v>
      </c>
      <c r="AH217">
        <f t="shared" si="26"/>
        <v>1762.7999999999997</v>
      </c>
      <c r="AI217">
        <f t="shared" si="27"/>
        <v>142.69999999999999</v>
      </c>
      <c r="AJ217">
        <f t="shared" si="28"/>
        <v>123.6</v>
      </c>
      <c r="AK217">
        <f t="shared" si="29"/>
        <v>150.1</v>
      </c>
      <c r="AL217">
        <f t="shared" si="30"/>
        <v>1437.7</v>
      </c>
      <c r="AM217" t="str">
        <f t="shared" si="31"/>
        <v>No</v>
      </c>
    </row>
    <row r="218" spans="1:39" x14ac:dyDescent="0.3">
      <c r="A218" t="s">
        <v>30</v>
      </c>
      <c r="B218" s="28">
        <f t="shared" si="24"/>
        <v>43466</v>
      </c>
      <c r="C218">
        <v>2019</v>
      </c>
      <c r="D218" t="s">
        <v>31</v>
      </c>
      <c r="E218" t="str">
        <f t="shared" si="25"/>
        <v>Jan-19</v>
      </c>
      <c r="F218">
        <f>VLOOKUP(D218,'Problem Statement 4'!$G$2:$H$13,2,0)</f>
        <v>1</v>
      </c>
      <c r="G218">
        <v>136.6</v>
      </c>
      <c r="H218">
        <v>152.5</v>
      </c>
      <c r="I218">
        <v>138.19999999999999</v>
      </c>
      <c r="J218">
        <v>142.4</v>
      </c>
      <c r="K218">
        <v>123.9</v>
      </c>
      <c r="L218">
        <v>135.5</v>
      </c>
      <c r="M218">
        <v>131.69999999999999</v>
      </c>
      <c r="N218">
        <v>121.3</v>
      </c>
      <c r="O218">
        <v>108.4</v>
      </c>
      <c r="P218">
        <v>138.9</v>
      </c>
      <c r="Q218">
        <v>137</v>
      </c>
      <c r="R218">
        <v>155.80000000000001</v>
      </c>
      <c r="S218">
        <v>137.4</v>
      </c>
      <c r="T218">
        <v>162.69999999999999</v>
      </c>
      <c r="U218">
        <v>150.6</v>
      </c>
      <c r="V218">
        <v>145.1</v>
      </c>
      <c r="W218">
        <v>149.9</v>
      </c>
      <c r="X218">
        <v>147.69999999999999</v>
      </c>
      <c r="Y218">
        <v>146.19999999999999</v>
      </c>
      <c r="Z218">
        <v>150.1</v>
      </c>
      <c r="AA218">
        <v>149.6</v>
      </c>
      <c r="AB218">
        <v>128.6</v>
      </c>
      <c r="AC218">
        <v>142.9</v>
      </c>
      <c r="AD218">
        <v>155.19999999999999</v>
      </c>
      <c r="AE218">
        <v>133.5</v>
      </c>
      <c r="AF218">
        <v>141.69999999999999</v>
      </c>
      <c r="AG218">
        <v>141</v>
      </c>
      <c r="AH218">
        <f t="shared" si="26"/>
        <v>1759.6000000000001</v>
      </c>
      <c r="AI218">
        <f t="shared" si="27"/>
        <v>146.19999999999999</v>
      </c>
      <c r="AJ218">
        <f t="shared" si="28"/>
        <v>128.6</v>
      </c>
      <c r="AK218">
        <f t="shared" si="29"/>
        <v>155.19999999999999</v>
      </c>
      <c r="AL218">
        <f t="shared" si="30"/>
        <v>1473.8000000000002</v>
      </c>
      <c r="AM218" t="str">
        <f t="shared" si="31"/>
        <v>No</v>
      </c>
    </row>
    <row r="219" spans="1:39" x14ac:dyDescent="0.3">
      <c r="A219" t="s">
        <v>32</v>
      </c>
      <c r="B219" s="28">
        <f t="shared" si="24"/>
        <v>43466</v>
      </c>
      <c r="C219">
        <v>2019</v>
      </c>
      <c r="D219" t="s">
        <v>31</v>
      </c>
      <c r="E219" t="str">
        <f t="shared" si="25"/>
        <v>Jan-19</v>
      </c>
      <c r="F219">
        <f>VLOOKUP(D219,'Problem Statement 4'!$G$2:$H$13,2,0)</f>
        <v>1</v>
      </c>
      <c r="G219">
        <v>138.30000000000001</v>
      </c>
      <c r="H219">
        <v>149.4</v>
      </c>
      <c r="I219">
        <v>143.5</v>
      </c>
      <c r="J219">
        <v>141.69999999999999</v>
      </c>
      <c r="K219">
        <v>118.1</v>
      </c>
      <c r="L219">
        <v>135.19999999999999</v>
      </c>
      <c r="M219">
        <v>130.5</v>
      </c>
      <c r="N219">
        <v>118.2</v>
      </c>
      <c r="O219">
        <v>110.4</v>
      </c>
      <c r="P219">
        <v>140.4</v>
      </c>
      <c r="Q219">
        <v>128.1</v>
      </c>
      <c r="R219">
        <v>153.19999999999999</v>
      </c>
      <c r="S219">
        <v>137.30000000000001</v>
      </c>
      <c r="T219">
        <v>164.7</v>
      </c>
      <c r="U219">
        <v>143</v>
      </c>
      <c r="V219">
        <v>130.4</v>
      </c>
      <c r="W219">
        <v>141.1</v>
      </c>
      <c r="X219">
        <v>147.69999999999999</v>
      </c>
      <c r="Y219">
        <v>128.6</v>
      </c>
      <c r="Z219">
        <v>136.30000000000001</v>
      </c>
      <c r="AA219">
        <v>137.80000000000001</v>
      </c>
      <c r="AB219">
        <v>118.6</v>
      </c>
      <c r="AC219">
        <v>131.9</v>
      </c>
      <c r="AD219">
        <v>146.6</v>
      </c>
      <c r="AE219">
        <v>131.69999999999999</v>
      </c>
      <c r="AF219">
        <v>131.80000000000001</v>
      </c>
      <c r="AG219">
        <v>138</v>
      </c>
      <c r="AH219">
        <f t="shared" si="26"/>
        <v>1744.3000000000002</v>
      </c>
      <c r="AI219">
        <f t="shared" si="27"/>
        <v>128.6</v>
      </c>
      <c r="AJ219">
        <f t="shared" si="28"/>
        <v>118.6</v>
      </c>
      <c r="AK219">
        <f t="shared" si="29"/>
        <v>146.6</v>
      </c>
      <c r="AL219">
        <f t="shared" si="30"/>
        <v>1396.4</v>
      </c>
      <c r="AM219" t="str">
        <f t="shared" si="31"/>
        <v>No</v>
      </c>
    </row>
    <row r="220" spans="1:39" x14ac:dyDescent="0.3">
      <c r="A220" t="s">
        <v>33</v>
      </c>
      <c r="B220" s="28">
        <f t="shared" si="24"/>
        <v>43466</v>
      </c>
      <c r="C220">
        <v>2019</v>
      </c>
      <c r="D220" t="s">
        <v>31</v>
      </c>
      <c r="E220" t="str">
        <f t="shared" si="25"/>
        <v>Jan-19</v>
      </c>
      <c r="F220">
        <f>VLOOKUP(D220,'Problem Statement 4'!$G$2:$H$13,2,0)</f>
        <v>1</v>
      </c>
      <c r="G220">
        <v>137.1</v>
      </c>
      <c r="H220">
        <v>151.4</v>
      </c>
      <c r="I220">
        <v>140.19999999999999</v>
      </c>
      <c r="J220">
        <v>142.1</v>
      </c>
      <c r="K220">
        <v>121.8</v>
      </c>
      <c r="L220">
        <v>135.4</v>
      </c>
      <c r="M220">
        <v>131.30000000000001</v>
      </c>
      <c r="N220">
        <v>120.3</v>
      </c>
      <c r="O220">
        <v>109.1</v>
      </c>
      <c r="P220">
        <v>139.4</v>
      </c>
      <c r="Q220">
        <v>133.30000000000001</v>
      </c>
      <c r="R220">
        <v>154.6</v>
      </c>
      <c r="S220">
        <v>137.4</v>
      </c>
      <c r="T220">
        <v>163.19999999999999</v>
      </c>
      <c r="U220">
        <v>147.6</v>
      </c>
      <c r="V220">
        <v>139</v>
      </c>
      <c r="W220">
        <v>146.4</v>
      </c>
      <c r="X220">
        <v>147.69999999999999</v>
      </c>
      <c r="Y220">
        <v>139.5</v>
      </c>
      <c r="Z220">
        <v>143.6</v>
      </c>
      <c r="AA220">
        <v>145.1</v>
      </c>
      <c r="AB220">
        <v>123.3</v>
      </c>
      <c r="AC220">
        <v>136.69999999999999</v>
      </c>
      <c r="AD220">
        <v>150.19999999999999</v>
      </c>
      <c r="AE220">
        <v>132.80000000000001</v>
      </c>
      <c r="AF220">
        <v>136.9</v>
      </c>
      <c r="AG220">
        <v>139.6</v>
      </c>
      <c r="AH220">
        <f t="shared" si="26"/>
        <v>1753.3999999999999</v>
      </c>
      <c r="AI220">
        <f t="shared" si="27"/>
        <v>139.5</v>
      </c>
      <c r="AJ220">
        <f t="shared" si="28"/>
        <v>123.3</v>
      </c>
      <c r="AK220">
        <f t="shared" si="29"/>
        <v>150.19999999999999</v>
      </c>
      <c r="AL220">
        <f t="shared" si="30"/>
        <v>1439</v>
      </c>
      <c r="AM220" t="str">
        <f t="shared" si="31"/>
        <v>No</v>
      </c>
    </row>
    <row r="221" spans="1:39" x14ac:dyDescent="0.3">
      <c r="A221" t="s">
        <v>30</v>
      </c>
      <c r="B221" s="28">
        <f t="shared" si="24"/>
        <v>43497</v>
      </c>
      <c r="C221">
        <v>2019</v>
      </c>
      <c r="D221" t="s">
        <v>34</v>
      </c>
      <c r="E221" t="str">
        <f t="shared" si="25"/>
        <v>Feb-19</v>
      </c>
      <c r="F221">
        <f>VLOOKUP(D221,'Problem Statement 4'!$G$2:$H$13,2,0)</f>
        <v>2</v>
      </c>
      <c r="G221">
        <v>136.80000000000001</v>
      </c>
      <c r="H221">
        <v>153</v>
      </c>
      <c r="I221">
        <v>139.1</v>
      </c>
      <c r="J221">
        <v>142.5</v>
      </c>
      <c r="K221">
        <v>124.1</v>
      </c>
      <c r="L221">
        <v>135.80000000000001</v>
      </c>
      <c r="M221">
        <v>128.69999999999999</v>
      </c>
      <c r="N221">
        <v>121.5</v>
      </c>
      <c r="O221">
        <v>108.3</v>
      </c>
      <c r="P221">
        <v>139.19999999999999</v>
      </c>
      <c r="Q221">
        <v>137.4</v>
      </c>
      <c r="R221">
        <v>156.19999999999999</v>
      </c>
      <c r="S221">
        <v>137.19999999999999</v>
      </c>
      <c r="T221">
        <v>162.80000000000001</v>
      </c>
      <c r="U221">
        <v>150.5</v>
      </c>
      <c r="V221">
        <v>146.1</v>
      </c>
      <c r="W221">
        <v>149.9</v>
      </c>
      <c r="X221">
        <v>148.5</v>
      </c>
      <c r="Y221">
        <v>145.30000000000001</v>
      </c>
      <c r="Z221">
        <v>150.1</v>
      </c>
      <c r="AA221">
        <v>149.9</v>
      </c>
      <c r="AB221">
        <v>129.19999999999999</v>
      </c>
      <c r="AC221">
        <v>143.4</v>
      </c>
      <c r="AD221">
        <v>155.5</v>
      </c>
      <c r="AE221">
        <v>134.9</v>
      </c>
      <c r="AF221">
        <v>142.19999999999999</v>
      </c>
      <c r="AG221">
        <v>141</v>
      </c>
      <c r="AH221">
        <f t="shared" si="26"/>
        <v>1759.8000000000002</v>
      </c>
      <c r="AI221">
        <f t="shared" si="27"/>
        <v>145.30000000000001</v>
      </c>
      <c r="AJ221">
        <f t="shared" si="28"/>
        <v>129.19999999999999</v>
      </c>
      <c r="AK221">
        <f t="shared" si="29"/>
        <v>155.5</v>
      </c>
      <c r="AL221">
        <f t="shared" si="30"/>
        <v>1478.3000000000002</v>
      </c>
      <c r="AM221" t="str">
        <f t="shared" si="31"/>
        <v>No</v>
      </c>
    </row>
    <row r="222" spans="1:39" x14ac:dyDescent="0.3">
      <c r="A222" t="s">
        <v>32</v>
      </c>
      <c r="B222" s="28">
        <f t="shared" si="24"/>
        <v>43497</v>
      </c>
      <c r="C222">
        <v>2019</v>
      </c>
      <c r="D222" t="s">
        <v>34</v>
      </c>
      <c r="E222" t="str">
        <f t="shared" si="25"/>
        <v>Feb-19</v>
      </c>
      <c r="F222">
        <f>VLOOKUP(D222,'Problem Statement 4'!$G$2:$H$13,2,0)</f>
        <v>2</v>
      </c>
      <c r="G222">
        <v>139.4</v>
      </c>
      <c r="H222">
        <v>150.1</v>
      </c>
      <c r="I222">
        <v>145.30000000000001</v>
      </c>
      <c r="J222">
        <v>141.69999999999999</v>
      </c>
      <c r="K222">
        <v>118.4</v>
      </c>
      <c r="L222">
        <v>137</v>
      </c>
      <c r="M222">
        <v>131.6</v>
      </c>
      <c r="N222">
        <v>119.9</v>
      </c>
      <c r="O222">
        <v>110.4</v>
      </c>
      <c r="P222">
        <v>140.80000000000001</v>
      </c>
      <c r="Q222">
        <v>128.30000000000001</v>
      </c>
      <c r="R222">
        <v>153.5</v>
      </c>
      <c r="S222">
        <v>138</v>
      </c>
      <c r="T222">
        <v>164.9</v>
      </c>
      <c r="U222">
        <v>143.30000000000001</v>
      </c>
      <c r="V222">
        <v>130.80000000000001</v>
      </c>
      <c r="W222">
        <v>141.4</v>
      </c>
      <c r="X222">
        <v>148.5</v>
      </c>
      <c r="Y222">
        <v>127.1</v>
      </c>
      <c r="Z222">
        <v>136.6</v>
      </c>
      <c r="AA222">
        <v>138.5</v>
      </c>
      <c r="AB222">
        <v>119.2</v>
      </c>
      <c r="AC222">
        <v>132.19999999999999</v>
      </c>
      <c r="AD222">
        <v>146.6</v>
      </c>
      <c r="AE222">
        <v>133</v>
      </c>
      <c r="AF222">
        <v>132.4</v>
      </c>
      <c r="AG222">
        <v>138.6</v>
      </c>
      <c r="AH222">
        <f t="shared" si="26"/>
        <v>1754.4</v>
      </c>
      <c r="AI222">
        <f t="shared" si="27"/>
        <v>127.1</v>
      </c>
      <c r="AJ222">
        <f t="shared" si="28"/>
        <v>119.2</v>
      </c>
      <c r="AK222">
        <f t="shared" si="29"/>
        <v>146.6</v>
      </c>
      <c r="AL222">
        <f t="shared" si="30"/>
        <v>1401.6000000000001</v>
      </c>
      <c r="AM222" t="str">
        <f t="shared" si="31"/>
        <v>No</v>
      </c>
    </row>
    <row r="223" spans="1:39" x14ac:dyDescent="0.3">
      <c r="A223" t="s">
        <v>33</v>
      </c>
      <c r="B223" s="28">
        <f t="shared" si="24"/>
        <v>43497</v>
      </c>
      <c r="C223">
        <v>2019</v>
      </c>
      <c r="D223" t="s">
        <v>34</v>
      </c>
      <c r="E223" t="str">
        <f t="shared" si="25"/>
        <v>Feb-19</v>
      </c>
      <c r="F223">
        <f>VLOOKUP(D223,'Problem Statement 4'!$G$2:$H$13,2,0)</f>
        <v>2</v>
      </c>
      <c r="G223">
        <v>137.6</v>
      </c>
      <c r="H223">
        <v>152</v>
      </c>
      <c r="I223">
        <v>141.5</v>
      </c>
      <c r="J223">
        <v>142.19999999999999</v>
      </c>
      <c r="K223">
        <v>122</v>
      </c>
      <c r="L223">
        <v>136.4</v>
      </c>
      <c r="M223">
        <v>129.69999999999999</v>
      </c>
      <c r="N223">
        <v>121</v>
      </c>
      <c r="O223">
        <v>109</v>
      </c>
      <c r="P223">
        <v>139.69999999999999</v>
      </c>
      <c r="Q223">
        <v>133.6</v>
      </c>
      <c r="R223">
        <v>154.9</v>
      </c>
      <c r="S223">
        <v>137.5</v>
      </c>
      <c r="T223">
        <v>163.4</v>
      </c>
      <c r="U223">
        <v>147.69999999999999</v>
      </c>
      <c r="V223">
        <v>139.69999999999999</v>
      </c>
      <c r="W223">
        <v>146.5</v>
      </c>
      <c r="X223">
        <v>148.5</v>
      </c>
      <c r="Y223">
        <v>138.4</v>
      </c>
      <c r="Z223">
        <v>143.69999999999999</v>
      </c>
      <c r="AA223">
        <v>145.6</v>
      </c>
      <c r="AB223">
        <v>123.9</v>
      </c>
      <c r="AC223">
        <v>137.1</v>
      </c>
      <c r="AD223">
        <v>150.30000000000001</v>
      </c>
      <c r="AE223">
        <v>134.1</v>
      </c>
      <c r="AF223">
        <v>137.4</v>
      </c>
      <c r="AG223">
        <v>139.9</v>
      </c>
      <c r="AH223">
        <f t="shared" si="26"/>
        <v>1757.1</v>
      </c>
      <c r="AI223">
        <f t="shared" si="27"/>
        <v>138.4</v>
      </c>
      <c r="AJ223">
        <f t="shared" si="28"/>
        <v>123.9</v>
      </c>
      <c r="AK223">
        <f t="shared" si="29"/>
        <v>150.30000000000001</v>
      </c>
      <c r="AL223">
        <f t="shared" si="30"/>
        <v>1443.6999999999998</v>
      </c>
      <c r="AM223" t="str">
        <f t="shared" si="31"/>
        <v>No</v>
      </c>
    </row>
    <row r="224" spans="1:39" x14ac:dyDescent="0.3">
      <c r="A224" t="s">
        <v>30</v>
      </c>
      <c r="B224" s="28">
        <f t="shared" si="24"/>
        <v>43525</v>
      </c>
      <c r="C224">
        <v>2019</v>
      </c>
      <c r="D224" t="s">
        <v>35</v>
      </c>
      <c r="E224" t="str">
        <f t="shared" si="25"/>
        <v>Mar-19</v>
      </c>
      <c r="F224">
        <f>VLOOKUP(D224,'Problem Statement 4'!$G$2:$H$13,2,0)</f>
        <v>3</v>
      </c>
      <c r="G224">
        <v>136.9</v>
      </c>
      <c r="H224">
        <v>154.1</v>
      </c>
      <c r="I224">
        <v>138.69999999999999</v>
      </c>
      <c r="J224">
        <v>142.5</v>
      </c>
      <c r="K224">
        <v>124.1</v>
      </c>
      <c r="L224">
        <v>136.1</v>
      </c>
      <c r="M224">
        <v>128.19999999999999</v>
      </c>
      <c r="N224">
        <v>122.3</v>
      </c>
      <c r="O224">
        <v>108.3</v>
      </c>
      <c r="P224">
        <v>138.9</v>
      </c>
      <c r="Q224">
        <v>137.4</v>
      </c>
      <c r="R224">
        <v>156.4</v>
      </c>
      <c r="S224">
        <v>137.30000000000001</v>
      </c>
      <c r="T224">
        <v>162.9</v>
      </c>
      <c r="U224">
        <v>150.80000000000001</v>
      </c>
      <c r="V224">
        <v>146.1</v>
      </c>
      <c r="W224">
        <v>150.1</v>
      </c>
      <c r="X224">
        <v>149</v>
      </c>
      <c r="Y224">
        <v>146.4</v>
      </c>
      <c r="Z224">
        <v>150</v>
      </c>
      <c r="AA224">
        <v>150.4</v>
      </c>
      <c r="AB224">
        <v>129.9</v>
      </c>
      <c r="AC224">
        <v>143.80000000000001</v>
      </c>
      <c r="AD224">
        <v>155.5</v>
      </c>
      <c r="AE224">
        <v>134</v>
      </c>
      <c r="AF224">
        <v>142.4</v>
      </c>
      <c r="AG224">
        <v>141.19999999999999</v>
      </c>
      <c r="AH224">
        <f t="shared" si="26"/>
        <v>1761.2000000000003</v>
      </c>
      <c r="AI224">
        <f t="shared" si="27"/>
        <v>146.4</v>
      </c>
      <c r="AJ224">
        <f t="shared" si="28"/>
        <v>129.9</v>
      </c>
      <c r="AK224">
        <f t="shared" si="29"/>
        <v>155.5</v>
      </c>
      <c r="AL224">
        <f t="shared" si="30"/>
        <v>1479.5000000000002</v>
      </c>
      <c r="AM224" t="str">
        <f t="shared" si="31"/>
        <v>No</v>
      </c>
    </row>
    <row r="225" spans="1:39" x14ac:dyDescent="0.3">
      <c r="A225" t="s">
        <v>32</v>
      </c>
      <c r="B225" s="28">
        <f t="shared" si="24"/>
        <v>43525</v>
      </c>
      <c r="C225">
        <v>2019</v>
      </c>
      <c r="D225" t="s">
        <v>35</v>
      </c>
      <c r="E225" t="str">
        <f t="shared" si="25"/>
        <v>Mar-19</v>
      </c>
      <c r="F225">
        <f>VLOOKUP(D225,'Problem Statement 4'!$G$2:$H$13,2,0)</f>
        <v>3</v>
      </c>
      <c r="G225">
        <v>139.69999999999999</v>
      </c>
      <c r="H225">
        <v>151.1</v>
      </c>
      <c r="I225">
        <v>142.9</v>
      </c>
      <c r="J225">
        <v>141.9</v>
      </c>
      <c r="K225">
        <v>118.4</v>
      </c>
      <c r="L225">
        <v>139.4</v>
      </c>
      <c r="M225">
        <v>141.19999999999999</v>
      </c>
      <c r="N225">
        <v>120.7</v>
      </c>
      <c r="O225">
        <v>110.4</v>
      </c>
      <c r="P225">
        <v>140.69999999999999</v>
      </c>
      <c r="Q225">
        <v>128.5</v>
      </c>
      <c r="R225">
        <v>153.9</v>
      </c>
      <c r="S225">
        <v>139.6</v>
      </c>
      <c r="T225">
        <v>165.3</v>
      </c>
      <c r="U225">
        <v>143.5</v>
      </c>
      <c r="V225">
        <v>131.19999999999999</v>
      </c>
      <c r="W225">
        <v>141.6</v>
      </c>
      <c r="X225">
        <v>149</v>
      </c>
      <c r="Y225">
        <v>128.80000000000001</v>
      </c>
      <c r="Z225">
        <v>136.80000000000001</v>
      </c>
      <c r="AA225">
        <v>139.19999999999999</v>
      </c>
      <c r="AB225">
        <v>119.9</v>
      </c>
      <c r="AC225">
        <v>133</v>
      </c>
      <c r="AD225">
        <v>146.69999999999999</v>
      </c>
      <c r="AE225">
        <v>132.5</v>
      </c>
      <c r="AF225">
        <v>132.80000000000001</v>
      </c>
      <c r="AG225">
        <v>139.5</v>
      </c>
      <c r="AH225">
        <f t="shared" si="26"/>
        <v>1768.4</v>
      </c>
      <c r="AI225">
        <f t="shared" si="27"/>
        <v>128.80000000000001</v>
      </c>
      <c r="AJ225">
        <f t="shared" si="28"/>
        <v>119.9</v>
      </c>
      <c r="AK225">
        <f t="shared" si="29"/>
        <v>146.69999999999999</v>
      </c>
      <c r="AL225">
        <f t="shared" si="30"/>
        <v>1404.9</v>
      </c>
      <c r="AM225" t="str">
        <f t="shared" si="31"/>
        <v>No</v>
      </c>
    </row>
    <row r="226" spans="1:39" x14ac:dyDescent="0.3">
      <c r="A226" t="s">
        <v>33</v>
      </c>
      <c r="B226" s="28">
        <f t="shared" si="24"/>
        <v>43525</v>
      </c>
      <c r="C226">
        <v>2019</v>
      </c>
      <c r="D226" t="s">
        <v>35</v>
      </c>
      <c r="E226" t="str">
        <f t="shared" si="25"/>
        <v>Mar-19</v>
      </c>
      <c r="F226">
        <f>VLOOKUP(D226,'Problem Statement 4'!$G$2:$H$13,2,0)</f>
        <v>3</v>
      </c>
      <c r="G226">
        <v>137.80000000000001</v>
      </c>
      <c r="H226">
        <v>153</v>
      </c>
      <c r="I226">
        <v>140.30000000000001</v>
      </c>
      <c r="J226">
        <v>142.30000000000001</v>
      </c>
      <c r="K226">
        <v>122</v>
      </c>
      <c r="L226">
        <v>137.6</v>
      </c>
      <c r="M226">
        <v>132.6</v>
      </c>
      <c r="N226">
        <v>121.8</v>
      </c>
      <c r="O226">
        <v>109</v>
      </c>
      <c r="P226">
        <v>139.5</v>
      </c>
      <c r="Q226">
        <v>133.69999999999999</v>
      </c>
      <c r="R226">
        <v>155.19999999999999</v>
      </c>
      <c r="S226">
        <v>138.1</v>
      </c>
      <c r="T226">
        <v>163.5</v>
      </c>
      <c r="U226">
        <v>147.9</v>
      </c>
      <c r="V226">
        <v>139.9</v>
      </c>
      <c r="W226">
        <v>146.69999999999999</v>
      </c>
      <c r="X226">
        <v>149</v>
      </c>
      <c r="Y226">
        <v>139.69999999999999</v>
      </c>
      <c r="Z226">
        <v>143.80000000000001</v>
      </c>
      <c r="AA226">
        <v>146.19999999999999</v>
      </c>
      <c r="AB226">
        <v>124.6</v>
      </c>
      <c r="AC226">
        <v>137.69999999999999</v>
      </c>
      <c r="AD226">
        <v>150.30000000000001</v>
      </c>
      <c r="AE226">
        <v>133.4</v>
      </c>
      <c r="AF226">
        <v>137.69999999999999</v>
      </c>
      <c r="AG226">
        <v>140.4</v>
      </c>
      <c r="AH226">
        <f t="shared" si="26"/>
        <v>1762.9</v>
      </c>
      <c r="AI226">
        <f t="shared" si="27"/>
        <v>139.69999999999999</v>
      </c>
      <c r="AJ226">
        <f t="shared" si="28"/>
        <v>124.6</v>
      </c>
      <c r="AK226">
        <f t="shared" si="29"/>
        <v>150.30000000000001</v>
      </c>
      <c r="AL226">
        <f t="shared" si="30"/>
        <v>1445.8000000000002</v>
      </c>
      <c r="AM226" t="str">
        <f t="shared" si="31"/>
        <v>No</v>
      </c>
    </row>
    <row r="227" spans="1:39" x14ac:dyDescent="0.3">
      <c r="A227" t="s">
        <v>30</v>
      </c>
      <c r="B227" s="28">
        <f t="shared" si="24"/>
        <v>43586</v>
      </c>
      <c r="C227">
        <v>2019</v>
      </c>
      <c r="D227" t="s">
        <v>37</v>
      </c>
      <c r="E227" t="str">
        <f t="shared" si="25"/>
        <v>May-19</v>
      </c>
      <c r="F227">
        <f>VLOOKUP(D227,'Problem Statement 4'!$G$2:$H$13,2,0)</f>
        <v>5</v>
      </c>
      <c r="G227">
        <v>137.4</v>
      </c>
      <c r="H227">
        <v>159.5</v>
      </c>
      <c r="I227">
        <v>134.5</v>
      </c>
      <c r="J227">
        <v>142.6</v>
      </c>
      <c r="K227">
        <v>124</v>
      </c>
      <c r="L227">
        <v>143.69999999999999</v>
      </c>
      <c r="M227">
        <v>133.4</v>
      </c>
      <c r="N227">
        <v>125.1</v>
      </c>
      <c r="O227">
        <v>109.3</v>
      </c>
      <c r="P227">
        <v>139.30000000000001</v>
      </c>
      <c r="Q227">
        <v>137.69999999999999</v>
      </c>
      <c r="R227">
        <v>156.4</v>
      </c>
      <c r="S227">
        <v>139.19999999999999</v>
      </c>
      <c r="T227">
        <v>163.30000000000001</v>
      </c>
      <c r="U227">
        <v>151.30000000000001</v>
      </c>
      <c r="V227">
        <v>146.6</v>
      </c>
      <c r="W227">
        <v>150.69999999999999</v>
      </c>
      <c r="X227">
        <v>150.1</v>
      </c>
      <c r="Y227">
        <v>146.9</v>
      </c>
      <c r="Z227">
        <v>149.5</v>
      </c>
      <c r="AA227">
        <v>151.30000000000001</v>
      </c>
      <c r="AB227">
        <v>130.19999999999999</v>
      </c>
      <c r="AC227">
        <v>145.9</v>
      </c>
      <c r="AD227">
        <v>156.69999999999999</v>
      </c>
      <c r="AE227">
        <v>133.9</v>
      </c>
      <c r="AF227">
        <v>142.9</v>
      </c>
      <c r="AG227">
        <v>142.4</v>
      </c>
      <c r="AH227">
        <f t="shared" si="26"/>
        <v>1782.1000000000001</v>
      </c>
      <c r="AI227">
        <f t="shared" si="27"/>
        <v>146.9</v>
      </c>
      <c r="AJ227">
        <f t="shared" si="28"/>
        <v>130.19999999999999</v>
      </c>
      <c r="AK227">
        <f t="shared" si="29"/>
        <v>156.69999999999999</v>
      </c>
      <c r="AL227">
        <f t="shared" si="30"/>
        <v>1485.5000000000005</v>
      </c>
      <c r="AM227" t="str">
        <f t="shared" si="31"/>
        <v>No</v>
      </c>
    </row>
    <row r="228" spans="1:39" x14ac:dyDescent="0.3">
      <c r="A228" t="s">
        <v>32</v>
      </c>
      <c r="B228" s="28">
        <f t="shared" si="24"/>
        <v>43586</v>
      </c>
      <c r="C228">
        <v>2019</v>
      </c>
      <c r="D228" t="s">
        <v>37</v>
      </c>
      <c r="E228" t="str">
        <f t="shared" si="25"/>
        <v>May-19</v>
      </c>
      <c r="F228">
        <f>VLOOKUP(D228,'Problem Statement 4'!$G$2:$H$13,2,0)</f>
        <v>5</v>
      </c>
      <c r="G228">
        <v>140.4</v>
      </c>
      <c r="H228">
        <v>156.69999999999999</v>
      </c>
      <c r="I228">
        <v>138.30000000000001</v>
      </c>
      <c r="J228">
        <v>142.4</v>
      </c>
      <c r="K228">
        <v>118.6</v>
      </c>
      <c r="L228">
        <v>149.69999999999999</v>
      </c>
      <c r="M228">
        <v>161.6</v>
      </c>
      <c r="N228">
        <v>124.4</v>
      </c>
      <c r="O228">
        <v>111.2</v>
      </c>
      <c r="P228">
        <v>141</v>
      </c>
      <c r="Q228">
        <v>128.9</v>
      </c>
      <c r="R228">
        <v>154.5</v>
      </c>
      <c r="S228">
        <v>143.80000000000001</v>
      </c>
      <c r="T228">
        <v>166.2</v>
      </c>
      <c r="U228">
        <v>144</v>
      </c>
      <c r="V228">
        <v>131.69999999999999</v>
      </c>
      <c r="W228">
        <v>142.19999999999999</v>
      </c>
      <c r="X228">
        <v>150.1</v>
      </c>
      <c r="Y228">
        <v>129.4</v>
      </c>
      <c r="Z228">
        <v>137.19999999999999</v>
      </c>
      <c r="AA228">
        <v>139.80000000000001</v>
      </c>
      <c r="AB228">
        <v>120.1</v>
      </c>
      <c r="AC228">
        <v>134</v>
      </c>
      <c r="AD228">
        <v>148</v>
      </c>
      <c r="AE228">
        <v>132.6</v>
      </c>
      <c r="AF228">
        <v>133.30000000000001</v>
      </c>
      <c r="AG228">
        <v>141.5</v>
      </c>
      <c r="AH228">
        <f t="shared" si="26"/>
        <v>1811.5000000000002</v>
      </c>
      <c r="AI228">
        <f t="shared" si="27"/>
        <v>129.4</v>
      </c>
      <c r="AJ228">
        <f t="shared" si="28"/>
        <v>120.1</v>
      </c>
      <c r="AK228">
        <f t="shared" si="29"/>
        <v>148</v>
      </c>
      <c r="AL228">
        <f t="shared" si="30"/>
        <v>1411.0999999999997</v>
      </c>
      <c r="AM228" t="str">
        <f t="shared" si="31"/>
        <v>No</v>
      </c>
    </row>
    <row r="229" spans="1:39" x14ac:dyDescent="0.3">
      <c r="A229" t="s">
        <v>33</v>
      </c>
      <c r="B229" s="28">
        <f t="shared" si="24"/>
        <v>43586</v>
      </c>
      <c r="C229">
        <v>2019</v>
      </c>
      <c r="D229" t="s">
        <v>37</v>
      </c>
      <c r="E229" t="str">
        <f t="shared" si="25"/>
        <v>May-19</v>
      </c>
      <c r="F229">
        <f>VLOOKUP(D229,'Problem Statement 4'!$G$2:$H$13,2,0)</f>
        <v>5</v>
      </c>
      <c r="G229">
        <v>138.30000000000001</v>
      </c>
      <c r="H229">
        <v>158.5</v>
      </c>
      <c r="I229">
        <v>136</v>
      </c>
      <c r="J229">
        <v>142.5</v>
      </c>
      <c r="K229">
        <v>122</v>
      </c>
      <c r="L229">
        <v>146.5</v>
      </c>
      <c r="M229">
        <v>143</v>
      </c>
      <c r="N229">
        <v>124.9</v>
      </c>
      <c r="O229">
        <v>109.9</v>
      </c>
      <c r="P229">
        <v>139.9</v>
      </c>
      <c r="Q229">
        <v>134</v>
      </c>
      <c r="R229">
        <v>155.5</v>
      </c>
      <c r="S229">
        <v>140.9</v>
      </c>
      <c r="T229">
        <v>164.1</v>
      </c>
      <c r="U229">
        <v>148.4</v>
      </c>
      <c r="V229">
        <v>140.4</v>
      </c>
      <c r="W229">
        <v>147.30000000000001</v>
      </c>
      <c r="X229">
        <v>150.1</v>
      </c>
      <c r="Y229">
        <v>140.30000000000001</v>
      </c>
      <c r="Z229">
        <v>143.69999999999999</v>
      </c>
      <c r="AA229">
        <v>146.9</v>
      </c>
      <c r="AB229">
        <v>124.9</v>
      </c>
      <c r="AC229">
        <v>139.19999999999999</v>
      </c>
      <c r="AD229">
        <v>151.6</v>
      </c>
      <c r="AE229">
        <v>133.4</v>
      </c>
      <c r="AF229">
        <v>138.19999999999999</v>
      </c>
      <c r="AG229">
        <v>142</v>
      </c>
      <c r="AH229">
        <f t="shared" si="26"/>
        <v>1791.9000000000003</v>
      </c>
      <c r="AI229">
        <f t="shared" si="27"/>
        <v>140.30000000000001</v>
      </c>
      <c r="AJ229">
        <f t="shared" si="28"/>
        <v>124.9</v>
      </c>
      <c r="AK229">
        <f t="shared" si="29"/>
        <v>151.6</v>
      </c>
      <c r="AL229">
        <f t="shared" si="30"/>
        <v>1451.7000000000003</v>
      </c>
      <c r="AM229" t="str">
        <f t="shared" si="31"/>
        <v>No</v>
      </c>
    </row>
    <row r="230" spans="1:39" x14ac:dyDescent="0.3">
      <c r="A230" t="s">
        <v>30</v>
      </c>
      <c r="B230" s="28">
        <f t="shared" si="24"/>
        <v>43617</v>
      </c>
      <c r="C230">
        <v>2019</v>
      </c>
      <c r="D230" t="s">
        <v>38</v>
      </c>
      <c r="E230" t="str">
        <f t="shared" si="25"/>
        <v>Jun-19</v>
      </c>
      <c r="F230">
        <f>VLOOKUP(D230,'Problem Statement 4'!$G$2:$H$13,2,0)</f>
        <v>6</v>
      </c>
      <c r="G230">
        <v>137.80000000000001</v>
      </c>
      <c r="H230">
        <v>163.5</v>
      </c>
      <c r="I230">
        <v>136.19999999999999</v>
      </c>
      <c r="J230">
        <v>143.19999999999999</v>
      </c>
      <c r="K230">
        <v>124.3</v>
      </c>
      <c r="L230">
        <v>143.30000000000001</v>
      </c>
      <c r="M230">
        <v>140.6</v>
      </c>
      <c r="N230">
        <v>128.69999999999999</v>
      </c>
      <c r="O230">
        <v>110.6</v>
      </c>
      <c r="P230">
        <v>140.4</v>
      </c>
      <c r="Q230">
        <v>138</v>
      </c>
      <c r="R230">
        <v>156.6</v>
      </c>
      <c r="S230">
        <v>141</v>
      </c>
      <c r="T230">
        <v>164.2</v>
      </c>
      <c r="U230">
        <v>151.4</v>
      </c>
      <c r="V230">
        <v>146.5</v>
      </c>
      <c r="W230">
        <v>150.69999999999999</v>
      </c>
      <c r="X230">
        <v>149.4</v>
      </c>
      <c r="Y230">
        <v>147.80000000000001</v>
      </c>
      <c r="Z230">
        <v>149.6</v>
      </c>
      <c r="AA230">
        <v>151.69999999999999</v>
      </c>
      <c r="AB230">
        <v>130.19999999999999</v>
      </c>
      <c r="AC230">
        <v>146.4</v>
      </c>
      <c r="AD230">
        <v>157.69999999999999</v>
      </c>
      <c r="AE230">
        <v>134.80000000000001</v>
      </c>
      <c r="AF230">
        <v>143.30000000000001</v>
      </c>
      <c r="AG230">
        <v>143.6</v>
      </c>
      <c r="AH230">
        <f t="shared" si="26"/>
        <v>1804.1999999999998</v>
      </c>
      <c r="AI230">
        <f t="shared" si="27"/>
        <v>147.80000000000001</v>
      </c>
      <c r="AJ230">
        <f t="shared" si="28"/>
        <v>130.19999999999999</v>
      </c>
      <c r="AK230">
        <f t="shared" si="29"/>
        <v>157.69999999999999</v>
      </c>
      <c r="AL230">
        <f t="shared" si="30"/>
        <v>1488</v>
      </c>
      <c r="AM230" t="str">
        <f t="shared" si="31"/>
        <v>No</v>
      </c>
    </row>
    <row r="231" spans="1:39" x14ac:dyDescent="0.3">
      <c r="A231" t="s">
        <v>32</v>
      </c>
      <c r="B231" s="28">
        <f t="shared" si="24"/>
        <v>43617</v>
      </c>
      <c r="C231">
        <v>2019</v>
      </c>
      <c r="D231" t="s">
        <v>38</v>
      </c>
      <c r="E231" t="str">
        <f t="shared" si="25"/>
        <v>Jun-19</v>
      </c>
      <c r="F231">
        <f>VLOOKUP(D231,'Problem Statement 4'!$G$2:$H$13,2,0)</f>
        <v>6</v>
      </c>
      <c r="G231">
        <v>140.69999999999999</v>
      </c>
      <c r="H231">
        <v>159.6</v>
      </c>
      <c r="I231">
        <v>140.4</v>
      </c>
      <c r="J231">
        <v>143.4</v>
      </c>
      <c r="K231">
        <v>118.6</v>
      </c>
      <c r="L231">
        <v>150.9</v>
      </c>
      <c r="M231">
        <v>169.8</v>
      </c>
      <c r="N231">
        <v>127.4</v>
      </c>
      <c r="O231">
        <v>111.8</v>
      </c>
      <c r="P231">
        <v>141</v>
      </c>
      <c r="Q231">
        <v>129</v>
      </c>
      <c r="R231">
        <v>155.1</v>
      </c>
      <c r="S231">
        <v>145.6</v>
      </c>
      <c r="T231">
        <v>166.7</v>
      </c>
      <c r="U231">
        <v>144.30000000000001</v>
      </c>
      <c r="V231">
        <v>131.69999999999999</v>
      </c>
      <c r="W231">
        <v>142.4</v>
      </c>
      <c r="X231">
        <v>149.4</v>
      </c>
      <c r="Y231">
        <v>130.5</v>
      </c>
      <c r="Z231">
        <v>137.4</v>
      </c>
      <c r="AA231">
        <v>140.30000000000001</v>
      </c>
      <c r="AB231">
        <v>119.6</v>
      </c>
      <c r="AC231">
        <v>134.30000000000001</v>
      </c>
      <c r="AD231">
        <v>148.9</v>
      </c>
      <c r="AE231">
        <v>133.69999999999999</v>
      </c>
      <c r="AF231">
        <v>133.6</v>
      </c>
      <c r="AG231">
        <v>142.1</v>
      </c>
      <c r="AH231">
        <f t="shared" si="26"/>
        <v>1833.2999999999997</v>
      </c>
      <c r="AI231">
        <f t="shared" si="27"/>
        <v>130.5</v>
      </c>
      <c r="AJ231">
        <f t="shared" si="28"/>
        <v>119.6</v>
      </c>
      <c r="AK231">
        <f t="shared" si="29"/>
        <v>148.9</v>
      </c>
      <c r="AL231">
        <f t="shared" si="30"/>
        <v>1413.8</v>
      </c>
      <c r="AM231" t="str">
        <f t="shared" si="31"/>
        <v>Yes</v>
      </c>
    </row>
    <row r="232" spans="1:39" x14ac:dyDescent="0.3">
      <c r="A232" t="s">
        <v>33</v>
      </c>
      <c r="B232" s="28">
        <f t="shared" si="24"/>
        <v>43617</v>
      </c>
      <c r="C232">
        <v>2019</v>
      </c>
      <c r="D232" t="s">
        <v>38</v>
      </c>
      <c r="E232" t="str">
        <f t="shared" si="25"/>
        <v>Jun-19</v>
      </c>
      <c r="F232">
        <f>VLOOKUP(D232,'Problem Statement 4'!$G$2:$H$13,2,0)</f>
        <v>6</v>
      </c>
      <c r="G232">
        <v>138.69999999999999</v>
      </c>
      <c r="H232">
        <v>162.1</v>
      </c>
      <c r="I232">
        <v>137.80000000000001</v>
      </c>
      <c r="J232">
        <v>143.30000000000001</v>
      </c>
      <c r="K232">
        <v>122.2</v>
      </c>
      <c r="L232">
        <v>146.80000000000001</v>
      </c>
      <c r="M232">
        <v>150.5</v>
      </c>
      <c r="N232">
        <v>128.30000000000001</v>
      </c>
      <c r="O232">
        <v>111</v>
      </c>
      <c r="P232">
        <v>140.6</v>
      </c>
      <c r="Q232">
        <v>134.19999999999999</v>
      </c>
      <c r="R232">
        <v>155.9</v>
      </c>
      <c r="S232">
        <v>142.69999999999999</v>
      </c>
      <c r="T232">
        <v>164.9</v>
      </c>
      <c r="U232">
        <v>148.6</v>
      </c>
      <c r="V232">
        <v>140.4</v>
      </c>
      <c r="W232">
        <v>147.4</v>
      </c>
      <c r="X232">
        <v>149.4</v>
      </c>
      <c r="Y232">
        <v>141.19999999999999</v>
      </c>
      <c r="Z232">
        <v>143.80000000000001</v>
      </c>
      <c r="AA232">
        <v>147.4</v>
      </c>
      <c r="AB232">
        <v>124.6</v>
      </c>
      <c r="AC232">
        <v>139.6</v>
      </c>
      <c r="AD232">
        <v>152.5</v>
      </c>
      <c r="AE232">
        <v>134.30000000000001</v>
      </c>
      <c r="AF232">
        <v>138.6</v>
      </c>
      <c r="AG232">
        <v>142.9</v>
      </c>
      <c r="AH232">
        <f t="shared" si="26"/>
        <v>1814.1000000000001</v>
      </c>
      <c r="AI232">
        <f t="shared" si="27"/>
        <v>141.19999999999999</v>
      </c>
      <c r="AJ232">
        <f t="shared" si="28"/>
        <v>124.6</v>
      </c>
      <c r="AK232">
        <f t="shared" si="29"/>
        <v>152.5</v>
      </c>
      <c r="AL232">
        <f t="shared" si="30"/>
        <v>1454.3999999999999</v>
      </c>
      <c r="AM232" t="str">
        <f t="shared" si="31"/>
        <v>No</v>
      </c>
    </row>
    <row r="233" spans="1:39" x14ac:dyDescent="0.3">
      <c r="A233" t="s">
        <v>30</v>
      </c>
      <c r="B233" s="28">
        <f t="shared" si="24"/>
        <v>43647</v>
      </c>
      <c r="C233">
        <v>2019</v>
      </c>
      <c r="D233" t="s">
        <v>39</v>
      </c>
      <c r="E233" t="str">
        <f t="shared" si="25"/>
        <v>Jul-19</v>
      </c>
      <c r="F233">
        <f>VLOOKUP(D233,'Problem Statement 4'!$G$2:$H$13,2,0)</f>
        <v>7</v>
      </c>
      <c r="G233">
        <v>138.4</v>
      </c>
      <c r="H233">
        <v>164</v>
      </c>
      <c r="I233">
        <v>138.4</v>
      </c>
      <c r="J233">
        <v>143.9</v>
      </c>
      <c r="K233">
        <v>124.4</v>
      </c>
      <c r="L233">
        <v>146.4</v>
      </c>
      <c r="M233">
        <v>150.1</v>
      </c>
      <c r="N233">
        <v>130.6</v>
      </c>
      <c r="O233">
        <v>110.8</v>
      </c>
      <c r="P233">
        <v>141.69999999999999</v>
      </c>
      <c r="Q233">
        <v>138.5</v>
      </c>
      <c r="R233">
        <v>156.69999999999999</v>
      </c>
      <c r="S233">
        <v>143</v>
      </c>
      <c r="T233">
        <v>164.5</v>
      </c>
      <c r="U233">
        <v>151.6</v>
      </c>
      <c r="V233">
        <v>146.6</v>
      </c>
      <c r="W233">
        <v>150.9</v>
      </c>
      <c r="X233">
        <v>150.6</v>
      </c>
      <c r="Y233">
        <v>146.80000000000001</v>
      </c>
      <c r="Z233">
        <v>150</v>
      </c>
      <c r="AA233">
        <v>152.19999999999999</v>
      </c>
      <c r="AB233">
        <v>131.19999999999999</v>
      </c>
      <c r="AC233">
        <v>147.5</v>
      </c>
      <c r="AD233">
        <v>159.1</v>
      </c>
      <c r="AE233">
        <v>136.1</v>
      </c>
      <c r="AF233">
        <v>144.19999999999999</v>
      </c>
      <c r="AG233">
        <v>144.9</v>
      </c>
      <c r="AH233">
        <f t="shared" si="26"/>
        <v>1826.8999999999999</v>
      </c>
      <c r="AI233">
        <f t="shared" si="27"/>
        <v>146.80000000000001</v>
      </c>
      <c r="AJ233">
        <f t="shared" si="28"/>
        <v>131.19999999999999</v>
      </c>
      <c r="AK233">
        <f t="shared" si="29"/>
        <v>159.1</v>
      </c>
      <c r="AL233">
        <f t="shared" si="30"/>
        <v>1494.2</v>
      </c>
      <c r="AM233" t="str">
        <f t="shared" si="31"/>
        <v>No</v>
      </c>
    </row>
    <row r="234" spans="1:39" x14ac:dyDescent="0.3">
      <c r="A234" t="s">
        <v>32</v>
      </c>
      <c r="B234" s="28">
        <f t="shared" si="24"/>
        <v>43647</v>
      </c>
      <c r="C234">
        <v>2019</v>
      </c>
      <c r="D234" t="s">
        <v>39</v>
      </c>
      <c r="E234" t="str">
        <f t="shared" si="25"/>
        <v>Jul-19</v>
      </c>
      <c r="F234">
        <f>VLOOKUP(D234,'Problem Statement 4'!$G$2:$H$13,2,0)</f>
        <v>7</v>
      </c>
      <c r="G234">
        <v>141.4</v>
      </c>
      <c r="H234">
        <v>160.19999999999999</v>
      </c>
      <c r="I234">
        <v>142.5</v>
      </c>
      <c r="J234">
        <v>144.1</v>
      </c>
      <c r="K234">
        <v>119.3</v>
      </c>
      <c r="L234">
        <v>154.69999999999999</v>
      </c>
      <c r="M234">
        <v>180.1</v>
      </c>
      <c r="N234">
        <v>128.9</v>
      </c>
      <c r="O234">
        <v>111.8</v>
      </c>
      <c r="P234">
        <v>141.6</v>
      </c>
      <c r="Q234">
        <v>129.5</v>
      </c>
      <c r="R234">
        <v>155.6</v>
      </c>
      <c r="S234">
        <v>147.69999999999999</v>
      </c>
      <c r="T234">
        <v>167.2</v>
      </c>
      <c r="U234">
        <v>144.69999999999999</v>
      </c>
      <c r="V234">
        <v>131.9</v>
      </c>
      <c r="W234">
        <v>142.69999999999999</v>
      </c>
      <c r="X234">
        <v>150.6</v>
      </c>
      <c r="Y234">
        <v>127</v>
      </c>
      <c r="Z234">
        <v>137.69999999999999</v>
      </c>
      <c r="AA234">
        <v>140.80000000000001</v>
      </c>
      <c r="AB234">
        <v>120.6</v>
      </c>
      <c r="AC234">
        <v>135</v>
      </c>
      <c r="AD234">
        <v>150.4</v>
      </c>
      <c r="AE234">
        <v>135.1</v>
      </c>
      <c r="AF234">
        <v>134.5</v>
      </c>
      <c r="AG234">
        <v>143.30000000000001</v>
      </c>
      <c r="AH234">
        <f t="shared" si="26"/>
        <v>1857.3999999999999</v>
      </c>
      <c r="AI234">
        <f t="shared" si="27"/>
        <v>127</v>
      </c>
      <c r="AJ234">
        <f t="shared" si="28"/>
        <v>120.6</v>
      </c>
      <c r="AK234">
        <f t="shared" si="29"/>
        <v>150.4</v>
      </c>
      <c r="AL234">
        <f t="shared" si="30"/>
        <v>1420.1999999999998</v>
      </c>
      <c r="AM234" t="str">
        <f t="shared" si="31"/>
        <v>Yes</v>
      </c>
    </row>
    <row r="235" spans="1:39" x14ac:dyDescent="0.3">
      <c r="A235" t="s">
        <v>33</v>
      </c>
      <c r="B235" s="28">
        <f t="shared" si="24"/>
        <v>43647</v>
      </c>
      <c r="C235">
        <v>2019</v>
      </c>
      <c r="D235" t="s">
        <v>39</v>
      </c>
      <c r="E235" t="str">
        <f t="shared" si="25"/>
        <v>Jul-19</v>
      </c>
      <c r="F235">
        <f>VLOOKUP(D235,'Problem Statement 4'!$G$2:$H$13,2,0)</f>
        <v>7</v>
      </c>
      <c r="G235">
        <v>139.30000000000001</v>
      </c>
      <c r="H235">
        <v>162.69999999999999</v>
      </c>
      <c r="I235">
        <v>140</v>
      </c>
      <c r="J235">
        <v>144</v>
      </c>
      <c r="K235">
        <v>122.5</v>
      </c>
      <c r="L235">
        <v>150.30000000000001</v>
      </c>
      <c r="M235">
        <v>160.30000000000001</v>
      </c>
      <c r="N235">
        <v>130</v>
      </c>
      <c r="O235">
        <v>111.1</v>
      </c>
      <c r="P235">
        <v>141.69999999999999</v>
      </c>
      <c r="Q235">
        <v>134.69999999999999</v>
      </c>
      <c r="R235">
        <v>156.19999999999999</v>
      </c>
      <c r="S235">
        <v>144.69999999999999</v>
      </c>
      <c r="T235">
        <v>165.2</v>
      </c>
      <c r="U235">
        <v>148.9</v>
      </c>
      <c r="V235">
        <v>140.5</v>
      </c>
      <c r="W235">
        <v>147.6</v>
      </c>
      <c r="X235">
        <v>150.6</v>
      </c>
      <c r="Y235">
        <v>139.30000000000001</v>
      </c>
      <c r="Z235">
        <v>144.19999999999999</v>
      </c>
      <c r="AA235">
        <v>147.9</v>
      </c>
      <c r="AB235">
        <v>125.6</v>
      </c>
      <c r="AC235">
        <v>140.5</v>
      </c>
      <c r="AD235">
        <v>154</v>
      </c>
      <c r="AE235">
        <v>135.69999999999999</v>
      </c>
      <c r="AF235">
        <v>139.5</v>
      </c>
      <c r="AG235">
        <v>144.19999999999999</v>
      </c>
      <c r="AH235">
        <f t="shared" si="26"/>
        <v>1837.5</v>
      </c>
      <c r="AI235">
        <f t="shared" si="27"/>
        <v>139.30000000000001</v>
      </c>
      <c r="AJ235">
        <f t="shared" si="28"/>
        <v>125.6</v>
      </c>
      <c r="AK235">
        <f t="shared" si="29"/>
        <v>154</v>
      </c>
      <c r="AL235">
        <f t="shared" si="30"/>
        <v>1460.6000000000001</v>
      </c>
      <c r="AM235" t="str">
        <f t="shared" si="31"/>
        <v>Yes</v>
      </c>
    </row>
    <row r="236" spans="1:39" x14ac:dyDescent="0.3">
      <c r="A236" t="s">
        <v>30</v>
      </c>
      <c r="B236" s="28">
        <f t="shared" si="24"/>
        <v>43678</v>
      </c>
      <c r="C236">
        <v>2019</v>
      </c>
      <c r="D236" t="s">
        <v>40</v>
      </c>
      <c r="E236" t="str">
        <f t="shared" si="25"/>
        <v>Aug-19</v>
      </c>
      <c r="F236">
        <f>VLOOKUP(D236,'Problem Statement 4'!$G$2:$H$13,2,0)</f>
        <v>8</v>
      </c>
      <c r="G236">
        <v>139.19999999999999</v>
      </c>
      <c r="H236">
        <v>161.9</v>
      </c>
      <c r="I236">
        <v>137.1</v>
      </c>
      <c r="J236">
        <v>144.6</v>
      </c>
      <c r="K236">
        <v>124.7</v>
      </c>
      <c r="L236">
        <v>145.5</v>
      </c>
      <c r="M236">
        <v>156.19999999999999</v>
      </c>
      <c r="N236">
        <v>131.5</v>
      </c>
      <c r="O236">
        <v>111.7</v>
      </c>
      <c r="P236">
        <v>142.69999999999999</v>
      </c>
      <c r="Q236">
        <v>138.5</v>
      </c>
      <c r="R236">
        <v>156.9</v>
      </c>
      <c r="S236">
        <v>144</v>
      </c>
      <c r="T236">
        <v>165.1</v>
      </c>
      <c r="U236">
        <v>151.80000000000001</v>
      </c>
      <c r="V236">
        <v>146.6</v>
      </c>
      <c r="W236">
        <v>151.1</v>
      </c>
      <c r="X236">
        <v>151.6</v>
      </c>
      <c r="Y236">
        <v>146.4</v>
      </c>
      <c r="Z236">
        <v>150.19999999999999</v>
      </c>
      <c r="AA236">
        <v>152.69999999999999</v>
      </c>
      <c r="AB236">
        <v>131.4</v>
      </c>
      <c r="AC236">
        <v>148</v>
      </c>
      <c r="AD236">
        <v>159.69999999999999</v>
      </c>
      <c r="AE236">
        <v>138.80000000000001</v>
      </c>
      <c r="AF236">
        <v>144.9</v>
      </c>
      <c r="AG236">
        <v>145.69999999999999</v>
      </c>
      <c r="AH236">
        <f t="shared" si="26"/>
        <v>1834.5000000000002</v>
      </c>
      <c r="AI236">
        <f t="shared" si="27"/>
        <v>146.4</v>
      </c>
      <c r="AJ236">
        <f t="shared" si="28"/>
        <v>131.4</v>
      </c>
      <c r="AK236">
        <f t="shared" si="29"/>
        <v>159.69999999999999</v>
      </c>
      <c r="AL236">
        <f t="shared" si="30"/>
        <v>1500.8000000000002</v>
      </c>
      <c r="AM236" t="str">
        <f t="shared" si="31"/>
        <v>No</v>
      </c>
    </row>
    <row r="237" spans="1:39" x14ac:dyDescent="0.3">
      <c r="A237" t="s">
        <v>32</v>
      </c>
      <c r="B237" s="28">
        <f t="shared" si="24"/>
        <v>43678</v>
      </c>
      <c r="C237">
        <v>2019</v>
      </c>
      <c r="D237" t="s">
        <v>40</v>
      </c>
      <c r="E237" t="str">
        <f t="shared" si="25"/>
        <v>Aug-19</v>
      </c>
      <c r="F237">
        <f>VLOOKUP(D237,'Problem Statement 4'!$G$2:$H$13,2,0)</f>
        <v>8</v>
      </c>
      <c r="G237">
        <v>142.1</v>
      </c>
      <c r="H237">
        <v>158.30000000000001</v>
      </c>
      <c r="I237">
        <v>140.80000000000001</v>
      </c>
      <c r="J237">
        <v>144.9</v>
      </c>
      <c r="K237">
        <v>119.9</v>
      </c>
      <c r="L237">
        <v>153.9</v>
      </c>
      <c r="M237">
        <v>189.1</v>
      </c>
      <c r="N237">
        <v>129.80000000000001</v>
      </c>
      <c r="O237">
        <v>112.7</v>
      </c>
      <c r="P237">
        <v>142.5</v>
      </c>
      <c r="Q237">
        <v>129.80000000000001</v>
      </c>
      <c r="R237">
        <v>156.19999999999999</v>
      </c>
      <c r="S237">
        <v>149.1</v>
      </c>
      <c r="T237">
        <v>167.9</v>
      </c>
      <c r="U237">
        <v>145</v>
      </c>
      <c r="V237">
        <v>132.19999999999999</v>
      </c>
      <c r="W237">
        <v>143</v>
      </c>
      <c r="X237">
        <v>151.6</v>
      </c>
      <c r="Y237">
        <v>125.5</v>
      </c>
      <c r="Z237">
        <v>138.1</v>
      </c>
      <c r="AA237">
        <v>141.5</v>
      </c>
      <c r="AB237">
        <v>120.8</v>
      </c>
      <c r="AC237">
        <v>135.4</v>
      </c>
      <c r="AD237">
        <v>151.5</v>
      </c>
      <c r="AE237">
        <v>137.80000000000001</v>
      </c>
      <c r="AF237">
        <v>135.30000000000001</v>
      </c>
      <c r="AG237">
        <v>144.19999999999999</v>
      </c>
      <c r="AH237">
        <f t="shared" si="26"/>
        <v>1869.1</v>
      </c>
      <c r="AI237">
        <f t="shared" si="27"/>
        <v>125.5</v>
      </c>
      <c r="AJ237">
        <f t="shared" si="28"/>
        <v>120.8</v>
      </c>
      <c r="AK237">
        <f t="shared" si="29"/>
        <v>151.5</v>
      </c>
      <c r="AL237">
        <f t="shared" si="30"/>
        <v>1427.8</v>
      </c>
      <c r="AM237" t="str">
        <f t="shared" si="31"/>
        <v>Yes</v>
      </c>
    </row>
    <row r="238" spans="1:39" x14ac:dyDescent="0.3">
      <c r="A238" t="s">
        <v>33</v>
      </c>
      <c r="B238" s="28">
        <f t="shared" si="24"/>
        <v>43678</v>
      </c>
      <c r="C238">
        <v>2019</v>
      </c>
      <c r="D238" t="s">
        <v>40</v>
      </c>
      <c r="E238" t="str">
        <f t="shared" si="25"/>
        <v>Aug-19</v>
      </c>
      <c r="F238">
        <f>VLOOKUP(D238,'Problem Statement 4'!$G$2:$H$13,2,0)</f>
        <v>8</v>
      </c>
      <c r="G238">
        <v>140.1</v>
      </c>
      <c r="H238">
        <v>160.6</v>
      </c>
      <c r="I238">
        <v>138.5</v>
      </c>
      <c r="J238">
        <v>144.69999999999999</v>
      </c>
      <c r="K238">
        <v>122.9</v>
      </c>
      <c r="L238">
        <v>149.4</v>
      </c>
      <c r="M238">
        <v>167.4</v>
      </c>
      <c r="N238">
        <v>130.9</v>
      </c>
      <c r="O238">
        <v>112</v>
      </c>
      <c r="P238">
        <v>142.6</v>
      </c>
      <c r="Q238">
        <v>134.9</v>
      </c>
      <c r="R238">
        <v>156.6</v>
      </c>
      <c r="S238">
        <v>145.9</v>
      </c>
      <c r="T238">
        <v>165.8</v>
      </c>
      <c r="U238">
        <v>149.1</v>
      </c>
      <c r="V238">
        <v>140.6</v>
      </c>
      <c r="W238">
        <v>147.9</v>
      </c>
      <c r="X238">
        <v>151.6</v>
      </c>
      <c r="Y238">
        <v>138.5</v>
      </c>
      <c r="Z238">
        <v>144.5</v>
      </c>
      <c r="AA238">
        <v>148.5</v>
      </c>
      <c r="AB238">
        <v>125.8</v>
      </c>
      <c r="AC238">
        <v>140.9</v>
      </c>
      <c r="AD238">
        <v>154.9</v>
      </c>
      <c r="AE238">
        <v>138.4</v>
      </c>
      <c r="AF238">
        <v>140.19999999999999</v>
      </c>
      <c r="AG238">
        <v>145</v>
      </c>
      <c r="AH238">
        <f t="shared" si="26"/>
        <v>1846.5</v>
      </c>
      <c r="AI238">
        <f t="shared" si="27"/>
        <v>138.5</v>
      </c>
      <c r="AJ238">
        <f t="shared" si="28"/>
        <v>125.8</v>
      </c>
      <c r="AK238">
        <f t="shared" si="29"/>
        <v>154.9</v>
      </c>
      <c r="AL238">
        <f t="shared" si="30"/>
        <v>1467.5000000000002</v>
      </c>
      <c r="AM238" t="str">
        <f t="shared" si="31"/>
        <v>No</v>
      </c>
    </row>
    <row r="239" spans="1:39" x14ac:dyDescent="0.3">
      <c r="A239" t="s">
        <v>30</v>
      </c>
      <c r="B239" s="28">
        <f t="shared" si="24"/>
        <v>43709</v>
      </c>
      <c r="C239">
        <v>2019</v>
      </c>
      <c r="D239" t="s">
        <v>41</v>
      </c>
      <c r="E239" t="str">
        <f t="shared" si="25"/>
        <v>Sep-19</v>
      </c>
      <c r="F239">
        <f>VLOOKUP(D239,'Problem Statement 4'!$G$2:$H$13,2,0)</f>
        <v>9</v>
      </c>
      <c r="G239">
        <v>140.1</v>
      </c>
      <c r="H239">
        <v>161.9</v>
      </c>
      <c r="I239">
        <v>138.30000000000001</v>
      </c>
      <c r="J239">
        <v>145.69999999999999</v>
      </c>
      <c r="K239">
        <v>125.1</v>
      </c>
      <c r="L239">
        <v>143.80000000000001</v>
      </c>
      <c r="M239">
        <v>163.4</v>
      </c>
      <c r="N239">
        <v>132.19999999999999</v>
      </c>
      <c r="O239">
        <v>112.8</v>
      </c>
      <c r="P239">
        <v>144.19999999999999</v>
      </c>
      <c r="Q239">
        <v>138.5</v>
      </c>
      <c r="R239">
        <v>157.19999999999999</v>
      </c>
      <c r="S239">
        <v>145.5</v>
      </c>
      <c r="T239">
        <v>165.7</v>
      </c>
      <c r="U239">
        <v>151.69999999999999</v>
      </c>
      <c r="V239">
        <v>146.6</v>
      </c>
      <c r="W239">
        <v>151</v>
      </c>
      <c r="X239">
        <v>152.19999999999999</v>
      </c>
      <c r="Y239">
        <v>146.9</v>
      </c>
      <c r="Z239">
        <v>150.30000000000001</v>
      </c>
      <c r="AA239">
        <v>153.4</v>
      </c>
      <c r="AB239">
        <v>131.6</v>
      </c>
      <c r="AC239">
        <v>148.30000000000001</v>
      </c>
      <c r="AD239">
        <v>160.19999999999999</v>
      </c>
      <c r="AE239">
        <v>140.19999999999999</v>
      </c>
      <c r="AF239">
        <v>145.4</v>
      </c>
      <c r="AG239">
        <v>146.69999999999999</v>
      </c>
      <c r="AH239">
        <f t="shared" si="26"/>
        <v>1848.7</v>
      </c>
      <c r="AI239">
        <f t="shared" si="27"/>
        <v>146.9</v>
      </c>
      <c r="AJ239">
        <f t="shared" si="28"/>
        <v>131.6</v>
      </c>
      <c r="AK239">
        <f t="shared" si="29"/>
        <v>160.19999999999999</v>
      </c>
      <c r="AL239">
        <f t="shared" si="30"/>
        <v>1504.8000000000002</v>
      </c>
      <c r="AM239" t="str">
        <f t="shared" si="31"/>
        <v>No</v>
      </c>
    </row>
    <row r="240" spans="1:39" x14ac:dyDescent="0.3">
      <c r="A240" t="s">
        <v>32</v>
      </c>
      <c r="B240" s="28">
        <f t="shared" si="24"/>
        <v>43709</v>
      </c>
      <c r="C240">
        <v>2019</v>
      </c>
      <c r="D240" t="s">
        <v>41</v>
      </c>
      <c r="E240" t="str">
        <f t="shared" si="25"/>
        <v>Sep-19</v>
      </c>
      <c r="F240">
        <f>VLOOKUP(D240,'Problem Statement 4'!$G$2:$H$13,2,0)</f>
        <v>9</v>
      </c>
      <c r="G240">
        <v>142.69999999999999</v>
      </c>
      <c r="H240">
        <v>158.69999999999999</v>
      </c>
      <c r="I240">
        <v>141.6</v>
      </c>
      <c r="J240">
        <v>144.9</v>
      </c>
      <c r="K240">
        <v>120.8</v>
      </c>
      <c r="L240">
        <v>149.80000000000001</v>
      </c>
      <c r="M240">
        <v>192.4</v>
      </c>
      <c r="N240">
        <v>130.30000000000001</v>
      </c>
      <c r="O240">
        <v>114</v>
      </c>
      <c r="P240">
        <v>143.80000000000001</v>
      </c>
      <c r="Q240">
        <v>130</v>
      </c>
      <c r="R240">
        <v>156.4</v>
      </c>
      <c r="S240">
        <v>149.5</v>
      </c>
      <c r="T240">
        <v>168.6</v>
      </c>
      <c r="U240">
        <v>145.30000000000001</v>
      </c>
      <c r="V240">
        <v>132.19999999999999</v>
      </c>
      <c r="W240">
        <v>143.30000000000001</v>
      </c>
      <c r="X240">
        <v>152.19999999999999</v>
      </c>
      <c r="Y240">
        <v>126.6</v>
      </c>
      <c r="Z240">
        <v>138.30000000000001</v>
      </c>
      <c r="AA240">
        <v>141.9</v>
      </c>
      <c r="AB240">
        <v>121.2</v>
      </c>
      <c r="AC240">
        <v>135.9</v>
      </c>
      <c r="AD240">
        <v>151.6</v>
      </c>
      <c r="AE240">
        <v>139</v>
      </c>
      <c r="AF240">
        <v>135.69999999999999</v>
      </c>
      <c r="AG240">
        <v>144.69999999999999</v>
      </c>
      <c r="AH240">
        <f t="shared" si="26"/>
        <v>1874.9</v>
      </c>
      <c r="AI240">
        <f t="shared" si="27"/>
        <v>126.6</v>
      </c>
      <c r="AJ240">
        <f t="shared" si="28"/>
        <v>121.2</v>
      </c>
      <c r="AK240">
        <f t="shared" si="29"/>
        <v>151.6</v>
      </c>
      <c r="AL240">
        <f t="shared" si="30"/>
        <v>1432.3999999999999</v>
      </c>
      <c r="AM240" t="str">
        <f t="shared" si="31"/>
        <v>No</v>
      </c>
    </row>
    <row r="241" spans="1:39" x14ac:dyDescent="0.3">
      <c r="A241" t="s">
        <v>33</v>
      </c>
      <c r="B241" s="28">
        <f t="shared" si="24"/>
        <v>43709</v>
      </c>
      <c r="C241">
        <v>2019</v>
      </c>
      <c r="D241" t="s">
        <v>41</v>
      </c>
      <c r="E241" t="str">
        <f t="shared" si="25"/>
        <v>Sep-19</v>
      </c>
      <c r="F241">
        <f>VLOOKUP(D241,'Problem Statement 4'!$G$2:$H$13,2,0)</f>
        <v>9</v>
      </c>
      <c r="G241">
        <v>140.9</v>
      </c>
      <c r="H241">
        <v>160.80000000000001</v>
      </c>
      <c r="I241">
        <v>139.6</v>
      </c>
      <c r="J241">
        <v>145.4</v>
      </c>
      <c r="K241">
        <v>123.5</v>
      </c>
      <c r="L241">
        <v>146.6</v>
      </c>
      <c r="M241">
        <v>173.2</v>
      </c>
      <c r="N241">
        <v>131.6</v>
      </c>
      <c r="O241">
        <v>113.2</v>
      </c>
      <c r="P241">
        <v>144.1</v>
      </c>
      <c r="Q241">
        <v>135</v>
      </c>
      <c r="R241">
        <v>156.80000000000001</v>
      </c>
      <c r="S241">
        <v>147</v>
      </c>
      <c r="T241">
        <v>166.5</v>
      </c>
      <c r="U241">
        <v>149.19999999999999</v>
      </c>
      <c r="V241">
        <v>140.6</v>
      </c>
      <c r="W241">
        <v>147.9</v>
      </c>
      <c r="X241">
        <v>152.19999999999999</v>
      </c>
      <c r="Y241">
        <v>139.19999999999999</v>
      </c>
      <c r="Z241">
        <v>144.6</v>
      </c>
      <c r="AA241">
        <v>149</v>
      </c>
      <c r="AB241">
        <v>126.1</v>
      </c>
      <c r="AC241">
        <v>141.30000000000001</v>
      </c>
      <c r="AD241">
        <v>155.19999999999999</v>
      </c>
      <c r="AE241">
        <v>139.69999999999999</v>
      </c>
      <c r="AF241">
        <v>140.69999999999999</v>
      </c>
      <c r="AG241">
        <v>145.80000000000001</v>
      </c>
      <c r="AH241">
        <f t="shared" si="26"/>
        <v>1857.6999999999998</v>
      </c>
      <c r="AI241">
        <f t="shared" si="27"/>
        <v>139.19999999999999</v>
      </c>
      <c r="AJ241">
        <f t="shared" si="28"/>
        <v>126.1</v>
      </c>
      <c r="AK241">
        <f t="shared" si="29"/>
        <v>155.19999999999999</v>
      </c>
      <c r="AL241">
        <f t="shared" si="30"/>
        <v>1471.7</v>
      </c>
      <c r="AM241" t="str">
        <f t="shared" si="31"/>
        <v>No</v>
      </c>
    </row>
    <row r="242" spans="1:39" x14ac:dyDescent="0.3">
      <c r="A242" t="s">
        <v>30</v>
      </c>
      <c r="B242" s="28">
        <f t="shared" si="24"/>
        <v>43739</v>
      </c>
      <c r="C242">
        <v>2019</v>
      </c>
      <c r="D242" t="s">
        <v>42</v>
      </c>
      <c r="E242" t="str">
        <f t="shared" si="25"/>
        <v>Oct-19</v>
      </c>
      <c r="F242">
        <f>VLOOKUP(D242,'Problem Statement 4'!$G$2:$H$13,2,0)</f>
        <v>10</v>
      </c>
      <c r="G242">
        <v>141</v>
      </c>
      <c r="H242">
        <v>161.6</v>
      </c>
      <c r="I242">
        <v>141.19999999999999</v>
      </c>
      <c r="J242">
        <v>146.5</v>
      </c>
      <c r="K242">
        <v>125.6</v>
      </c>
      <c r="L242">
        <v>145.69999999999999</v>
      </c>
      <c r="M242">
        <v>178.8</v>
      </c>
      <c r="N242">
        <v>133.1</v>
      </c>
      <c r="O242">
        <v>113.6</v>
      </c>
      <c r="P242">
        <v>145.5</v>
      </c>
      <c r="Q242">
        <v>138.6</v>
      </c>
      <c r="R242">
        <v>157.4</v>
      </c>
      <c r="S242">
        <v>148.30000000000001</v>
      </c>
      <c r="T242">
        <v>166.3</v>
      </c>
      <c r="U242">
        <v>151.69999999999999</v>
      </c>
      <c r="V242">
        <v>146.69999999999999</v>
      </c>
      <c r="W242">
        <v>151</v>
      </c>
      <c r="X242">
        <v>153</v>
      </c>
      <c r="Y242">
        <v>147.69999999999999</v>
      </c>
      <c r="Z242">
        <v>150.6</v>
      </c>
      <c r="AA242">
        <v>153.69999999999999</v>
      </c>
      <c r="AB242">
        <v>131.69999999999999</v>
      </c>
      <c r="AC242">
        <v>148.69999999999999</v>
      </c>
      <c r="AD242">
        <v>160.69999999999999</v>
      </c>
      <c r="AE242">
        <v>140.30000000000001</v>
      </c>
      <c r="AF242">
        <v>145.69999999999999</v>
      </c>
      <c r="AG242">
        <v>148.30000000000001</v>
      </c>
      <c r="AH242">
        <f t="shared" si="26"/>
        <v>1876.8999999999996</v>
      </c>
      <c r="AI242">
        <f t="shared" si="27"/>
        <v>147.69999999999999</v>
      </c>
      <c r="AJ242">
        <f t="shared" si="28"/>
        <v>131.69999999999999</v>
      </c>
      <c r="AK242">
        <f t="shared" si="29"/>
        <v>160.69999999999999</v>
      </c>
      <c r="AL242">
        <f t="shared" si="30"/>
        <v>1507.7</v>
      </c>
      <c r="AM242" t="str">
        <f t="shared" si="31"/>
        <v>No</v>
      </c>
    </row>
    <row r="243" spans="1:39" x14ac:dyDescent="0.3">
      <c r="A243" t="s">
        <v>32</v>
      </c>
      <c r="B243" s="28">
        <f t="shared" si="24"/>
        <v>43739</v>
      </c>
      <c r="C243">
        <v>2019</v>
      </c>
      <c r="D243" t="s">
        <v>42</v>
      </c>
      <c r="E243" t="str">
        <f t="shared" si="25"/>
        <v>Oct-19</v>
      </c>
      <c r="F243">
        <f>VLOOKUP(D243,'Problem Statement 4'!$G$2:$H$13,2,0)</f>
        <v>10</v>
      </c>
      <c r="G243">
        <v>143.5</v>
      </c>
      <c r="H243">
        <v>159.80000000000001</v>
      </c>
      <c r="I243">
        <v>144.69999999999999</v>
      </c>
      <c r="J243">
        <v>145.6</v>
      </c>
      <c r="K243">
        <v>121.1</v>
      </c>
      <c r="L243">
        <v>150.6</v>
      </c>
      <c r="M243">
        <v>207.2</v>
      </c>
      <c r="N243">
        <v>131.19999999999999</v>
      </c>
      <c r="O243">
        <v>114.8</v>
      </c>
      <c r="P243">
        <v>145.19999999999999</v>
      </c>
      <c r="Q243">
        <v>130.19999999999999</v>
      </c>
      <c r="R243">
        <v>156.80000000000001</v>
      </c>
      <c r="S243">
        <v>151.9</v>
      </c>
      <c r="T243">
        <v>169.3</v>
      </c>
      <c r="U243">
        <v>145.9</v>
      </c>
      <c r="V243">
        <v>132.4</v>
      </c>
      <c r="W243">
        <v>143.9</v>
      </c>
      <c r="X243">
        <v>153</v>
      </c>
      <c r="Y243">
        <v>128.9</v>
      </c>
      <c r="Z243">
        <v>138.69999999999999</v>
      </c>
      <c r="AA243">
        <v>142.4</v>
      </c>
      <c r="AB243">
        <v>121.5</v>
      </c>
      <c r="AC243">
        <v>136.19999999999999</v>
      </c>
      <c r="AD243">
        <v>151.69999999999999</v>
      </c>
      <c r="AE243">
        <v>139.5</v>
      </c>
      <c r="AF243">
        <v>136</v>
      </c>
      <c r="AG243">
        <v>146</v>
      </c>
      <c r="AH243">
        <f t="shared" si="26"/>
        <v>1902.6000000000001</v>
      </c>
      <c r="AI243">
        <f t="shared" si="27"/>
        <v>128.9</v>
      </c>
      <c r="AJ243">
        <f t="shared" si="28"/>
        <v>121.5</v>
      </c>
      <c r="AK243">
        <f t="shared" si="29"/>
        <v>151.69999999999999</v>
      </c>
      <c r="AL243">
        <f t="shared" si="30"/>
        <v>1437.3000000000002</v>
      </c>
      <c r="AM243" t="str">
        <f t="shared" si="31"/>
        <v>Yes</v>
      </c>
    </row>
    <row r="244" spans="1:39" x14ac:dyDescent="0.3">
      <c r="A244" t="s">
        <v>33</v>
      </c>
      <c r="B244" s="28">
        <f t="shared" si="24"/>
        <v>43739</v>
      </c>
      <c r="C244">
        <v>2019</v>
      </c>
      <c r="D244" t="s">
        <v>42</v>
      </c>
      <c r="E244" t="str">
        <f t="shared" si="25"/>
        <v>Oct-19</v>
      </c>
      <c r="F244">
        <f>VLOOKUP(D244,'Problem Statement 4'!$G$2:$H$13,2,0)</f>
        <v>10</v>
      </c>
      <c r="G244">
        <v>141.80000000000001</v>
      </c>
      <c r="H244">
        <v>161</v>
      </c>
      <c r="I244">
        <v>142.6</v>
      </c>
      <c r="J244">
        <v>146.19999999999999</v>
      </c>
      <c r="K244">
        <v>123.9</v>
      </c>
      <c r="L244">
        <v>148</v>
      </c>
      <c r="M244">
        <v>188.4</v>
      </c>
      <c r="N244">
        <v>132.5</v>
      </c>
      <c r="O244">
        <v>114</v>
      </c>
      <c r="P244">
        <v>145.4</v>
      </c>
      <c r="Q244">
        <v>135.1</v>
      </c>
      <c r="R244">
        <v>157.1</v>
      </c>
      <c r="S244">
        <v>149.6</v>
      </c>
      <c r="T244">
        <v>167.1</v>
      </c>
      <c r="U244">
        <v>149.4</v>
      </c>
      <c r="V244">
        <v>140.80000000000001</v>
      </c>
      <c r="W244">
        <v>148.19999999999999</v>
      </c>
      <c r="X244">
        <v>153</v>
      </c>
      <c r="Y244">
        <v>140.6</v>
      </c>
      <c r="Z244">
        <v>145</v>
      </c>
      <c r="AA244">
        <v>149.4</v>
      </c>
      <c r="AB244">
        <v>126.3</v>
      </c>
      <c r="AC244">
        <v>141.69999999999999</v>
      </c>
      <c r="AD244">
        <v>155.4</v>
      </c>
      <c r="AE244">
        <v>140</v>
      </c>
      <c r="AF244">
        <v>141</v>
      </c>
      <c r="AG244">
        <v>147.19999999999999</v>
      </c>
      <c r="AH244">
        <f t="shared" si="26"/>
        <v>1885.5999999999997</v>
      </c>
      <c r="AI244">
        <f t="shared" si="27"/>
        <v>140.6</v>
      </c>
      <c r="AJ244">
        <f t="shared" si="28"/>
        <v>126.3</v>
      </c>
      <c r="AK244">
        <f t="shared" si="29"/>
        <v>155.4</v>
      </c>
      <c r="AL244">
        <f t="shared" si="30"/>
        <v>1475.6000000000001</v>
      </c>
      <c r="AM244" t="str">
        <f t="shared" si="31"/>
        <v>No</v>
      </c>
    </row>
    <row r="245" spans="1:39" x14ac:dyDescent="0.3">
      <c r="A245" t="s">
        <v>30</v>
      </c>
      <c r="B245" s="28">
        <f t="shared" si="24"/>
        <v>43770</v>
      </c>
      <c r="C245">
        <v>2019</v>
      </c>
      <c r="D245" t="s">
        <v>44</v>
      </c>
      <c r="E245" t="str">
        <f t="shared" si="25"/>
        <v>Nov-19</v>
      </c>
      <c r="F245">
        <f>VLOOKUP(D245,'Problem Statement 4'!$G$2:$H$13,2,0)</f>
        <v>11</v>
      </c>
      <c r="G245">
        <v>141.80000000000001</v>
      </c>
      <c r="H245">
        <v>163.69999999999999</v>
      </c>
      <c r="I245">
        <v>143.80000000000001</v>
      </c>
      <c r="J245">
        <v>147.1</v>
      </c>
      <c r="K245">
        <v>126</v>
      </c>
      <c r="L245">
        <v>146.19999999999999</v>
      </c>
      <c r="M245">
        <v>191.4</v>
      </c>
      <c r="N245">
        <v>136.19999999999999</v>
      </c>
      <c r="O245">
        <v>113.8</v>
      </c>
      <c r="P245">
        <v>147.30000000000001</v>
      </c>
      <c r="Q245">
        <v>138.69999999999999</v>
      </c>
      <c r="R245">
        <v>157.69999999999999</v>
      </c>
      <c r="S245">
        <v>150.9</v>
      </c>
      <c r="T245">
        <v>167.2</v>
      </c>
      <c r="U245">
        <v>152.30000000000001</v>
      </c>
      <c r="V245">
        <v>147</v>
      </c>
      <c r="W245">
        <v>151.5</v>
      </c>
      <c r="X245">
        <v>153.5</v>
      </c>
      <c r="Y245">
        <v>148.4</v>
      </c>
      <c r="Z245">
        <v>150.9</v>
      </c>
      <c r="AA245">
        <v>154.30000000000001</v>
      </c>
      <c r="AB245">
        <v>132.1</v>
      </c>
      <c r="AC245">
        <v>149.1</v>
      </c>
      <c r="AD245">
        <v>160.80000000000001</v>
      </c>
      <c r="AE245">
        <v>140.6</v>
      </c>
      <c r="AF245">
        <v>146.1</v>
      </c>
      <c r="AG245">
        <v>149.9</v>
      </c>
      <c r="AH245">
        <f t="shared" si="26"/>
        <v>1904.6000000000001</v>
      </c>
      <c r="AI245">
        <f t="shared" si="27"/>
        <v>148.4</v>
      </c>
      <c r="AJ245">
        <f t="shared" si="28"/>
        <v>132.1</v>
      </c>
      <c r="AK245">
        <f t="shared" si="29"/>
        <v>160.80000000000001</v>
      </c>
      <c r="AL245">
        <f t="shared" si="30"/>
        <v>1512.4999999999998</v>
      </c>
      <c r="AM245" t="str">
        <f t="shared" si="31"/>
        <v>No</v>
      </c>
    </row>
    <row r="246" spans="1:39" x14ac:dyDescent="0.3">
      <c r="A246" t="s">
        <v>32</v>
      </c>
      <c r="B246" s="28">
        <f t="shared" si="24"/>
        <v>43770</v>
      </c>
      <c r="C246">
        <v>2019</v>
      </c>
      <c r="D246" t="s">
        <v>44</v>
      </c>
      <c r="E246" t="str">
        <f t="shared" si="25"/>
        <v>Nov-19</v>
      </c>
      <c r="F246">
        <f>VLOOKUP(D246,'Problem Statement 4'!$G$2:$H$13,2,0)</f>
        <v>11</v>
      </c>
      <c r="G246">
        <v>144.1</v>
      </c>
      <c r="H246">
        <v>162.4</v>
      </c>
      <c r="I246">
        <v>148.4</v>
      </c>
      <c r="J246">
        <v>145.9</v>
      </c>
      <c r="K246">
        <v>121.5</v>
      </c>
      <c r="L246">
        <v>148.80000000000001</v>
      </c>
      <c r="M246">
        <v>215.7</v>
      </c>
      <c r="N246">
        <v>134.6</v>
      </c>
      <c r="O246">
        <v>115</v>
      </c>
      <c r="P246">
        <v>146.30000000000001</v>
      </c>
      <c r="Q246">
        <v>130.5</v>
      </c>
      <c r="R246">
        <v>157.19999999999999</v>
      </c>
      <c r="S246">
        <v>153.6</v>
      </c>
      <c r="T246">
        <v>169.9</v>
      </c>
      <c r="U246">
        <v>146.30000000000001</v>
      </c>
      <c r="V246">
        <v>132.6</v>
      </c>
      <c r="W246">
        <v>144.19999999999999</v>
      </c>
      <c r="X246">
        <v>153.5</v>
      </c>
      <c r="Y246">
        <v>132.19999999999999</v>
      </c>
      <c r="Z246">
        <v>139.1</v>
      </c>
      <c r="AA246">
        <v>142.80000000000001</v>
      </c>
      <c r="AB246">
        <v>121.7</v>
      </c>
      <c r="AC246">
        <v>136.69999999999999</v>
      </c>
      <c r="AD246">
        <v>151.80000000000001</v>
      </c>
      <c r="AE246">
        <v>139.80000000000001</v>
      </c>
      <c r="AF246">
        <v>136.30000000000001</v>
      </c>
      <c r="AG246">
        <v>147</v>
      </c>
      <c r="AH246">
        <f t="shared" si="26"/>
        <v>1923.9999999999998</v>
      </c>
      <c r="AI246">
        <f t="shared" si="27"/>
        <v>132.19999999999999</v>
      </c>
      <c r="AJ246">
        <f t="shared" si="28"/>
        <v>121.7</v>
      </c>
      <c r="AK246">
        <f t="shared" si="29"/>
        <v>151.80000000000001</v>
      </c>
      <c r="AL246">
        <f t="shared" si="30"/>
        <v>1441.2</v>
      </c>
      <c r="AM246" t="str">
        <f t="shared" si="31"/>
        <v>No</v>
      </c>
    </row>
    <row r="247" spans="1:39" x14ac:dyDescent="0.3">
      <c r="A247" t="s">
        <v>33</v>
      </c>
      <c r="B247" s="28">
        <f t="shared" si="24"/>
        <v>43770</v>
      </c>
      <c r="C247">
        <v>2019</v>
      </c>
      <c r="D247" t="s">
        <v>44</v>
      </c>
      <c r="E247" t="str">
        <f t="shared" si="25"/>
        <v>Nov-19</v>
      </c>
      <c r="F247">
        <f>VLOOKUP(D247,'Problem Statement 4'!$G$2:$H$13,2,0)</f>
        <v>11</v>
      </c>
      <c r="G247">
        <v>142.5</v>
      </c>
      <c r="H247">
        <v>163.19999999999999</v>
      </c>
      <c r="I247">
        <v>145.6</v>
      </c>
      <c r="J247">
        <v>146.69999999999999</v>
      </c>
      <c r="K247">
        <v>124.3</v>
      </c>
      <c r="L247">
        <v>147.4</v>
      </c>
      <c r="M247">
        <v>199.6</v>
      </c>
      <c r="N247">
        <v>135.69999999999999</v>
      </c>
      <c r="O247">
        <v>114.2</v>
      </c>
      <c r="P247">
        <v>147</v>
      </c>
      <c r="Q247">
        <v>135.30000000000001</v>
      </c>
      <c r="R247">
        <v>157.5</v>
      </c>
      <c r="S247">
        <v>151.9</v>
      </c>
      <c r="T247">
        <v>167.9</v>
      </c>
      <c r="U247">
        <v>149.9</v>
      </c>
      <c r="V247">
        <v>141</v>
      </c>
      <c r="W247">
        <v>148.6</v>
      </c>
      <c r="X247">
        <v>153.5</v>
      </c>
      <c r="Y247">
        <v>142.30000000000001</v>
      </c>
      <c r="Z247">
        <v>145.30000000000001</v>
      </c>
      <c r="AA247">
        <v>149.9</v>
      </c>
      <c r="AB247">
        <v>126.6</v>
      </c>
      <c r="AC247">
        <v>142.1</v>
      </c>
      <c r="AD247">
        <v>155.5</v>
      </c>
      <c r="AE247">
        <v>140.30000000000001</v>
      </c>
      <c r="AF247">
        <v>141.30000000000001</v>
      </c>
      <c r="AG247">
        <v>148.6</v>
      </c>
      <c r="AH247">
        <f t="shared" si="26"/>
        <v>1910.9</v>
      </c>
      <c r="AI247">
        <f t="shared" si="27"/>
        <v>142.30000000000001</v>
      </c>
      <c r="AJ247">
        <f t="shared" si="28"/>
        <v>126.6</v>
      </c>
      <c r="AK247">
        <f t="shared" si="29"/>
        <v>155.5</v>
      </c>
      <c r="AL247">
        <f t="shared" si="30"/>
        <v>1479.8</v>
      </c>
      <c r="AM247" t="str">
        <f t="shared" si="31"/>
        <v>No</v>
      </c>
    </row>
    <row r="248" spans="1:39" x14ac:dyDescent="0.3">
      <c r="A248" t="s">
        <v>30</v>
      </c>
      <c r="B248" s="28">
        <f t="shared" si="24"/>
        <v>43800</v>
      </c>
      <c r="C248">
        <v>2019</v>
      </c>
      <c r="D248" t="s">
        <v>45</v>
      </c>
      <c r="E248" t="str">
        <f t="shared" si="25"/>
        <v>Dec-19</v>
      </c>
      <c r="F248">
        <f>VLOOKUP(D248,'Problem Statement 4'!$G$2:$H$13,2,0)</f>
        <v>12</v>
      </c>
      <c r="G248">
        <v>142.80000000000001</v>
      </c>
      <c r="H248">
        <v>165.3</v>
      </c>
      <c r="I248">
        <v>149.5</v>
      </c>
      <c r="J248">
        <v>148.69999999999999</v>
      </c>
      <c r="K248">
        <v>127.5</v>
      </c>
      <c r="L248">
        <v>144.30000000000001</v>
      </c>
      <c r="M248">
        <v>209.5</v>
      </c>
      <c r="N248">
        <v>138.80000000000001</v>
      </c>
      <c r="O248">
        <v>113.6</v>
      </c>
      <c r="P248">
        <v>149.1</v>
      </c>
      <c r="Q248">
        <v>139.30000000000001</v>
      </c>
      <c r="R248">
        <v>158.30000000000001</v>
      </c>
      <c r="S248">
        <v>154.30000000000001</v>
      </c>
      <c r="T248">
        <v>167.8</v>
      </c>
      <c r="U248">
        <v>152.6</v>
      </c>
      <c r="V248">
        <v>147.30000000000001</v>
      </c>
      <c r="W248">
        <v>151.9</v>
      </c>
      <c r="X248">
        <v>152.80000000000001</v>
      </c>
      <c r="Y248">
        <v>149.9</v>
      </c>
      <c r="Z248">
        <v>151.19999999999999</v>
      </c>
      <c r="AA248">
        <v>154.80000000000001</v>
      </c>
      <c r="AB248">
        <v>135</v>
      </c>
      <c r="AC248">
        <v>149.5</v>
      </c>
      <c r="AD248">
        <v>161.1</v>
      </c>
      <c r="AE248">
        <v>140.6</v>
      </c>
      <c r="AF248">
        <v>147.1</v>
      </c>
      <c r="AG248">
        <v>152.30000000000001</v>
      </c>
      <c r="AH248">
        <f t="shared" si="26"/>
        <v>1940.9999999999995</v>
      </c>
      <c r="AI248">
        <f t="shared" si="27"/>
        <v>149.9</v>
      </c>
      <c r="AJ248">
        <f t="shared" si="28"/>
        <v>135</v>
      </c>
      <c r="AK248">
        <f t="shared" si="29"/>
        <v>161.1</v>
      </c>
      <c r="AL248">
        <f t="shared" si="30"/>
        <v>1515.6</v>
      </c>
      <c r="AM248" t="str">
        <f t="shared" si="31"/>
        <v>No</v>
      </c>
    </row>
    <row r="249" spans="1:39" x14ac:dyDescent="0.3">
      <c r="A249" t="s">
        <v>32</v>
      </c>
      <c r="B249" s="28">
        <f t="shared" si="24"/>
        <v>43800</v>
      </c>
      <c r="C249">
        <v>2019</v>
      </c>
      <c r="D249" t="s">
        <v>45</v>
      </c>
      <c r="E249" t="str">
        <f t="shared" si="25"/>
        <v>Dec-19</v>
      </c>
      <c r="F249">
        <f>VLOOKUP(D249,'Problem Statement 4'!$G$2:$H$13,2,0)</f>
        <v>12</v>
      </c>
      <c r="G249">
        <v>144.9</v>
      </c>
      <c r="H249">
        <v>164.5</v>
      </c>
      <c r="I249">
        <v>153.69999999999999</v>
      </c>
      <c r="J249">
        <v>147.5</v>
      </c>
      <c r="K249">
        <v>122.7</v>
      </c>
      <c r="L249">
        <v>147.19999999999999</v>
      </c>
      <c r="M249">
        <v>231.5</v>
      </c>
      <c r="N249">
        <v>137.19999999999999</v>
      </c>
      <c r="O249">
        <v>114.7</v>
      </c>
      <c r="P249">
        <v>148</v>
      </c>
      <c r="Q249">
        <v>130.80000000000001</v>
      </c>
      <c r="R249">
        <v>157.69999999999999</v>
      </c>
      <c r="S249">
        <v>156.30000000000001</v>
      </c>
      <c r="T249">
        <v>170.4</v>
      </c>
      <c r="U249">
        <v>146.80000000000001</v>
      </c>
      <c r="V249">
        <v>132.80000000000001</v>
      </c>
      <c r="W249">
        <v>144.6</v>
      </c>
      <c r="X249">
        <v>152.80000000000001</v>
      </c>
      <c r="Y249">
        <v>133.6</v>
      </c>
      <c r="Z249">
        <v>139.80000000000001</v>
      </c>
      <c r="AA249">
        <v>143.19999999999999</v>
      </c>
      <c r="AB249">
        <v>125.2</v>
      </c>
      <c r="AC249">
        <v>136.80000000000001</v>
      </c>
      <c r="AD249">
        <v>151.9</v>
      </c>
      <c r="AE249">
        <v>140.19999999999999</v>
      </c>
      <c r="AF249">
        <v>137.69999999999999</v>
      </c>
      <c r="AG249">
        <v>148.30000000000001</v>
      </c>
      <c r="AH249">
        <f t="shared" si="26"/>
        <v>1956.7</v>
      </c>
      <c r="AI249">
        <f t="shared" si="27"/>
        <v>133.6</v>
      </c>
      <c r="AJ249">
        <f t="shared" si="28"/>
        <v>125.2</v>
      </c>
      <c r="AK249">
        <f t="shared" si="29"/>
        <v>151.9</v>
      </c>
      <c r="AL249">
        <f t="shared" si="30"/>
        <v>1445.1000000000001</v>
      </c>
      <c r="AM249" t="str">
        <f t="shared" si="31"/>
        <v>No</v>
      </c>
    </row>
    <row r="250" spans="1:39" x14ac:dyDescent="0.3">
      <c r="A250" t="s">
        <v>33</v>
      </c>
      <c r="B250" s="28">
        <f t="shared" si="24"/>
        <v>43800</v>
      </c>
      <c r="C250">
        <v>2019</v>
      </c>
      <c r="D250" t="s">
        <v>45</v>
      </c>
      <c r="E250" t="str">
        <f t="shared" si="25"/>
        <v>Dec-19</v>
      </c>
      <c r="F250">
        <f>VLOOKUP(D250,'Problem Statement 4'!$G$2:$H$13,2,0)</f>
        <v>12</v>
      </c>
      <c r="G250">
        <v>143.5</v>
      </c>
      <c r="H250">
        <v>165</v>
      </c>
      <c r="I250">
        <v>151.1</v>
      </c>
      <c r="J250">
        <v>148.30000000000001</v>
      </c>
      <c r="K250">
        <v>125.7</v>
      </c>
      <c r="L250">
        <v>145.69999999999999</v>
      </c>
      <c r="M250">
        <v>217</v>
      </c>
      <c r="N250">
        <v>138.30000000000001</v>
      </c>
      <c r="O250">
        <v>114</v>
      </c>
      <c r="P250">
        <v>148.69999999999999</v>
      </c>
      <c r="Q250">
        <v>135.80000000000001</v>
      </c>
      <c r="R250">
        <v>158</v>
      </c>
      <c r="S250">
        <v>155</v>
      </c>
      <c r="T250">
        <v>168.5</v>
      </c>
      <c r="U250">
        <v>150.30000000000001</v>
      </c>
      <c r="V250">
        <v>141.30000000000001</v>
      </c>
      <c r="W250">
        <v>149</v>
      </c>
      <c r="X250">
        <v>152.80000000000001</v>
      </c>
      <c r="Y250">
        <v>143.69999999999999</v>
      </c>
      <c r="Z250">
        <v>145.80000000000001</v>
      </c>
      <c r="AA250">
        <v>150.4</v>
      </c>
      <c r="AB250">
        <v>129.80000000000001</v>
      </c>
      <c r="AC250">
        <v>142.30000000000001</v>
      </c>
      <c r="AD250">
        <v>155.69999999999999</v>
      </c>
      <c r="AE250">
        <v>140.4</v>
      </c>
      <c r="AF250">
        <v>142.5</v>
      </c>
      <c r="AG250">
        <v>150.4</v>
      </c>
      <c r="AH250">
        <f t="shared" si="26"/>
        <v>1946.1000000000001</v>
      </c>
      <c r="AI250">
        <f t="shared" si="27"/>
        <v>143.69999999999999</v>
      </c>
      <c r="AJ250">
        <f t="shared" si="28"/>
        <v>129.80000000000001</v>
      </c>
      <c r="AK250">
        <f t="shared" si="29"/>
        <v>155.69999999999999</v>
      </c>
      <c r="AL250">
        <f t="shared" si="30"/>
        <v>1483.3000000000002</v>
      </c>
      <c r="AM250" t="str">
        <f t="shared" si="31"/>
        <v>No</v>
      </c>
    </row>
    <row r="251" spans="1:39" x14ac:dyDescent="0.3">
      <c r="A251" t="s">
        <v>30</v>
      </c>
      <c r="B251" s="28">
        <f t="shared" si="24"/>
        <v>43831</v>
      </c>
      <c r="C251">
        <v>2020</v>
      </c>
      <c r="D251" t="s">
        <v>31</v>
      </c>
      <c r="E251" t="str">
        <f t="shared" si="25"/>
        <v>Jan-20</v>
      </c>
      <c r="F251">
        <f>VLOOKUP(D251,'Problem Statement 4'!$G$2:$H$13,2,0)</f>
        <v>1</v>
      </c>
      <c r="G251">
        <v>143.69999999999999</v>
      </c>
      <c r="H251">
        <v>167.3</v>
      </c>
      <c r="I251">
        <v>153.5</v>
      </c>
      <c r="J251">
        <v>150.5</v>
      </c>
      <c r="K251">
        <v>132</v>
      </c>
      <c r="L251">
        <v>142.19999999999999</v>
      </c>
      <c r="M251">
        <v>191.5</v>
      </c>
      <c r="N251">
        <v>141.1</v>
      </c>
      <c r="O251">
        <v>113.8</v>
      </c>
      <c r="P251">
        <v>151.6</v>
      </c>
      <c r="Q251">
        <v>139.69999999999999</v>
      </c>
      <c r="R251">
        <v>158.69999999999999</v>
      </c>
      <c r="S251">
        <v>153</v>
      </c>
      <c r="T251">
        <v>168.6</v>
      </c>
      <c r="U251">
        <v>152.80000000000001</v>
      </c>
      <c r="V251">
        <v>147.4</v>
      </c>
      <c r="W251">
        <v>152.1</v>
      </c>
      <c r="X251">
        <v>153.9</v>
      </c>
      <c r="Y251">
        <v>150.4</v>
      </c>
      <c r="Z251">
        <v>151.69999999999999</v>
      </c>
      <c r="AA251">
        <v>155.69999999999999</v>
      </c>
      <c r="AB251">
        <v>136.30000000000001</v>
      </c>
      <c r="AC251">
        <v>150.1</v>
      </c>
      <c r="AD251">
        <v>161.69999999999999</v>
      </c>
      <c r="AE251">
        <v>142.5</v>
      </c>
      <c r="AF251">
        <v>148.1</v>
      </c>
      <c r="AG251">
        <v>151.9</v>
      </c>
      <c r="AH251">
        <f t="shared" si="26"/>
        <v>1938.6</v>
      </c>
      <c r="AI251">
        <f t="shared" si="27"/>
        <v>150.4</v>
      </c>
      <c r="AJ251">
        <f t="shared" si="28"/>
        <v>136.30000000000001</v>
      </c>
      <c r="AK251">
        <f t="shared" si="29"/>
        <v>161.69999999999999</v>
      </c>
      <c r="AL251">
        <f t="shared" si="30"/>
        <v>1522.8999999999999</v>
      </c>
      <c r="AM251" t="str">
        <f t="shared" si="31"/>
        <v>No</v>
      </c>
    </row>
    <row r="252" spans="1:39" x14ac:dyDescent="0.3">
      <c r="A252" t="s">
        <v>32</v>
      </c>
      <c r="B252" s="28">
        <f t="shared" si="24"/>
        <v>43831</v>
      </c>
      <c r="C252">
        <v>2020</v>
      </c>
      <c r="D252" t="s">
        <v>31</v>
      </c>
      <c r="E252" t="str">
        <f t="shared" si="25"/>
        <v>Jan-20</v>
      </c>
      <c r="F252">
        <f>VLOOKUP(D252,'Problem Statement 4'!$G$2:$H$13,2,0)</f>
        <v>1</v>
      </c>
      <c r="G252">
        <v>145.6</v>
      </c>
      <c r="H252">
        <v>167.6</v>
      </c>
      <c r="I252">
        <v>157</v>
      </c>
      <c r="J252">
        <v>149.30000000000001</v>
      </c>
      <c r="K252">
        <v>126.3</v>
      </c>
      <c r="L252">
        <v>144.4</v>
      </c>
      <c r="M252">
        <v>207.8</v>
      </c>
      <c r="N252">
        <v>139.1</v>
      </c>
      <c r="O252">
        <v>114.8</v>
      </c>
      <c r="P252">
        <v>149.5</v>
      </c>
      <c r="Q252">
        <v>131.1</v>
      </c>
      <c r="R252">
        <v>158.5</v>
      </c>
      <c r="S252">
        <v>154.4</v>
      </c>
      <c r="T252">
        <v>170.8</v>
      </c>
      <c r="U252">
        <v>147</v>
      </c>
      <c r="V252">
        <v>133.19999999999999</v>
      </c>
      <c r="W252">
        <v>144.9</v>
      </c>
      <c r="X252">
        <v>153.9</v>
      </c>
      <c r="Y252">
        <v>135.1</v>
      </c>
      <c r="Z252">
        <v>140.1</v>
      </c>
      <c r="AA252">
        <v>143.80000000000001</v>
      </c>
      <c r="AB252">
        <v>126.1</v>
      </c>
      <c r="AC252">
        <v>137.19999999999999</v>
      </c>
      <c r="AD252">
        <v>152.1</v>
      </c>
      <c r="AE252">
        <v>142.1</v>
      </c>
      <c r="AF252">
        <v>138.4</v>
      </c>
      <c r="AG252">
        <v>148.19999999999999</v>
      </c>
      <c r="AH252">
        <f t="shared" si="26"/>
        <v>1945.3999999999999</v>
      </c>
      <c r="AI252">
        <f t="shared" si="27"/>
        <v>135.1</v>
      </c>
      <c r="AJ252">
        <f t="shared" si="28"/>
        <v>126.1</v>
      </c>
      <c r="AK252">
        <f t="shared" si="29"/>
        <v>152.1</v>
      </c>
      <c r="AL252">
        <f t="shared" si="30"/>
        <v>1451.4</v>
      </c>
      <c r="AM252" t="str">
        <f t="shared" si="31"/>
        <v>No</v>
      </c>
    </row>
    <row r="253" spans="1:39" x14ac:dyDescent="0.3">
      <c r="A253" t="s">
        <v>33</v>
      </c>
      <c r="B253" s="28">
        <f t="shared" si="24"/>
        <v>43831</v>
      </c>
      <c r="C253">
        <v>2020</v>
      </c>
      <c r="D253" t="s">
        <v>31</v>
      </c>
      <c r="E253" t="str">
        <f t="shared" si="25"/>
        <v>Jan-20</v>
      </c>
      <c r="F253">
        <f>VLOOKUP(D253,'Problem Statement 4'!$G$2:$H$13,2,0)</f>
        <v>1</v>
      </c>
      <c r="G253">
        <v>144.30000000000001</v>
      </c>
      <c r="H253">
        <v>167.4</v>
      </c>
      <c r="I253">
        <v>154.9</v>
      </c>
      <c r="J253">
        <v>150.1</v>
      </c>
      <c r="K253">
        <v>129.9</v>
      </c>
      <c r="L253">
        <v>143.19999999999999</v>
      </c>
      <c r="M253">
        <v>197</v>
      </c>
      <c r="N253">
        <v>140.4</v>
      </c>
      <c r="O253">
        <v>114.1</v>
      </c>
      <c r="P253">
        <v>150.9</v>
      </c>
      <c r="Q253">
        <v>136.1</v>
      </c>
      <c r="R253">
        <v>158.6</v>
      </c>
      <c r="S253">
        <v>153.5</v>
      </c>
      <c r="T253">
        <v>169.2</v>
      </c>
      <c r="U253">
        <v>150.5</v>
      </c>
      <c r="V253">
        <v>141.5</v>
      </c>
      <c r="W253">
        <v>149.19999999999999</v>
      </c>
      <c r="X253">
        <v>153.9</v>
      </c>
      <c r="Y253">
        <v>144.6</v>
      </c>
      <c r="Z253">
        <v>146.19999999999999</v>
      </c>
      <c r="AA253">
        <v>151.19999999999999</v>
      </c>
      <c r="AB253">
        <v>130.9</v>
      </c>
      <c r="AC253">
        <v>142.80000000000001</v>
      </c>
      <c r="AD253">
        <v>156.1</v>
      </c>
      <c r="AE253">
        <v>142.30000000000001</v>
      </c>
      <c r="AF253">
        <v>143.4</v>
      </c>
      <c r="AG253">
        <v>150.19999999999999</v>
      </c>
      <c r="AH253">
        <f t="shared" si="26"/>
        <v>1940.3999999999999</v>
      </c>
      <c r="AI253">
        <f t="shared" si="27"/>
        <v>144.6</v>
      </c>
      <c r="AJ253">
        <f t="shared" si="28"/>
        <v>130.9</v>
      </c>
      <c r="AK253">
        <f t="shared" si="29"/>
        <v>156.1</v>
      </c>
      <c r="AL253">
        <f t="shared" si="30"/>
        <v>1490.2</v>
      </c>
      <c r="AM253" t="str">
        <f t="shared" si="31"/>
        <v>No</v>
      </c>
    </row>
    <row r="254" spans="1:39" x14ac:dyDescent="0.3">
      <c r="A254" t="s">
        <v>30</v>
      </c>
      <c r="B254" s="28">
        <f t="shared" si="24"/>
        <v>43862</v>
      </c>
      <c r="C254">
        <v>2020</v>
      </c>
      <c r="D254" t="s">
        <v>34</v>
      </c>
      <c r="E254" t="str">
        <f t="shared" si="25"/>
        <v>Feb-20</v>
      </c>
      <c r="F254">
        <f>VLOOKUP(D254,'Problem Statement 4'!$G$2:$H$13,2,0)</f>
        <v>2</v>
      </c>
      <c r="G254">
        <v>144.19999999999999</v>
      </c>
      <c r="H254">
        <v>167.5</v>
      </c>
      <c r="I254">
        <v>150.9</v>
      </c>
      <c r="J254">
        <v>150.9</v>
      </c>
      <c r="K254">
        <v>133.69999999999999</v>
      </c>
      <c r="L254">
        <v>140.69999999999999</v>
      </c>
      <c r="M254">
        <v>165.1</v>
      </c>
      <c r="N254">
        <v>141.80000000000001</v>
      </c>
      <c r="O254">
        <v>113.1</v>
      </c>
      <c r="P254">
        <v>152.80000000000001</v>
      </c>
      <c r="Q254">
        <v>140.1</v>
      </c>
      <c r="R254">
        <v>159.19999999999999</v>
      </c>
      <c r="S254">
        <v>149.80000000000001</v>
      </c>
      <c r="T254">
        <v>169.4</v>
      </c>
      <c r="U254">
        <v>153</v>
      </c>
      <c r="V254">
        <v>147.5</v>
      </c>
      <c r="W254">
        <v>152.30000000000001</v>
      </c>
      <c r="X254">
        <v>154.80000000000001</v>
      </c>
      <c r="Y254">
        <v>152.30000000000001</v>
      </c>
      <c r="Z254">
        <v>151.80000000000001</v>
      </c>
      <c r="AA254">
        <v>156.19999999999999</v>
      </c>
      <c r="AB254">
        <v>136</v>
      </c>
      <c r="AC254">
        <v>150.4</v>
      </c>
      <c r="AD254">
        <v>161.9</v>
      </c>
      <c r="AE254">
        <v>143.4</v>
      </c>
      <c r="AF254">
        <v>148.4</v>
      </c>
      <c r="AG254">
        <v>150.4</v>
      </c>
      <c r="AH254">
        <f t="shared" si="26"/>
        <v>1909.7999999999997</v>
      </c>
      <c r="AI254">
        <f t="shared" si="27"/>
        <v>152.30000000000001</v>
      </c>
      <c r="AJ254">
        <f t="shared" si="28"/>
        <v>136</v>
      </c>
      <c r="AK254">
        <f t="shared" si="29"/>
        <v>161.9</v>
      </c>
      <c r="AL254">
        <f t="shared" si="30"/>
        <v>1527.2000000000003</v>
      </c>
      <c r="AM254" t="str">
        <f t="shared" si="31"/>
        <v>No</v>
      </c>
    </row>
    <row r="255" spans="1:39" x14ac:dyDescent="0.3">
      <c r="A255" t="s">
        <v>32</v>
      </c>
      <c r="B255" s="28">
        <f t="shared" si="24"/>
        <v>43862</v>
      </c>
      <c r="C255">
        <v>2020</v>
      </c>
      <c r="D255" t="s">
        <v>34</v>
      </c>
      <c r="E255" t="str">
        <f t="shared" si="25"/>
        <v>Feb-20</v>
      </c>
      <c r="F255">
        <f>VLOOKUP(D255,'Problem Statement 4'!$G$2:$H$13,2,0)</f>
        <v>2</v>
      </c>
      <c r="G255">
        <v>146.19999999999999</v>
      </c>
      <c r="H255">
        <v>167.6</v>
      </c>
      <c r="I255">
        <v>153.1</v>
      </c>
      <c r="J255">
        <v>150.69999999999999</v>
      </c>
      <c r="K255">
        <v>127.4</v>
      </c>
      <c r="L255">
        <v>143.1</v>
      </c>
      <c r="M255">
        <v>181.7</v>
      </c>
      <c r="N255">
        <v>139.6</v>
      </c>
      <c r="O255">
        <v>114.6</v>
      </c>
      <c r="P255">
        <v>150.4</v>
      </c>
      <c r="Q255">
        <v>131.5</v>
      </c>
      <c r="R255">
        <v>159</v>
      </c>
      <c r="S255">
        <v>151.69999999999999</v>
      </c>
      <c r="T255">
        <v>172</v>
      </c>
      <c r="U255">
        <v>147.30000000000001</v>
      </c>
      <c r="V255">
        <v>133.5</v>
      </c>
      <c r="W255">
        <v>145.19999999999999</v>
      </c>
      <c r="X255">
        <v>154.80000000000001</v>
      </c>
      <c r="Y255">
        <v>138.9</v>
      </c>
      <c r="Z255">
        <v>140.4</v>
      </c>
      <c r="AA255">
        <v>144.4</v>
      </c>
      <c r="AB255">
        <v>125.2</v>
      </c>
      <c r="AC255">
        <v>137.69999999999999</v>
      </c>
      <c r="AD255">
        <v>152.19999999999999</v>
      </c>
      <c r="AE255">
        <v>143.5</v>
      </c>
      <c r="AF255">
        <v>138.4</v>
      </c>
      <c r="AG255">
        <v>147.69999999999999</v>
      </c>
      <c r="AH255">
        <f t="shared" si="26"/>
        <v>1916.6</v>
      </c>
      <c r="AI255">
        <f t="shared" si="27"/>
        <v>138.9</v>
      </c>
      <c r="AJ255">
        <f t="shared" si="28"/>
        <v>125.2</v>
      </c>
      <c r="AK255">
        <f t="shared" si="29"/>
        <v>152.19999999999999</v>
      </c>
      <c r="AL255">
        <f t="shared" si="30"/>
        <v>1457.2</v>
      </c>
      <c r="AM255" t="str">
        <f t="shared" si="31"/>
        <v>No</v>
      </c>
    </row>
    <row r="256" spans="1:39" x14ac:dyDescent="0.3">
      <c r="A256" t="s">
        <v>33</v>
      </c>
      <c r="B256" s="28">
        <f t="shared" si="24"/>
        <v>43862</v>
      </c>
      <c r="C256">
        <v>2020</v>
      </c>
      <c r="D256" t="s">
        <v>34</v>
      </c>
      <c r="E256" t="str">
        <f t="shared" si="25"/>
        <v>Feb-20</v>
      </c>
      <c r="F256">
        <f>VLOOKUP(D256,'Problem Statement 4'!$G$2:$H$13,2,0)</f>
        <v>2</v>
      </c>
      <c r="G256">
        <v>144.80000000000001</v>
      </c>
      <c r="H256">
        <v>167.5</v>
      </c>
      <c r="I256">
        <v>151.80000000000001</v>
      </c>
      <c r="J256">
        <v>150.80000000000001</v>
      </c>
      <c r="K256">
        <v>131.4</v>
      </c>
      <c r="L256">
        <v>141.80000000000001</v>
      </c>
      <c r="M256">
        <v>170.7</v>
      </c>
      <c r="N256">
        <v>141.1</v>
      </c>
      <c r="O256">
        <v>113.6</v>
      </c>
      <c r="P256">
        <v>152</v>
      </c>
      <c r="Q256">
        <v>136.5</v>
      </c>
      <c r="R256">
        <v>159.1</v>
      </c>
      <c r="S256">
        <v>150.5</v>
      </c>
      <c r="T256">
        <v>170.1</v>
      </c>
      <c r="U256">
        <v>150.80000000000001</v>
      </c>
      <c r="V256">
        <v>141.69999999999999</v>
      </c>
      <c r="W256">
        <v>149.5</v>
      </c>
      <c r="X256">
        <v>154.80000000000001</v>
      </c>
      <c r="Y256">
        <v>147.19999999999999</v>
      </c>
      <c r="Z256">
        <v>146.4</v>
      </c>
      <c r="AA256">
        <v>151.69999999999999</v>
      </c>
      <c r="AB256">
        <v>130.30000000000001</v>
      </c>
      <c r="AC256">
        <v>143.19999999999999</v>
      </c>
      <c r="AD256">
        <v>156.19999999999999</v>
      </c>
      <c r="AE256">
        <v>143.4</v>
      </c>
      <c r="AF256">
        <v>143.6</v>
      </c>
      <c r="AG256">
        <v>149.1</v>
      </c>
      <c r="AH256">
        <f t="shared" si="26"/>
        <v>1911.6</v>
      </c>
      <c r="AI256">
        <f t="shared" si="27"/>
        <v>147.19999999999999</v>
      </c>
      <c r="AJ256">
        <f t="shared" si="28"/>
        <v>130.30000000000001</v>
      </c>
      <c r="AK256">
        <f t="shared" si="29"/>
        <v>156.19999999999999</v>
      </c>
      <c r="AL256">
        <f t="shared" si="30"/>
        <v>1495.1999999999998</v>
      </c>
      <c r="AM256" t="str">
        <f t="shared" si="31"/>
        <v>No</v>
      </c>
    </row>
    <row r="257" spans="1:39" x14ac:dyDescent="0.3">
      <c r="A257" t="s">
        <v>30</v>
      </c>
      <c r="B257" s="28">
        <f t="shared" si="24"/>
        <v>43891</v>
      </c>
      <c r="C257">
        <v>2020</v>
      </c>
      <c r="D257" t="s">
        <v>35</v>
      </c>
      <c r="E257" t="str">
        <f t="shared" si="25"/>
        <v>Mar-20</v>
      </c>
      <c r="F257">
        <f>VLOOKUP(D257,'Problem Statement 4'!$G$2:$H$13,2,0)</f>
        <v>3</v>
      </c>
      <c r="G257">
        <v>144.4</v>
      </c>
      <c r="H257">
        <v>166.8</v>
      </c>
      <c r="I257">
        <v>147.6</v>
      </c>
      <c r="J257">
        <v>151.69999999999999</v>
      </c>
      <c r="K257">
        <v>133.30000000000001</v>
      </c>
      <c r="L257">
        <v>141.80000000000001</v>
      </c>
      <c r="M257">
        <v>152.30000000000001</v>
      </c>
      <c r="N257">
        <v>141.80000000000001</v>
      </c>
      <c r="O257">
        <v>112.6</v>
      </c>
      <c r="P257">
        <v>154</v>
      </c>
      <c r="Q257">
        <v>140.1</v>
      </c>
      <c r="R257">
        <v>160</v>
      </c>
      <c r="S257">
        <v>148.19999999999999</v>
      </c>
      <c r="T257">
        <v>170.5</v>
      </c>
      <c r="U257">
        <v>153.4</v>
      </c>
      <c r="V257">
        <v>147.6</v>
      </c>
      <c r="W257">
        <v>152.5</v>
      </c>
      <c r="X257">
        <v>154.5</v>
      </c>
      <c r="Y257">
        <v>153.4</v>
      </c>
      <c r="Z257">
        <v>151.5</v>
      </c>
      <c r="AA257">
        <v>156.69999999999999</v>
      </c>
      <c r="AB257">
        <v>135.80000000000001</v>
      </c>
      <c r="AC257">
        <v>151.19999999999999</v>
      </c>
      <c r="AD257">
        <v>161.19999999999999</v>
      </c>
      <c r="AE257">
        <v>145.1</v>
      </c>
      <c r="AF257">
        <v>148.6</v>
      </c>
      <c r="AG257">
        <v>149.80000000000001</v>
      </c>
      <c r="AH257">
        <f t="shared" si="26"/>
        <v>1894.5999999999997</v>
      </c>
      <c r="AI257">
        <f t="shared" si="27"/>
        <v>153.4</v>
      </c>
      <c r="AJ257">
        <f t="shared" si="28"/>
        <v>135.80000000000001</v>
      </c>
      <c r="AK257">
        <f t="shared" si="29"/>
        <v>161.19999999999999</v>
      </c>
      <c r="AL257">
        <f t="shared" si="30"/>
        <v>1531.6</v>
      </c>
      <c r="AM257" t="str">
        <f t="shared" si="31"/>
        <v>No</v>
      </c>
    </row>
    <row r="258" spans="1:39" x14ac:dyDescent="0.3">
      <c r="A258" t="s">
        <v>32</v>
      </c>
      <c r="B258" s="28">
        <f t="shared" si="24"/>
        <v>43891</v>
      </c>
      <c r="C258">
        <v>2020</v>
      </c>
      <c r="D258" t="s">
        <v>35</v>
      </c>
      <c r="E258" t="str">
        <f t="shared" si="25"/>
        <v>Mar-20</v>
      </c>
      <c r="F258">
        <f>VLOOKUP(D258,'Problem Statement 4'!$G$2:$H$13,2,0)</f>
        <v>3</v>
      </c>
      <c r="G258">
        <v>146.5</v>
      </c>
      <c r="H258">
        <v>167.5</v>
      </c>
      <c r="I258">
        <v>148.9</v>
      </c>
      <c r="J258">
        <v>151.1</v>
      </c>
      <c r="K258">
        <v>127.5</v>
      </c>
      <c r="L258">
        <v>143.30000000000001</v>
      </c>
      <c r="M258">
        <v>167</v>
      </c>
      <c r="N258">
        <v>139.69999999999999</v>
      </c>
      <c r="O258">
        <v>114.4</v>
      </c>
      <c r="P258">
        <v>151.5</v>
      </c>
      <c r="Q258">
        <v>131.9</v>
      </c>
      <c r="R258">
        <v>159.1</v>
      </c>
      <c r="S258">
        <v>150.1</v>
      </c>
      <c r="T258">
        <v>173.3</v>
      </c>
      <c r="U258">
        <v>147.69999999999999</v>
      </c>
      <c r="V258">
        <v>133.80000000000001</v>
      </c>
      <c r="W258">
        <v>145.6</v>
      </c>
      <c r="X258">
        <v>154.5</v>
      </c>
      <c r="Y258">
        <v>141.4</v>
      </c>
      <c r="Z258">
        <v>140.80000000000001</v>
      </c>
      <c r="AA258">
        <v>145</v>
      </c>
      <c r="AB258">
        <v>124.6</v>
      </c>
      <c r="AC258">
        <v>137.9</v>
      </c>
      <c r="AD258">
        <v>152.5</v>
      </c>
      <c r="AE258">
        <v>145.30000000000001</v>
      </c>
      <c r="AF258">
        <v>138.69999999999999</v>
      </c>
      <c r="AG258">
        <v>147.30000000000001</v>
      </c>
      <c r="AH258">
        <f t="shared" si="26"/>
        <v>1898.5</v>
      </c>
      <c r="AI258">
        <f t="shared" si="27"/>
        <v>141.4</v>
      </c>
      <c r="AJ258">
        <f t="shared" si="28"/>
        <v>124.6</v>
      </c>
      <c r="AK258">
        <f t="shared" si="29"/>
        <v>152.5</v>
      </c>
      <c r="AL258">
        <f t="shared" si="30"/>
        <v>1462.6000000000001</v>
      </c>
      <c r="AM258" t="str">
        <f t="shared" si="31"/>
        <v>No</v>
      </c>
    </row>
    <row r="259" spans="1:39" x14ac:dyDescent="0.3">
      <c r="A259" t="s">
        <v>33</v>
      </c>
      <c r="B259" s="28">
        <f t="shared" ref="B259:B322" si="32">DATE(C259,F259,1)</f>
        <v>43891</v>
      </c>
      <c r="C259">
        <v>2020</v>
      </c>
      <c r="D259" t="s">
        <v>35</v>
      </c>
      <c r="E259" t="str">
        <f t="shared" ref="E259:E322" si="33">_xlfn.CONCAT(TEXT(B259,"mmm"),,"-",RIGHT(C259,2))</f>
        <v>Mar-20</v>
      </c>
      <c r="F259">
        <f>VLOOKUP(D259,'Problem Statement 4'!$G$2:$H$13,2,0)</f>
        <v>3</v>
      </c>
      <c r="G259">
        <v>145.1</v>
      </c>
      <c r="H259">
        <v>167</v>
      </c>
      <c r="I259">
        <v>148.1</v>
      </c>
      <c r="J259">
        <v>151.5</v>
      </c>
      <c r="K259">
        <v>131.19999999999999</v>
      </c>
      <c r="L259">
        <v>142.5</v>
      </c>
      <c r="M259">
        <v>157.30000000000001</v>
      </c>
      <c r="N259">
        <v>141.1</v>
      </c>
      <c r="O259">
        <v>113.2</v>
      </c>
      <c r="P259">
        <v>153.19999999999999</v>
      </c>
      <c r="Q259">
        <v>136.69999999999999</v>
      </c>
      <c r="R259">
        <v>159.6</v>
      </c>
      <c r="S259">
        <v>148.9</v>
      </c>
      <c r="T259">
        <v>171.2</v>
      </c>
      <c r="U259">
        <v>151.19999999999999</v>
      </c>
      <c r="V259">
        <v>141.9</v>
      </c>
      <c r="W259">
        <v>149.80000000000001</v>
      </c>
      <c r="X259">
        <v>154.5</v>
      </c>
      <c r="Y259">
        <v>148.9</v>
      </c>
      <c r="Z259">
        <v>146.4</v>
      </c>
      <c r="AA259">
        <v>152.30000000000001</v>
      </c>
      <c r="AB259">
        <v>129.9</v>
      </c>
      <c r="AC259">
        <v>143.69999999999999</v>
      </c>
      <c r="AD259">
        <v>156.1</v>
      </c>
      <c r="AE259">
        <v>145.19999999999999</v>
      </c>
      <c r="AF259">
        <v>143.80000000000001</v>
      </c>
      <c r="AG259">
        <v>148.6</v>
      </c>
      <c r="AH259">
        <f t="shared" ref="AH259:AH322" si="34">SUM(G259:S259)</f>
        <v>1895.4</v>
      </c>
      <c r="AI259">
        <f t="shared" ref="AI259:AI322" si="35">SUM(Y259)</f>
        <v>148.9</v>
      </c>
      <c r="AJ259">
        <f t="shared" ref="AJ259:AJ322" si="36">SUM(AB259)</f>
        <v>129.9</v>
      </c>
      <c r="AK259">
        <f t="shared" ref="AK259:AK322" si="37">SUM(AD259)</f>
        <v>156.1</v>
      </c>
      <c r="AL259">
        <f t="shared" ref="AL259:AL322" si="38">SUM(T259:X259,Z259:AA259,AC259,AE259:AF259)</f>
        <v>1500</v>
      </c>
      <c r="AM259" t="str">
        <f t="shared" ref="AM259:AM322" si="39">IF(AND(L259&gt;150,M259&gt;150),"Yes","No")</f>
        <v>No</v>
      </c>
    </row>
    <row r="260" spans="1:39" x14ac:dyDescent="0.3">
      <c r="A260" t="s">
        <v>30</v>
      </c>
      <c r="B260" s="28">
        <f t="shared" si="32"/>
        <v>43922</v>
      </c>
      <c r="C260">
        <v>2020</v>
      </c>
      <c r="D260" t="s">
        <v>36</v>
      </c>
      <c r="E260" t="str">
        <f t="shared" si="33"/>
        <v>Apr-20</v>
      </c>
      <c r="F260">
        <f>VLOOKUP(D260,'Problem Statement 4'!$G$2:$H$13,2,0)</f>
        <v>4</v>
      </c>
      <c r="G260">
        <v>147.19999999999999</v>
      </c>
      <c r="H260">
        <v>167</v>
      </c>
      <c r="I260">
        <v>146.9</v>
      </c>
      <c r="J260">
        <v>155.6</v>
      </c>
      <c r="K260">
        <v>137.1</v>
      </c>
      <c r="L260">
        <v>147.30000000000001</v>
      </c>
      <c r="M260">
        <v>162.69999999999999</v>
      </c>
      <c r="N260">
        <v>150.19999999999999</v>
      </c>
      <c r="O260">
        <v>119.8</v>
      </c>
      <c r="P260">
        <v>158.69999999999999</v>
      </c>
      <c r="Q260">
        <v>139.19999999999999</v>
      </c>
      <c r="R260">
        <v>159.6</v>
      </c>
      <c r="S260">
        <v>150.1</v>
      </c>
      <c r="T260">
        <v>171.2</v>
      </c>
      <c r="U260">
        <v>151.19999999999999</v>
      </c>
      <c r="V260">
        <v>141.9</v>
      </c>
      <c r="W260">
        <v>149.80000000000001</v>
      </c>
      <c r="X260">
        <v>155.6</v>
      </c>
      <c r="Y260">
        <v>148.4</v>
      </c>
      <c r="Z260">
        <v>146.4</v>
      </c>
      <c r="AA260">
        <v>154.30000000000001</v>
      </c>
      <c r="AB260">
        <v>129.9</v>
      </c>
      <c r="AC260">
        <v>143.69999999999999</v>
      </c>
      <c r="AD260">
        <v>156.1</v>
      </c>
      <c r="AE260">
        <v>145.19999999999999</v>
      </c>
      <c r="AF260">
        <v>143.80000000000001</v>
      </c>
      <c r="AG260">
        <v>148.6</v>
      </c>
      <c r="AH260">
        <f t="shared" si="34"/>
        <v>1941.4</v>
      </c>
      <c r="AI260">
        <f t="shared" si="35"/>
        <v>148.4</v>
      </c>
      <c r="AJ260">
        <f t="shared" si="36"/>
        <v>129.9</v>
      </c>
      <c r="AK260">
        <f t="shared" si="37"/>
        <v>156.1</v>
      </c>
      <c r="AL260">
        <f t="shared" si="38"/>
        <v>1503.1</v>
      </c>
      <c r="AM260" t="str">
        <f t="shared" si="39"/>
        <v>No</v>
      </c>
    </row>
    <row r="261" spans="1:39" x14ac:dyDescent="0.3">
      <c r="A261" t="s">
        <v>32</v>
      </c>
      <c r="B261" s="28">
        <f t="shared" si="32"/>
        <v>43922</v>
      </c>
      <c r="C261">
        <v>2020</v>
      </c>
      <c r="D261" t="s">
        <v>36</v>
      </c>
      <c r="E261" t="str">
        <f t="shared" si="33"/>
        <v>Apr-20</v>
      </c>
      <c r="F261">
        <f>VLOOKUP(D261,'Problem Statement 4'!$G$2:$H$13,2,0)</f>
        <v>4</v>
      </c>
      <c r="G261">
        <v>151.80000000000001</v>
      </c>
      <c r="H261">
        <v>167</v>
      </c>
      <c r="I261">
        <v>151.9</v>
      </c>
      <c r="J261">
        <v>155.5</v>
      </c>
      <c r="K261">
        <v>131.6</v>
      </c>
      <c r="L261">
        <v>152.9</v>
      </c>
      <c r="M261">
        <v>180</v>
      </c>
      <c r="N261">
        <v>150.80000000000001</v>
      </c>
      <c r="O261">
        <v>121.2</v>
      </c>
      <c r="P261">
        <v>154</v>
      </c>
      <c r="Q261">
        <v>133.5</v>
      </c>
      <c r="R261">
        <v>159.6</v>
      </c>
      <c r="S261">
        <v>153.5</v>
      </c>
      <c r="T261">
        <v>171.2</v>
      </c>
      <c r="U261">
        <v>151.19999999999999</v>
      </c>
      <c r="V261">
        <v>141.9</v>
      </c>
      <c r="W261">
        <v>149.80000000000001</v>
      </c>
      <c r="X261">
        <v>155.6</v>
      </c>
      <c r="Y261">
        <v>137.1</v>
      </c>
      <c r="Z261">
        <v>146.4</v>
      </c>
      <c r="AA261">
        <v>144.80000000000001</v>
      </c>
      <c r="AB261">
        <v>129.9</v>
      </c>
      <c r="AC261">
        <v>143.69999999999999</v>
      </c>
      <c r="AD261">
        <v>156.1</v>
      </c>
      <c r="AE261">
        <v>145.19999999999999</v>
      </c>
      <c r="AF261">
        <v>143.80000000000001</v>
      </c>
      <c r="AG261">
        <v>148.6</v>
      </c>
      <c r="AH261">
        <f t="shared" si="34"/>
        <v>1963.3</v>
      </c>
      <c r="AI261">
        <f t="shared" si="35"/>
        <v>137.1</v>
      </c>
      <c r="AJ261">
        <f t="shared" si="36"/>
        <v>129.9</v>
      </c>
      <c r="AK261">
        <f t="shared" si="37"/>
        <v>156.1</v>
      </c>
      <c r="AL261">
        <f t="shared" si="38"/>
        <v>1493.6</v>
      </c>
      <c r="AM261" t="str">
        <f t="shared" si="39"/>
        <v>Yes</v>
      </c>
    </row>
    <row r="262" spans="1:39" x14ac:dyDescent="0.3">
      <c r="A262" t="s">
        <v>33</v>
      </c>
      <c r="B262" s="28">
        <f t="shared" si="32"/>
        <v>43922</v>
      </c>
      <c r="C262">
        <v>2020</v>
      </c>
      <c r="D262" t="s">
        <v>36</v>
      </c>
      <c r="E262" t="str">
        <f t="shared" si="33"/>
        <v>Apr-20</v>
      </c>
      <c r="F262">
        <f>VLOOKUP(D262,'Problem Statement 4'!$G$2:$H$13,2,0)</f>
        <v>4</v>
      </c>
      <c r="G262">
        <v>148.69999999999999</v>
      </c>
      <c r="H262">
        <v>167</v>
      </c>
      <c r="I262">
        <v>148.80000000000001</v>
      </c>
      <c r="J262">
        <v>155.6</v>
      </c>
      <c r="K262">
        <v>135.1</v>
      </c>
      <c r="L262">
        <v>149.9</v>
      </c>
      <c r="M262">
        <v>168.6</v>
      </c>
      <c r="N262">
        <v>150.4</v>
      </c>
      <c r="O262">
        <v>120.3</v>
      </c>
      <c r="P262">
        <v>157.1</v>
      </c>
      <c r="Q262">
        <v>136.80000000000001</v>
      </c>
      <c r="R262">
        <v>159.6</v>
      </c>
      <c r="S262">
        <v>151.4</v>
      </c>
      <c r="T262">
        <v>171.2</v>
      </c>
      <c r="U262">
        <v>151.19999999999999</v>
      </c>
      <c r="V262">
        <v>141.9</v>
      </c>
      <c r="W262">
        <v>149.80000000000001</v>
      </c>
      <c r="X262">
        <v>155.6</v>
      </c>
      <c r="Y262">
        <v>144.1</v>
      </c>
      <c r="Z262">
        <v>146.4</v>
      </c>
      <c r="AA262">
        <v>150.69999999999999</v>
      </c>
      <c r="AB262">
        <v>129.9</v>
      </c>
      <c r="AC262">
        <v>143.69999999999999</v>
      </c>
      <c r="AD262">
        <v>156.1</v>
      </c>
      <c r="AE262">
        <v>145.19999999999999</v>
      </c>
      <c r="AF262">
        <v>143.80000000000001</v>
      </c>
      <c r="AG262">
        <v>148.6</v>
      </c>
      <c r="AH262">
        <f t="shared" si="34"/>
        <v>1949.3</v>
      </c>
      <c r="AI262">
        <f t="shared" si="35"/>
        <v>144.1</v>
      </c>
      <c r="AJ262">
        <f t="shared" si="36"/>
        <v>129.9</v>
      </c>
      <c r="AK262">
        <f t="shared" si="37"/>
        <v>156.1</v>
      </c>
      <c r="AL262">
        <f t="shared" si="38"/>
        <v>1499.5</v>
      </c>
      <c r="AM262" t="str">
        <f t="shared" si="39"/>
        <v>No</v>
      </c>
    </row>
    <row r="263" spans="1:39" x14ac:dyDescent="0.3">
      <c r="A263" t="s">
        <v>30</v>
      </c>
      <c r="B263" s="28">
        <f t="shared" si="32"/>
        <v>43952</v>
      </c>
      <c r="C263">
        <v>2020</v>
      </c>
      <c r="D263" t="s">
        <v>37</v>
      </c>
      <c r="E263" t="str">
        <f t="shared" si="33"/>
        <v>May-20</v>
      </c>
      <c r="F263">
        <f>VLOOKUP(D263,'Problem Statement 4'!$G$2:$H$13,2,0)</f>
        <v>5</v>
      </c>
      <c r="G263">
        <v>148.69999999999999</v>
      </c>
      <c r="H263">
        <v>167</v>
      </c>
      <c r="I263">
        <v>148.80000000000001</v>
      </c>
      <c r="J263">
        <v>155.6</v>
      </c>
      <c r="K263">
        <v>135.1</v>
      </c>
      <c r="L263">
        <v>149.9</v>
      </c>
      <c r="M263">
        <v>168.6</v>
      </c>
      <c r="N263">
        <v>150.4</v>
      </c>
      <c r="O263">
        <v>120.3</v>
      </c>
      <c r="P263">
        <v>157.1</v>
      </c>
      <c r="Q263">
        <v>136.80000000000001</v>
      </c>
      <c r="R263">
        <v>159.6</v>
      </c>
      <c r="S263">
        <v>151.4</v>
      </c>
      <c r="T263">
        <v>171.2</v>
      </c>
      <c r="U263">
        <v>151.19999999999999</v>
      </c>
      <c r="V263">
        <v>141.9</v>
      </c>
      <c r="W263">
        <v>149.80000000000001</v>
      </c>
      <c r="X263">
        <v>155.6</v>
      </c>
      <c r="Y263">
        <v>144.1</v>
      </c>
      <c r="Z263">
        <v>146.4</v>
      </c>
      <c r="AA263">
        <v>150.69999999999999</v>
      </c>
      <c r="AB263">
        <v>129.9</v>
      </c>
      <c r="AC263">
        <v>143.69999999999999</v>
      </c>
      <c r="AD263">
        <v>156.1</v>
      </c>
      <c r="AE263">
        <v>145.19999999999999</v>
      </c>
      <c r="AF263">
        <v>143.80000000000001</v>
      </c>
      <c r="AG263">
        <v>148.6</v>
      </c>
      <c r="AH263">
        <f t="shared" si="34"/>
        <v>1949.3</v>
      </c>
      <c r="AI263">
        <f t="shared" si="35"/>
        <v>144.1</v>
      </c>
      <c r="AJ263">
        <f t="shared" si="36"/>
        <v>129.9</v>
      </c>
      <c r="AK263">
        <f t="shared" si="37"/>
        <v>156.1</v>
      </c>
      <c r="AL263">
        <f t="shared" si="38"/>
        <v>1499.5</v>
      </c>
      <c r="AM263" t="str">
        <f t="shared" si="39"/>
        <v>No</v>
      </c>
    </row>
    <row r="264" spans="1:39" x14ac:dyDescent="0.3">
      <c r="A264" t="s">
        <v>32</v>
      </c>
      <c r="B264" s="28">
        <f t="shared" si="32"/>
        <v>43952</v>
      </c>
      <c r="C264">
        <v>2020</v>
      </c>
      <c r="D264" t="s">
        <v>37</v>
      </c>
      <c r="E264" t="str">
        <f t="shared" si="33"/>
        <v>May-20</v>
      </c>
      <c r="F264">
        <f>VLOOKUP(D264,'Problem Statement 4'!$G$2:$H$13,2,0)</f>
        <v>5</v>
      </c>
      <c r="G264">
        <v>148.69999999999999</v>
      </c>
      <c r="H264">
        <v>167</v>
      </c>
      <c r="I264">
        <v>148.80000000000001</v>
      </c>
      <c r="J264">
        <v>155.6</v>
      </c>
      <c r="K264">
        <v>135.1</v>
      </c>
      <c r="L264">
        <v>149.9</v>
      </c>
      <c r="M264">
        <v>168.6</v>
      </c>
      <c r="N264">
        <v>150.4</v>
      </c>
      <c r="O264">
        <v>120.3</v>
      </c>
      <c r="P264">
        <v>157.1</v>
      </c>
      <c r="Q264">
        <v>136.80000000000001</v>
      </c>
      <c r="R264">
        <v>159.6</v>
      </c>
      <c r="S264">
        <v>151.4</v>
      </c>
      <c r="T264">
        <v>171.2</v>
      </c>
      <c r="U264">
        <v>151.19999999999999</v>
      </c>
      <c r="V264">
        <v>141.9</v>
      </c>
      <c r="W264">
        <v>149.80000000000001</v>
      </c>
      <c r="X264">
        <v>155.6</v>
      </c>
      <c r="Y264">
        <v>144.1</v>
      </c>
      <c r="Z264">
        <v>146.4</v>
      </c>
      <c r="AA264">
        <v>150.69999999999999</v>
      </c>
      <c r="AB264">
        <v>129.9</v>
      </c>
      <c r="AC264">
        <v>143.69999999999999</v>
      </c>
      <c r="AD264">
        <v>156.1</v>
      </c>
      <c r="AE264">
        <v>145.19999999999999</v>
      </c>
      <c r="AF264">
        <v>143.80000000000001</v>
      </c>
      <c r="AG264">
        <v>148.6</v>
      </c>
      <c r="AH264">
        <f t="shared" si="34"/>
        <v>1949.3</v>
      </c>
      <c r="AI264">
        <f t="shared" si="35"/>
        <v>144.1</v>
      </c>
      <c r="AJ264">
        <f t="shared" si="36"/>
        <v>129.9</v>
      </c>
      <c r="AK264">
        <f t="shared" si="37"/>
        <v>156.1</v>
      </c>
      <c r="AL264">
        <f t="shared" si="38"/>
        <v>1499.5</v>
      </c>
      <c r="AM264" t="str">
        <f t="shared" si="39"/>
        <v>No</v>
      </c>
    </row>
    <row r="265" spans="1:39" x14ac:dyDescent="0.3">
      <c r="A265" t="s">
        <v>33</v>
      </c>
      <c r="B265" s="28">
        <f t="shared" si="32"/>
        <v>43952</v>
      </c>
      <c r="C265">
        <v>2020</v>
      </c>
      <c r="D265" t="s">
        <v>37</v>
      </c>
      <c r="E265" t="str">
        <f t="shared" si="33"/>
        <v>May-20</v>
      </c>
      <c r="F265">
        <f>VLOOKUP(D265,'Problem Statement 4'!$G$2:$H$13,2,0)</f>
        <v>5</v>
      </c>
      <c r="G265">
        <v>148.69999999999999</v>
      </c>
      <c r="H265">
        <v>167</v>
      </c>
      <c r="I265">
        <v>148.80000000000001</v>
      </c>
      <c r="J265">
        <v>155.6</v>
      </c>
      <c r="K265">
        <v>135.1</v>
      </c>
      <c r="L265">
        <v>149.9</v>
      </c>
      <c r="M265">
        <v>168.6</v>
      </c>
      <c r="N265">
        <v>150.4</v>
      </c>
      <c r="O265">
        <v>120.3</v>
      </c>
      <c r="P265">
        <v>157.1</v>
      </c>
      <c r="Q265">
        <v>136.80000000000001</v>
      </c>
      <c r="R265">
        <v>159.6</v>
      </c>
      <c r="S265">
        <v>151.4</v>
      </c>
      <c r="T265">
        <v>171.2</v>
      </c>
      <c r="U265">
        <v>151.19999999999999</v>
      </c>
      <c r="V265">
        <v>141.9</v>
      </c>
      <c r="W265">
        <v>149.80000000000001</v>
      </c>
      <c r="X265">
        <v>155.6</v>
      </c>
      <c r="Y265">
        <v>144.1</v>
      </c>
      <c r="Z265">
        <v>146.4</v>
      </c>
      <c r="AA265">
        <v>150.69999999999999</v>
      </c>
      <c r="AB265">
        <v>129.9</v>
      </c>
      <c r="AC265">
        <v>143.69999999999999</v>
      </c>
      <c r="AD265">
        <v>156.1</v>
      </c>
      <c r="AE265">
        <v>145.19999999999999</v>
      </c>
      <c r="AF265">
        <v>143.80000000000001</v>
      </c>
      <c r="AG265">
        <v>148.6</v>
      </c>
      <c r="AH265">
        <f t="shared" si="34"/>
        <v>1949.3</v>
      </c>
      <c r="AI265">
        <f t="shared" si="35"/>
        <v>144.1</v>
      </c>
      <c r="AJ265">
        <f t="shared" si="36"/>
        <v>129.9</v>
      </c>
      <c r="AK265">
        <f t="shared" si="37"/>
        <v>156.1</v>
      </c>
      <c r="AL265">
        <f t="shared" si="38"/>
        <v>1499.5</v>
      </c>
      <c r="AM265" t="str">
        <f t="shared" si="39"/>
        <v>No</v>
      </c>
    </row>
    <row r="266" spans="1:39" x14ac:dyDescent="0.3">
      <c r="A266" t="s">
        <v>30</v>
      </c>
      <c r="B266" s="28">
        <f t="shared" si="32"/>
        <v>43983</v>
      </c>
      <c r="C266">
        <v>2020</v>
      </c>
      <c r="D266" t="s">
        <v>38</v>
      </c>
      <c r="E266" t="str">
        <f t="shared" si="33"/>
        <v>Jun-20</v>
      </c>
      <c r="F266">
        <f>VLOOKUP(D266,'Problem Statement 4'!$G$2:$H$13,2,0)</f>
        <v>6</v>
      </c>
      <c r="G266">
        <v>148.19999999999999</v>
      </c>
      <c r="H266">
        <v>190.3</v>
      </c>
      <c r="I266">
        <v>149.4</v>
      </c>
      <c r="J266">
        <v>153.30000000000001</v>
      </c>
      <c r="K266">
        <v>138.19999999999999</v>
      </c>
      <c r="L266">
        <v>143.19999999999999</v>
      </c>
      <c r="M266">
        <v>148.9</v>
      </c>
      <c r="N266">
        <v>150.30000000000001</v>
      </c>
      <c r="O266">
        <v>113.2</v>
      </c>
      <c r="P266">
        <v>159.80000000000001</v>
      </c>
      <c r="Q266">
        <v>142.1</v>
      </c>
      <c r="R266">
        <v>161.80000000000001</v>
      </c>
      <c r="S266">
        <v>152.30000000000001</v>
      </c>
      <c r="T266">
        <v>182.4</v>
      </c>
      <c r="U266">
        <v>154.69999999999999</v>
      </c>
      <c r="V266">
        <v>150</v>
      </c>
      <c r="W266">
        <v>154.1</v>
      </c>
      <c r="X266">
        <v>155.6</v>
      </c>
      <c r="Y266">
        <v>144.9</v>
      </c>
      <c r="Z266">
        <v>151.69999999999999</v>
      </c>
      <c r="AA266">
        <v>158.19999999999999</v>
      </c>
      <c r="AB266">
        <v>141.4</v>
      </c>
      <c r="AC266">
        <v>153.19999999999999</v>
      </c>
      <c r="AD266">
        <v>161.80000000000001</v>
      </c>
      <c r="AE266">
        <v>151.19999999999999</v>
      </c>
      <c r="AF266">
        <v>151.69999999999999</v>
      </c>
      <c r="AG266">
        <v>152.69999999999999</v>
      </c>
      <c r="AH266">
        <f t="shared" si="34"/>
        <v>1951</v>
      </c>
      <c r="AI266">
        <f t="shared" si="35"/>
        <v>144.9</v>
      </c>
      <c r="AJ266">
        <f t="shared" si="36"/>
        <v>141.4</v>
      </c>
      <c r="AK266">
        <f t="shared" si="37"/>
        <v>161.80000000000001</v>
      </c>
      <c r="AL266">
        <f t="shared" si="38"/>
        <v>1562.8000000000002</v>
      </c>
      <c r="AM266" t="str">
        <f t="shared" si="39"/>
        <v>No</v>
      </c>
    </row>
    <row r="267" spans="1:39" x14ac:dyDescent="0.3">
      <c r="A267" t="s">
        <v>32</v>
      </c>
      <c r="B267" s="28">
        <f t="shared" si="32"/>
        <v>43983</v>
      </c>
      <c r="C267">
        <v>2020</v>
      </c>
      <c r="D267" t="s">
        <v>38</v>
      </c>
      <c r="E267" t="str">
        <f t="shared" si="33"/>
        <v>Jun-20</v>
      </c>
      <c r="F267">
        <f>VLOOKUP(D267,'Problem Statement 4'!$G$2:$H$13,2,0)</f>
        <v>6</v>
      </c>
      <c r="G267">
        <v>152.69999999999999</v>
      </c>
      <c r="H267">
        <v>197</v>
      </c>
      <c r="I267">
        <v>154.6</v>
      </c>
      <c r="J267">
        <v>153.4</v>
      </c>
      <c r="K267">
        <v>132.9</v>
      </c>
      <c r="L267">
        <v>151.80000000000001</v>
      </c>
      <c r="M267">
        <v>171.2</v>
      </c>
      <c r="N267">
        <v>152</v>
      </c>
      <c r="O267">
        <v>116.3</v>
      </c>
      <c r="P267">
        <v>158.80000000000001</v>
      </c>
      <c r="Q267">
        <v>135.6</v>
      </c>
      <c r="R267">
        <v>161.69999999999999</v>
      </c>
      <c r="S267">
        <v>157</v>
      </c>
      <c r="T267">
        <v>186.7</v>
      </c>
      <c r="U267">
        <v>149.1</v>
      </c>
      <c r="V267">
        <v>136.6</v>
      </c>
      <c r="W267">
        <v>147.19999999999999</v>
      </c>
      <c r="X267">
        <v>154.69999999999999</v>
      </c>
      <c r="Y267">
        <v>137.1</v>
      </c>
      <c r="Z267">
        <v>140.4</v>
      </c>
      <c r="AA267">
        <v>148.1</v>
      </c>
      <c r="AB267">
        <v>129.30000000000001</v>
      </c>
      <c r="AC267">
        <v>144.5</v>
      </c>
      <c r="AD267">
        <v>152.5</v>
      </c>
      <c r="AE267">
        <v>152.19999999999999</v>
      </c>
      <c r="AF267">
        <v>142</v>
      </c>
      <c r="AG267">
        <v>150.80000000000001</v>
      </c>
      <c r="AH267">
        <f t="shared" si="34"/>
        <v>1994.9999999999998</v>
      </c>
      <c r="AI267">
        <f t="shared" si="35"/>
        <v>137.1</v>
      </c>
      <c r="AJ267">
        <f t="shared" si="36"/>
        <v>129.30000000000001</v>
      </c>
      <c r="AK267">
        <f t="shared" si="37"/>
        <v>152.5</v>
      </c>
      <c r="AL267">
        <f t="shared" si="38"/>
        <v>1501.5</v>
      </c>
      <c r="AM267" t="str">
        <f t="shared" si="39"/>
        <v>Yes</v>
      </c>
    </row>
    <row r="268" spans="1:39" x14ac:dyDescent="0.3">
      <c r="A268" t="s">
        <v>33</v>
      </c>
      <c r="B268" s="28">
        <f t="shared" si="32"/>
        <v>43983</v>
      </c>
      <c r="C268">
        <v>2020</v>
      </c>
      <c r="D268" t="s">
        <v>38</v>
      </c>
      <c r="E268" t="str">
        <f t="shared" si="33"/>
        <v>Jun-20</v>
      </c>
      <c r="F268">
        <f>VLOOKUP(D268,'Problem Statement 4'!$G$2:$H$13,2,0)</f>
        <v>6</v>
      </c>
      <c r="G268">
        <v>149.6</v>
      </c>
      <c r="H268">
        <v>192.7</v>
      </c>
      <c r="I268">
        <v>151.4</v>
      </c>
      <c r="J268">
        <v>153.30000000000001</v>
      </c>
      <c r="K268">
        <v>136.30000000000001</v>
      </c>
      <c r="L268">
        <v>147.19999999999999</v>
      </c>
      <c r="M268">
        <v>156.5</v>
      </c>
      <c r="N268">
        <v>150.9</v>
      </c>
      <c r="O268">
        <v>114.2</v>
      </c>
      <c r="P268">
        <v>159.5</v>
      </c>
      <c r="Q268">
        <v>139.4</v>
      </c>
      <c r="R268">
        <v>161.80000000000001</v>
      </c>
      <c r="S268">
        <v>154</v>
      </c>
      <c r="T268">
        <v>183.5</v>
      </c>
      <c r="U268">
        <v>152.5</v>
      </c>
      <c r="V268">
        <v>144.4</v>
      </c>
      <c r="W268">
        <v>151.4</v>
      </c>
      <c r="X268">
        <v>154.69999999999999</v>
      </c>
      <c r="Y268">
        <v>141.9</v>
      </c>
      <c r="Z268">
        <v>146.4</v>
      </c>
      <c r="AA268">
        <v>154.4</v>
      </c>
      <c r="AB268">
        <v>135</v>
      </c>
      <c r="AC268">
        <v>148.30000000000001</v>
      </c>
      <c r="AD268">
        <v>156.4</v>
      </c>
      <c r="AE268">
        <v>151.6</v>
      </c>
      <c r="AF268">
        <v>147</v>
      </c>
      <c r="AG268">
        <v>151.80000000000001</v>
      </c>
      <c r="AH268">
        <f t="shared" si="34"/>
        <v>1966.8000000000002</v>
      </c>
      <c r="AI268">
        <f t="shared" si="35"/>
        <v>141.9</v>
      </c>
      <c r="AJ268">
        <f t="shared" si="36"/>
        <v>135</v>
      </c>
      <c r="AK268">
        <f t="shared" si="37"/>
        <v>156.4</v>
      </c>
      <c r="AL268">
        <f t="shared" si="38"/>
        <v>1534.1999999999998</v>
      </c>
      <c r="AM268" t="str">
        <f t="shared" si="39"/>
        <v>No</v>
      </c>
    </row>
    <row r="269" spans="1:39" x14ac:dyDescent="0.3">
      <c r="A269" t="s">
        <v>30</v>
      </c>
      <c r="B269" s="28">
        <f t="shared" si="32"/>
        <v>44013</v>
      </c>
      <c r="C269">
        <v>2020</v>
      </c>
      <c r="D269" t="s">
        <v>39</v>
      </c>
      <c r="E269" t="str">
        <f t="shared" si="33"/>
        <v>Jul-20</v>
      </c>
      <c r="F269">
        <f>VLOOKUP(D269,'Problem Statement 4'!$G$2:$H$13,2,0)</f>
        <v>7</v>
      </c>
      <c r="G269">
        <v>148.19999999999999</v>
      </c>
      <c r="H269">
        <v>190.3</v>
      </c>
      <c r="I269">
        <v>149.4</v>
      </c>
      <c r="J269">
        <v>153.30000000000001</v>
      </c>
      <c r="K269">
        <v>138.19999999999999</v>
      </c>
      <c r="L269">
        <v>143.19999999999999</v>
      </c>
      <c r="M269">
        <v>148.9</v>
      </c>
      <c r="N269">
        <v>150.30000000000001</v>
      </c>
      <c r="O269">
        <v>113.2</v>
      </c>
      <c r="P269">
        <v>159.80000000000001</v>
      </c>
      <c r="Q269">
        <v>142.1</v>
      </c>
      <c r="R269">
        <v>161.80000000000001</v>
      </c>
      <c r="S269">
        <v>152.30000000000001</v>
      </c>
      <c r="T269">
        <v>182.4</v>
      </c>
      <c r="U269">
        <v>154.69999999999999</v>
      </c>
      <c r="V269">
        <v>150</v>
      </c>
      <c r="W269">
        <v>154.1</v>
      </c>
      <c r="X269">
        <v>154.69999999999999</v>
      </c>
      <c r="Y269">
        <v>144.9</v>
      </c>
      <c r="Z269">
        <v>151.69999999999999</v>
      </c>
      <c r="AA269">
        <v>158.19999999999999</v>
      </c>
      <c r="AB269">
        <v>141.4</v>
      </c>
      <c r="AC269">
        <v>153.19999999999999</v>
      </c>
      <c r="AD269">
        <v>161.80000000000001</v>
      </c>
      <c r="AE269">
        <v>151.19999999999999</v>
      </c>
      <c r="AF269">
        <v>151.69999999999999</v>
      </c>
      <c r="AG269">
        <v>152.69999999999999</v>
      </c>
      <c r="AH269">
        <f t="shared" si="34"/>
        <v>1951</v>
      </c>
      <c r="AI269">
        <f t="shared" si="35"/>
        <v>144.9</v>
      </c>
      <c r="AJ269">
        <f t="shared" si="36"/>
        <v>141.4</v>
      </c>
      <c r="AK269">
        <f t="shared" si="37"/>
        <v>161.80000000000001</v>
      </c>
      <c r="AL269">
        <f t="shared" si="38"/>
        <v>1561.9000000000003</v>
      </c>
      <c r="AM269" t="str">
        <f t="shared" si="39"/>
        <v>No</v>
      </c>
    </row>
    <row r="270" spans="1:39" x14ac:dyDescent="0.3">
      <c r="A270" t="s">
        <v>32</v>
      </c>
      <c r="B270" s="28">
        <f t="shared" si="32"/>
        <v>44013</v>
      </c>
      <c r="C270">
        <v>2020</v>
      </c>
      <c r="D270" t="s">
        <v>39</v>
      </c>
      <c r="E270" t="str">
        <f t="shared" si="33"/>
        <v>Jul-20</v>
      </c>
      <c r="F270">
        <f>VLOOKUP(D270,'Problem Statement 4'!$G$2:$H$13,2,0)</f>
        <v>7</v>
      </c>
      <c r="G270">
        <v>152.69999999999999</v>
      </c>
      <c r="H270">
        <v>197</v>
      </c>
      <c r="I270">
        <v>154.6</v>
      </c>
      <c r="J270">
        <v>153.4</v>
      </c>
      <c r="K270">
        <v>132.9</v>
      </c>
      <c r="L270">
        <v>151.80000000000001</v>
      </c>
      <c r="M270">
        <v>171.2</v>
      </c>
      <c r="N270">
        <v>152</v>
      </c>
      <c r="O270">
        <v>116.3</v>
      </c>
      <c r="P270">
        <v>158.80000000000001</v>
      </c>
      <c r="Q270">
        <v>135.6</v>
      </c>
      <c r="R270">
        <v>161.69999999999999</v>
      </c>
      <c r="S270">
        <v>157</v>
      </c>
      <c r="T270">
        <v>186.7</v>
      </c>
      <c r="U270">
        <v>149.1</v>
      </c>
      <c r="V270">
        <v>136.6</v>
      </c>
      <c r="W270">
        <v>147.19999999999999</v>
      </c>
      <c r="X270">
        <v>154.69999999999999</v>
      </c>
      <c r="Y270">
        <v>137.1</v>
      </c>
      <c r="Z270">
        <v>140.4</v>
      </c>
      <c r="AA270">
        <v>148.1</v>
      </c>
      <c r="AB270">
        <v>129.30000000000001</v>
      </c>
      <c r="AC270">
        <v>144.5</v>
      </c>
      <c r="AD270">
        <v>152.5</v>
      </c>
      <c r="AE270">
        <v>152.19999999999999</v>
      </c>
      <c r="AF270">
        <v>142</v>
      </c>
      <c r="AG270">
        <v>150.80000000000001</v>
      </c>
      <c r="AH270">
        <f t="shared" si="34"/>
        <v>1994.9999999999998</v>
      </c>
      <c r="AI270">
        <f t="shared" si="35"/>
        <v>137.1</v>
      </c>
      <c r="AJ270">
        <f t="shared" si="36"/>
        <v>129.30000000000001</v>
      </c>
      <c r="AK270">
        <f t="shared" si="37"/>
        <v>152.5</v>
      </c>
      <c r="AL270">
        <f t="shared" si="38"/>
        <v>1501.5</v>
      </c>
      <c r="AM270" t="str">
        <f t="shared" si="39"/>
        <v>Yes</v>
      </c>
    </row>
    <row r="271" spans="1:39" x14ac:dyDescent="0.3">
      <c r="A271" t="s">
        <v>33</v>
      </c>
      <c r="B271" s="28">
        <f t="shared" si="32"/>
        <v>44013</v>
      </c>
      <c r="C271">
        <v>2020</v>
      </c>
      <c r="D271" t="s">
        <v>39</v>
      </c>
      <c r="E271" t="str">
        <f t="shared" si="33"/>
        <v>Jul-20</v>
      </c>
      <c r="F271">
        <f>VLOOKUP(D271,'Problem Statement 4'!$G$2:$H$13,2,0)</f>
        <v>7</v>
      </c>
      <c r="G271">
        <v>149.6</v>
      </c>
      <c r="H271">
        <v>192.7</v>
      </c>
      <c r="I271">
        <v>151.4</v>
      </c>
      <c r="J271">
        <v>153.30000000000001</v>
      </c>
      <c r="K271">
        <v>136.30000000000001</v>
      </c>
      <c r="L271">
        <v>147.19999999999999</v>
      </c>
      <c r="M271">
        <v>156.5</v>
      </c>
      <c r="N271">
        <v>150.9</v>
      </c>
      <c r="O271">
        <v>114.2</v>
      </c>
      <c r="P271">
        <v>159.5</v>
      </c>
      <c r="Q271">
        <v>139.4</v>
      </c>
      <c r="R271">
        <v>161.80000000000001</v>
      </c>
      <c r="S271">
        <v>154</v>
      </c>
      <c r="T271">
        <v>183.5</v>
      </c>
      <c r="U271">
        <v>152.5</v>
      </c>
      <c r="V271">
        <v>144.4</v>
      </c>
      <c r="W271">
        <v>151.4</v>
      </c>
      <c r="X271">
        <v>154.69999999999999</v>
      </c>
      <c r="Y271">
        <v>141.9</v>
      </c>
      <c r="Z271">
        <v>146.4</v>
      </c>
      <c r="AA271">
        <v>154.4</v>
      </c>
      <c r="AB271">
        <v>135</v>
      </c>
      <c r="AC271">
        <v>148.30000000000001</v>
      </c>
      <c r="AD271">
        <v>156.4</v>
      </c>
      <c r="AE271">
        <v>151.6</v>
      </c>
      <c r="AF271">
        <v>147</v>
      </c>
      <c r="AG271">
        <v>151.80000000000001</v>
      </c>
      <c r="AH271">
        <f t="shared" si="34"/>
        <v>1966.8000000000002</v>
      </c>
      <c r="AI271">
        <f t="shared" si="35"/>
        <v>141.9</v>
      </c>
      <c r="AJ271">
        <f t="shared" si="36"/>
        <v>135</v>
      </c>
      <c r="AK271">
        <f t="shared" si="37"/>
        <v>156.4</v>
      </c>
      <c r="AL271">
        <f t="shared" si="38"/>
        <v>1534.1999999999998</v>
      </c>
      <c r="AM271" t="str">
        <f t="shared" si="39"/>
        <v>No</v>
      </c>
    </row>
    <row r="272" spans="1:39" x14ac:dyDescent="0.3">
      <c r="A272" t="s">
        <v>30</v>
      </c>
      <c r="B272" s="28">
        <f t="shared" si="32"/>
        <v>44044</v>
      </c>
      <c r="C272">
        <v>2020</v>
      </c>
      <c r="D272" t="s">
        <v>40</v>
      </c>
      <c r="E272" t="str">
        <f t="shared" si="33"/>
        <v>Aug-20</v>
      </c>
      <c r="F272">
        <f>VLOOKUP(D272,'Problem Statement 4'!$G$2:$H$13,2,0)</f>
        <v>8</v>
      </c>
      <c r="G272">
        <v>147.6</v>
      </c>
      <c r="H272">
        <v>187.2</v>
      </c>
      <c r="I272">
        <v>148.4</v>
      </c>
      <c r="J272">
        <v>153.30000000000001</v>
      </c>
      <c r="K272">
        <v>139.80000000000001</v>
      </c>
      <c r="L272">
        <v>146.9</v>
      </c>
      <c r="M272">
        <v>171</v>
      </c>
      <c r="N272">
        <v>149.9</v>
      </c>
      <c r="O272">
        <v>114.2</v>
      </c>
      <c r="P272">
        <v>160</v>
      </c>
      <c r="Q272">
        <v>143.5</v>
      </c>
      <c r="R272">
        <v>161.5</v>
      </c>
      <c r="S272">
        <v>155.30000000000001</v>
      </c>
      <c r="T272">
        <v>180.9</v>
      </c>
      <c r="U272">
        <v>155.1</v>
      </c>
      <c r="V272">
        <v>149.30000000000001</v>
      </c>
      <c r="W272">
        <v>154.30000000000001</v>
      </c>
      <c r="X272">
        <v>155.5</v>
      </c>
      <c r="Y272">
        <v>145.80000000000001</v>
      </c>
      <c r="Z272">
        <v>151.9</v>
      </c>
      <c r="AA272">
        <v>158.80000000000001</v>
      </c>
      <c r="AB272">
        <v>143.6</v>
      </c>
      <c r="AC272">
        <v>152.19999999999999</v>
      </c>
      <c r="AD272">
        <v>162.69999999999999</v>
      </c>
      <c r="AE272">
        <v>153.6</v>
      </c>
      <c r="AF272">
        <v>153</v>
      </c>
      <c r="AG272">
        <v>154.69999999999999</v>
      </c>
      <c r="AH272">
        <f t="shared" si="34"/>
        <v>1978.6</v>
      </c>
      <c r="AI272">
        <f t="shared" si="35"/>
        <v>145.80000000000001</v>
      </c>
      <c r="AJ272">
        <f t="shared" si="36"/>
        <v>143.6</v>
      </c>
      <c r="AK272">
        <f t="shared" si="37"/>
        <v>162.69999999999999</v>
      </c>
      <c r="AL272">
        <f t="shared" si="38"/>
        <v>1564.6</v>
      </c>
      <c r="AM272" t="str">
        <f t="shared" si="39"/>
        <v>No</v>
      </c>
    </row>
    <row r="273" spans="1:39" x14ac:dyDescent="0.3">
      <c r="A273" t="s">
        <v>32</v>
      </c>
      <c r="B273" s="28">
        <f t="shared" si="32"/>
        <v>44044</v>
      </c>
      <c r="C273">
        <v>2020</v>
      </c>
      <c r="D273" t="s">
        <v>40</v>
      </c>
      <c r="E273" t="str">
        <f t="shared" si="33"/>
        <v>Aug-20</v>
      </c>
      <c r="F273">
        <f>VLOOKUP(D273,'Problem Statement 4'!$G$2:$H$13,2,0)</f>
        <v>8</v>
      </c>
      <c r="G273">
        <v>151.6</v>
      </c>
      <c r="H273">
        <v>197.8</v>
      </c>
      <c r="I273">
        <v>154.5</v>
      </c>
      <c r="J273">
        <v>153.4</v>
      </c>
      <c r="K273">
        <v>133.4</v>
      </c>
      <c r="L273">
        <v>154.5</v>
      </c>
      <c r="M273">
        <v>191.9</v>
      </c>
      <c r="N273">
        <v>151.30000000000001</v>
      </c>
      <c r="O273">
        <v>116.8</v>
      </c>
      <c r="P273">
        <v>160</v>
      </c>
      <c r="Q273">
        <v>136.5</v>
      </c>
      <c r="R273">
        <v>163.30000000000001</v>
      </c>
      <c r="S273">
        <v>159.9</v>
      </c>
      <c r="T273">
        <v>187.2</v>
      </c>
      <c r="U273">
        <v>150</v>
      </c>
      <c r="V273">
        <v>135.19999999999999</v>
      </c>
      <c r="W273">
        <v>147.80000000000001</v>
      </c>
      <c r="X273">
        <v>155.5</v>
      </c>
      <c r="Y273">
        <v>138.30000000000001</v>
      </c>
      <c r="Z273">
        <v>144.5</v>
      </c>
      <c r="AA273">
        <v>148.69999999999999</v>
      </c>
      <c r="AB273">
        <v>133.9</v>
      </c>
      <c r="AC273">
        <v>141.19999999999999</v>
      </c>
      <c r="AD273">
        <v>155.5</v>
      </c>
      <c r="AE273">
        <v>155.19999999999999</v>
      </c>
      <c r="AF273">
        <v>144.80000000000001</v>
      </c>
      <c r="AG273">
        <v>152.9</v>
      </c>
      <c r="AH273">
        <f t="shared" si="34"/>
        <v>2024.8999999999999</v>
      </c>
      <c r="AI273">
        <f t="shared" si="35"/>
        <v>138.30000000000001</v>
      </c>
      <c r="AJ273">
        <f t="shared" si="36"/>
        <v>133.9</v>
      </c>
      <c r="AK273">
        <f t="shared" si="37"/>
        <v>155.5</v>
      </c>
      <c r="AL273">
        <f t="shared" si="38"/>
        <v>1510.1000000000001</v>
      </c>
      <c r="AM273" t="str">
        <f t="shared" si="39"/>
        <v>Yes</v>
      </c>
    </row>
    <row r="274" spans="1:39" x14ac:dyDescent="0.3">
      <c r="A274" t="s">
        <v>33</v>
      </c>
      <c r="B274" s="28">
        <f t="shared" si="32"/>
        <v>44044</v>
      </c>
      <c r="C274">
        <v>2020</v>
      </c>
      <c r="D274" t="s">
        <v>40</v>
      </c>
      <c r="E274" t="str">
        <f t="shared" si="33"/>
        <v>Aug-20</v>
      </c>
      <c r="F274">
        <f>VLOOKUP(D274,'Problem Statement 4'!$G$2:$H$13,2,0)</f>
        <v>8</v>
      </c>
      <c r="G274">
        <v>148.9</v>
      </c>
      <c r="H274">
        <v>190.9</v>
      </c>
      <c r="I274">
        <v>150.80000000000001</v>
      </c>
      <c r="J274">
        <v>153.30000000000001</v>
      </c>
      <c r="K274">
        <v>137.4</v>
      </c>
      <c r="L274">
        <v>150.4</v>
      </c>
      <c r="M274">
        <v>178.1</v>
      </c>
      <c r="N274">
        <v>150.4</v>
      </c>
      <c r="O274">
        <v>115.1</v>
      </c>
      <c r="P274">
        <v>160</v>
      </c>
      <c r="Q274">
        <v>140.6</v>
      </c>
      <c r="R274">
        <v>162.30000000000001</v>
      </c>
      <c r="S274">
        <v>157</v>
      </c>
      <c r="T274">
        <v>182.6</v>
      </c>
      <c r="U274">
        <v>153.1</v>
      </c>
      <c r="V274">
        <v>143.4</v>
      </c>
      <c r="W274">
        <v>151.69999999999999</v>
      </c>
      <c r="X274">
        <v>155.5</v>
      </c>
      <c r="Y274">
        <v>143</v>
      </c>
      <c r="Z274">
        <v>148.4</v>
      </c>
      <c r="AA274">
        <v>155</v>
      </c>
      <c r="AB274">
        <v>138.5</v>
      </c>
      <c r="AC274">
        <v>146</v>
      </c>
      <c r="AD274">
        <v>158.5</v>
      </c>
      <c r="AE274">
        <v>154.30000000000001</v>
      </c>
      <c r="AF274">
        <v>149</v>
      </c>
      <c r="AG274">
        <v>153.9</v>
      </c>
      <c r="AH274">
        <f t="shared" si="34"/>
        <v>1995.1999999999998</v>
      </c>
      <c r="AI274">
        <f t="shared" si="35"/>
        <v>143</v>
      </c>
      <c r="AJ274">
        <f t="shared" si="36"/>
        <v>138.5</v>
      </c>
      <c r="AK274">
        <f t="shared" si="37"/>
        <v>158.5</v>
      </c>
      <c r="AL274">
        <f t="shared" si="38"/>
        <v>1538.9999999999998</v>
      </c>
      <c r="AM274" t="str">
        <f t="shared" si="39"/>
        <v>Yes</v>
      </c>
    </row>
    <row r="275" spans="1:39" x14ac:dyDescent="0.3">
      <c r="A275" t="s">
        <v>30</v>
      </c>
      <c r="B275" s="28">
        <f t="shared" si="32"/>
        <v>44075</v>
      </c>
      <c r="C275">
        <v>2020</v>
      </c>
      <c r="D275" t="s">
        <v>41</v>
      </c>
      <c r="E275" t="str">
        <f t="shared" si="33"/>
        <v>Sep-20</v>
      </c>
      <c r="F275">
        <f>VLOOKUP(D275,'Problem Statement 4'!$G$2:$H$13,2,0)</f>
        <v>9</v>
      </c>
      <c r="G275">
        <v>146.9</v>
      </c>
      <c r="H275">
        <v>183.9</v>
      </c>
      <c r="I275">
        <v>149.5</v>
      </c>
      <c r="J275">
        <v>153.4</v>
      </c>
      <c r="K275">
        <v>140.4</v>
      </c>
      <c r="L275">
        <v>147</v>
      </c>
      <c r="M275">
        <v>178.8</v>
      </c>
      <c r="N275">
        <v>149.30000000000001</v>
      </c>
      <c r="O275">
        <v>115.1</v>
      </c>
      <c r="P275">
        <v>160</v>
      </c>
      <c r="Q275">
        <v>145.4</v>
      </c>
      <c r="R275">
        <v>161.6</v>
      </c>
      <c r="S275">
        <v>156.1</v>
      </c>
      <c r="T275">
        <v>182.9</v>
      </c>
      <c r="U275">
        <v>155.4</v>
      </c>
      <c r="V275">
        <v>149.9</v>
      </c>
      <c r="W275">
        <v>154.6</v>
      </c>
      <c r="X275">
        <v>156.30000000000001</v>
      </c>
      <c r="Y275">
        <v>146.4</v>
      </c>
      <c r="Z275">
        <v>151.6</v>
      </c>
      <c r="AA275">
        <v>159.1</v>
      </c>
      <c r="AB275">
        <v>144.6</v>
      </c>
      <c r="AC275">
        <v>152.80000000000001</v>
      </c>
      <c r="AD275">
        <v>161.1</v>
      </c>
      <c r="AE275">
        <v>157.4</v>
      </c>
      <c r="AF275">
        <v>153.69999999999999</v>
      </c>
      <c r="AG275">
        <v>155.4</v>
      </c>
      <c r="AH275">
        <f t="shared" si="34"/>
        <v>1987.3999999999999</v>
      </c>
      <c r="AI275">
        <f t="shared" si="35"/>
        <v>146.4</v>
      </c>
      <c r="AJ275">
        <f t="shared" si="36"/>
        <v>144.6</v>
      </c>
      <c r="AK275">
        <f t="shared" si="37"/>
        <v>161.1</v>
      </c>
      <c r="AL275">
        <f t="shared" si="38"/>
        <v>1573.7000000000003</v>
      </c>
      <c r="AM275" t="str">
        <f t="shared" si="39"/>
        <v>No</v>
      </c>
    </row>
    <row r="276" spans="1:39" x14ac:dyDescent="0.3">
      <c r="A276" t="s">
        <v>32</v>
      </c>
      <c r="B276" s="28">
        <f t="shared" si="32"/>
        <v>44075</v>
      </c>
      <c r="C276">
        <v>2020</v>
      </c>
      <c r="D276" t="s">
        <v>41</v>
      </c>
      <c r="E276" t="str">
        <f t="shared" si="33"/>
        <v>Sep-20</v>
      </c>
      <c r="F276">
        <f>VLOOKUP(D276,'Problem Statement 4'!$G$2:$H$13,2,0)</f>
        <v>9</v>
      </c>
      <c r="G276">
        <v>151.5</v>
      </c>
      <c r="H276">
        <v>193.1</v>
      </c>
      <c r="I276">
        <v>157.30000000000001</v>
      </c>
      <c r="J276">
        <v>153.9</v>
      </c>
      <c r="K276">
        <v>134.4</v>
      </c>
      <c r="L276">
        <v>155.4</v>
      </c>
      <c r="M276">
        <v>202</v>
      </c>
      <c r="N276">
        <v>150.80000000000001</v>
      </c>
      <c r="O276">
        <v>118.9</v>
      </c>
      <c r="P276">
        <v>160.9</v>
      </c>
      <c r="Q276">
        <v>137.69999999999999</v>
      </c>
      <c r="R276">
        <v>164.4</v>
      </c>
      <c r="S276">
        <v>161.30000000000001</v>
      </c>
      <c r="T276">
        <v>188.7</v>
      </c>
      <c r="U276">
        <v>150.19999999999999</v>
      </c>
      <c r="V276">
        <v>136.30000000000001</v>
      </c>
      <c r="W276">
        <v>148.1</v>
      </c>
      <c r="X276">
        <v>156.30000000000001</v>
      </c>
      <c r="Y276">
        <v>137.19999999999999</v>
      </c>
      <c r="Z276">
        <v>145.4</v>
      </c>
      <c r="AA276">
        <v>150</v>
      </c>
      <c r="AB276">
        <v>135.1</v>
      </c>
      <c r="AC276">
        <v>141.80000000000001</v>
      </c>
      <c r="AD276">
        <v>154.9</v>
      </c>
      <c r="AE276">
        <v>159.80000000000001</v>
      </c>
      <c r="AF276">
        <v>146</v>
      </c>
      <c r="AG276">
        <v>154</v>
      </c>
      <c r="AH276">
        <f t="shared" si="34"/>
        <v>2041.6000000000001</v>
      </c>
      <c r="AI276">
        <f t="shared" si="35"/>
        <v>137.19999999999999</v>
      </c>
      <c r="AJ276">
        <f t="shared" si="36"/>
        <v>135.1</v>
      </c>
      <c r="AK276">
        <f t="shared" si="37"/>
        <v>154.9</v>
      </c>
      <c r="AL276">
        <f t="shared" si="38"/>
        <v>1522.6</v>
      </c>
      <c r="AM276" t="str">
        <f t="shared" si="39"/>
        <v>Yes</v>
      </c>
    </row>
    <row r="277" spans="1:39" x14ac:dyDescent="0.3">
      <c r="A277" t="s">
        <v>33</v>
      </c>
      <c r="B277" s="28">
        <f t="shared" si="32"/>
        <v>44075</v>
      </c>
      <c r="C277">
        <v>2020</v>
      </c>
      <c r="D277" t="s">
        <v>41</v>
      </c>
      <c r="E277" t="str">
        <f t="shared" si="33"/>
        <v>Sep-20</v>
      </c>
      <c r="F277">
        <f>VLOOKUP(D277,'Problem Statement 4'!$G$2:$H$13,2,0)</f>
        <v>9</v>
      </c>
      <c r="G277">
        <v>148.4</v>
      </c>
      <c r="H277">
        <v>187.1</v>
      </c>
      <c r="I277">
        <v>152.5</v>
      </c>
      <c r="J277">
        <v>153.6</v>
      </c>
      <c r="K277">
        <v>138.19999999999999</v>
      </c>
      <c r="L277">
        <v>150.9</v>
      </c>
      <c r="M277">
        <v>186.7</v>
      </c>
      <c r="N277">
        <v>149.80000000000001</v>
      </c>
      <c r="O277">
        <v>116.4</v>
      </c>
      <c r="P277">
        <v>160.30000000000001</v>
      </c>
      <c r="Q277">
        <v>142.19999999999999</v>
      </c>
      <c r="R277">
        <v>162.9</v>
      </c>
      <c r="S277">
        <v>158</v>
      </c>
      <c r="T277">
        <v>184.4</v>
      </c>
      <c r="U277">
        <v>153.4</v>
      </c>
      <c r="V277">
        <v>144.30000000000001</v>
      </c>
      <c r="W277">
        <v>152</v>
      </c>
      <c r="X277">
        <v>156.30000000000001</v>
      </c>
      <c r="Y277">
        <v>142.9</v>
      </c>
      <c r="Z277">
        <v>148.69999999999999</v>
      </c>
      <c r="AA277">
        <v>155.6</v>
      </c>
      <c r="AB277">
        <v>139.6</v>
      </c>
      <c r="AC277">
        <v>146.6</v>
      </c>
      <c r="AD277">
        <v>157.5</v>
      </c>
      <c r="AE277">
        <v>158.4</v>
      </c>
      <c r="AF277">
        <v>150</v>
      </c>
      <c r="AG277">
        <v>154.69999999999999</v>
      </c>
      <c r="AH277">
        <f t="shared" si="34"/>
        <v>2007</v>
      </c>
      <c r="AI277">
        <f t="shared" si="35"/>
        <v>142.9</v>
      </c>
      <c r="AJ277">
        <f t="shared" si="36"/>
        <v>139.6</v>
      </c>
      <c r="AK277">
        <f t="shared" si="37"/>
        <v>157.5</v>
      </c>
      <c r="AL277">
        <f t="shared" si="38"/>
        <v>1549.7</v>
      </c>
      <c r="AM277" t="str">
        <f t="shared" si="39"/>
        <v>Yes</v>
      </c>
    </row>
    <row r="278" spans="1:39" x14ac:dyDescent="0.3">
      <c r="A278" t="s">
        <v>30</v>
      </c>
      <c r="B278" s="28">
        <f t="shared" si="32"/>
        <v>44105</v>
      </c>
      <c r="C278">
        <v>2020</v>
      </c>
      <c r="D278" t="s">
        <v>42</v>
      </c>
      <c r="E278" t="str">
        <f t="shared" si="33"/>
        <v>Oct-20</v>
      </c>
      <c r="F278">
        <f>VLOOKUP(D278,'Problem Statement 4'!$G$2:$H$13,2,0)</f>
        <v>10</v>
      </c>
      <c r="G278">
        <v>146</v>
      </c>
      <c r="H278">
        <v>186.3</v>
      </c>
      <c r="I278">
        <v>159.19999999999999</v>
      </c>
      <c r="J278">
        <v>153.6</v>
      </c>
      <c r="K278">
        <v>142.6</v>
      </c>
      <c r="L278">
        <v>147.19999999999999</v>
      </c>
      <c r="M278">
        <v>200.6</v>
      </c>
      <c r="N278">
        <v>150.30000000000001</v>
      </c>
      <c r="O278">
        <v>115.3</v>
      </c>
      <c r="P278">
        <v>160.9</v>
      </c>
      <c r="Q278">
        <v>147.4</v>
      </c>
      <c r="R278">
        <v>161.9</v>
      </c>
      <c r="S278">
        <v>159.6</v>
      </c>
      <c r="T278">
        <v>182.7</v>
      </c>
      <c r="U278">
        <v>155.69999999999999</v>
      </c>
      <c r="V278">
        <v>150.6</v>
      </c>
      <c r="W278">
        <v>155</v>
      </c>
      <c r="X278">
        <v>156.5</v>
      </c>
      <c r="Y278">
        <v>146.80000000000001</v>
      </c>
      <c r="Z278">
        <v>152</v>
      </c>
      <c r="AA278">
        <v>159.5</v>
      </c>
      <c r="AB278">
        <v>146.4</v>
      </c>
      <c r="AC278">
        <v>152.4</v>
      </c>
      <c r="AD278">
        <v>162.5</v>
      </c>
      <c r="AE278">
        <v>156.19999999999999</v>
      </c>
      <c r="AF278">
        <v>154.30000000000001</v>
      </c>
      <c r="AG278">
        <v>157.5</v>
      </c>
      <c r="AH278">
        <f t="shared" si="34"/>
        <v>2030.9</v>
      </c>
      <c r="AI278">
        <f t="shared" si="35"/>
        <v>146.80000000000001</v>
      </c>
      <c r="AJ278">
        <f t="shared" si="36"/>
        <v>146.4</v>
      </c>
      <c r="AK278">
        <f t="shared" si="37"/>
        <v>162.5</v>
      </c>
      <c r="AL278">
        <f t="shared" si="38"/>
        <v>1574.9</v>
      </c>
      <c r="AM278" t="str">
        <f t="shared" si="39"/>
        <v>No</v>
      </c>
    </row>
    <row r="279" spans="1:39" x14ac:dyDescent="0.3">
      <c r="A279" t="s">
        <v>32</v>
      </c>
      <c r="B279" s="28">
        <f t="shared" si="32"/>
        <v>44105</v>
      </c>
      <c r="C279">
        <v>2020</v>
      </c>
      <c r="D279" t="s">
        <v>42</v>
      </c>
      <c r="E279" t="str">
        <f t="shared" si="33"/>
        <v>Oct-20</v>
      </c>
      <c r="F279">
        <f>VLOOKUP(D279,'Problem Statement 4'!$G$2:$H$13,2,0)</f>
        <v>10</v>
      </c>
      <c r="G279">
        <v>150.6</v>
      </c>
      <c r="H279">
        <v>193.7</v>
      </c>
      <c r="I279">
        <v>164.8</v>
      </c>
      <c r="J279">
        <v>153.69999999999999</v>
      </c>
      <c r="K279">
        <v>135.69999999999999</v>
      </c>
      <c r="L279">
        <v>155.69999999999999</v>
      </c>
      <c r="M279">
        <v>226</v>
      </c>
      <c r="N279">
        <v>152.19999999999999</v>
      </c>
      <c r="O279">
        <v>118.1</v>
      </c>
      <c r="P279">
        <v>161.30000000000001</v>
      </c>
      <c r="Q279">
        <v>139.19999999999999</v>
      </c>
      <c r="R279">
        <v>164.8</v>
      </c>
      <c r="S279">
        <v>164.4</v>
      </c>
      <c r="T279">
        <v>188.7</v>
      </c>
      <c r="U279">
        <v>150.5</v>
      </c>
      <c r="V279">
        <v>136.1</v>
      </c>
      <c r="W279">
        <v>148.30000000000001</v>
      </c>
      <c r="X279">
        <v>156.5</v>
      </c>
      <c r="Y279">
        <v>137.1</v>
      </c>
      <c r="Z279">
        <v>145.1</v>
      </c>
      <c r="AA279">
        <v>151</v>
      </c>
      <c r="AB279">
        <v>135.4</v>
      </c>
      <c r="AC279">
        <v>142</v>
      </c>
      <c r="AD279">
        <v>155.69999999999999</v>
      </c>
      <c r="AE279">
        <v>158.1</v>
      </c>
      <c r="AF279">
        <v>146.19999999999999</v>
      </c>
      <c r="AG279">
        <v>155.19999999999999</v>
      </c>
      <c r="AH279">
        <f t="shared" si="34"/>
        <v>2080.1999999999998</v>
      </c>
      <c r="AI279">
        <f t="shared" si="35"/>
        <v>137.1</v>
      </c>
      <c r="AJ279">
        <f t="shared" si="36"/>
        <v>135.4</v>
      </c>
      <c r="AK279">
        <f t="shared" si="37"/>
        <v>155.69999999999999</v>
      </c>
      <c r="AL279">
        <f t="shared" si="38"/>
        <v>1522.4999999999998</v>
      </c>
      <c r="AM279" t="str">
        <f t="shared" si="39"/>
        <v>Yes</v>
      </c>
    </row>
    <row r="280" spans="1:39" x14ac:dyDescent="0.3">
      <c r="A280" t="s">
        <v>33</v>
      </c>
      <c r="B280" s="28">
        <f t="shared" si="32"/>
        <v>44105</v>
      </c>
      <c r="C280">
        <v>2020</v>
      </c>
      <c r="D280" t="s">
        <v>42</v>
      </c>
      <c r="E280" t="str">
        <f t="shared" si="33"/>
        <v>Oct-20</v>
      </c>
      <c r="F280">
        <f>VLOOKUP(D280,'Problem Statement 4'!$G$2:$H$13,2,0)</f>
        <v>10</v>
      </c>
      <c r="G280">
        <v>147.5</v>
      </c>
      <c r="H280">
        <v>188.9</v>
      </c>
      <c r="I280">
        <v>161.4</v>
      </c>
      <c r="J280">
        <v>153.6</v>
      </c>
      <c r="K280">
        <v>140.1</v>
      </c>
      <c r="L280">
        <v>151.19999999999999</v>
      </c>
      <c r="M280">
        <v>209.2</v>
      </c>
      <c r="N280">
        <v>150.9</v>
      </c>
      <c r="O280">
        <v>116.2</v>
      </c>
      <c r="P280">
        <v>161</v>
      </c>
      <c r="Q280">
        <v>144</v>
      </c>
      <c r="R280">
        <v>163.19999999999999</v>
      </c>
      <c r="S280">
        <v>161.4</v>
      </c>
      <c r="T280">
        <v>184.3</v>
      </c>
      <c r="U280">
        <v>153.69999999999999</v>
      </c>
      <c r="V280">
        <v>144.6</v>
      </c>
      <c r="W280">
        <v>152.30000000000001</v>
      </c>
      <c r="X280">
        <v>156.5</v>
      </c>
      <c r="Y280">
        <v>143.1</v>
      </c>
      <c r="Z280">
        <v>148.69999999999999</v>
      </c>
      <c r="AA280">
        <v>156.30000000000001</v>
      </c>
      <c r="AB280">
        <v>140.6</v>
      </c>
      <c r="AC280">
        <v>146.5</v>
      </c>
      <c r="AD280">
        <v>158.5</v>
      </c>
      <c r="AE280">
        <v>157</v>
      </c>
      <c r="AF280">
        <v>150.4</v>
      </c>
      <c r="AG280">
        <v>156.4</v>
      </c>
      <c r="AH280">
        <f t="shared" si="34"/>
        <v>2048.6000000000004</v>
      </c>
      <c r="AI280">
        <f t="shared" si="35"/>
        <v>143.1</v>
      </c>
      <c r="AJ280">
        <f t="shared" si="36"/>
        <v>140.6</v>
      </c>
      <c r="AK280">
        <f t="shared" si="37"/>
        <v>158.5</v>
      </c>
      <c r="AL280">
        <f t="shared" si="38"/>
        <v>1550.3000000000002</v>
      </c>
      <c r="AM280" t="str">
        <f t="shared" si="39"/>
        <v>Yes</v>
      </c>
    </row>
    <row r="281" spans="1:39" x14ac:dyDescent="0.3">
      <c r="A281" t="s">
        <v>30</v>
      </c>
      <c r="B281" s="28">
        <f t="shared" si="32"/>
        <v>44136</v>
      </c>
      <c r="C281">
        <v>2020</v>
      </c>
      <c r="D281" t="s">
        <v>44</v>
      </c>
      <c r="E281" t="str">
        <f t="shared" si="33"/>
        <v>Nov-20</v>
      </c>
      <c r="F281">
        <f>VLOOKUP(D281,'Problem Statement 4'!$G$2:$H$13,2,0)</f>
        <v>11</v>
      </c>
      <c r="G281">
        <v>145.4</v>
      </c>
      <c r="H281">
        <v>188.6</v>
      </c>
      <c r="I281">
        <v>171.6</v>
      </c>
      <c r="J281">
        <v>153.80000000000001</v>
      </c>
      <c r="K281">
        <v>145.4</v>
      </c>
      <c r="L281">
        <v>146.5</v>
      </c>
      <c r="M281">
        <v>222.2</v>
      </c>
      <c r="N281">
        <v>155.9</v>
      </c>
      <c r="O281">
        <v>114.9</v>
      </c>
      <c r="P281">
        <v>162</v>
      </c>
      <c r="Q281">
        <v>150</v>
      </c>
      <c r="R281">
        <v>162.69999999999999</v>
      </c>
      <c r="S281">
        <v>163.4</v>
      </c>
      <c r="T281">
        <v>183.4</v>
      </c>
      <c r="U281">
        <v>156.30000000000001</v>
      </c>
      <c r="V281">
        <v>151</v>
      </c>
      <c r="W281">
        <v>155.5</v>
      </c>
      <c r="X281">
        <v>158</v>
      </c>
      <c r="Y281">
        <v>147.5</v>
      </c>
      <c r="Z281">
        <v>152.80000000000001</v>
      </c>
      <c r="AA281">
        <v>160.4</v>
      </c>
      <c r="AB281">
        <v>146.1</v>
      </c>
      <c r="AC281">
        <v>153.6</v>
      </c>
      <c r="AD281">
        <v>161.6</v>
      </c>
      <c r="AE281">
        <v>156.19999999999999</v>
      </c>
      <c r="AF281">
        <v>154.5</v>
      </c>
      <c r="AG281">
        <v>159.80000000000001</v>
      </c>
      <c r="AH281">
        <f t="shared" si="34"/>
        <v>2082.4</v>
      </c>
      <c r="AI281">
        <f t="shared" si="35"/>
        <v>147.5</v>
      </c>
      <c r="AJ281">
        <f t="shared" si="36"/>
        <v>146.1</v>
      </c>
      <c r="AK281">
        <f t="shared" si="37"/>
        <v>161.6</v>
      </c>
      <c r="AL281">
        <f t="shared" si="38"/>
        <v>1581.7</v>
      </c>
      <c r="AM281" t="str">
        <f t="shared" si="39"/>
        <v>No</v>
      </c>
    </row>
    <row r="282" spans="1:39" x14ac:dyDescent="0.3">
      <c r="A282" t="s">
        <v>32</v>
      </c>
      <c r="B282" s="28">
        <f t="shared" si="32"/>
        <v>44136</v>
      </c>
      <c r="C282">
        <v>2020</v>
      </c>
      <c r="D282" t="s">
        <v>44</v>
      </c>
      <c r="E282" t="str">
        <f t="shared" si="33"/>
        <v>Nov-20</v>
      </c>
      <c r="F282">
        <f>VLOOKUP(D282,'Problem Statement 4'!$G$2:$H$13,2,0)</f>
        <v>11</v>
      </c>
      <c r="G282">
        <v>149.69999999999999</v>
      </c>
      <c r="H282">
        <v>195.5</v>
      </c>
      <c r="I282">
        <v>176.9</v>
      </c>
      <c r="J282">
        <v>153.9</v>
      </c>
      <c r="K282">
        <v>138</v>
      </c>
      <c r="L282">
        <v>150.5</v>
      </c>
      <c r="M282">
        <v>245.3</v>
      </c>
      <c r="N282">
        <v>158.69999999999999</v>
      </c>
      <c r="O282">
        <v>117.2</v>
      </c>
      <c r="P282">
        <v>161.4</v>
      </c>
      <c r="Q282">
        <v>141.5</v>
      </c>
      <c r="R282">
        <v>165.1</v>
      </c>
      <c r="S282">
        <v>167</v>
      </c>
      <c r="T282">
        <v>188.8</v>
      </c>
      <c r="U282">
        <v>151.1</v>
      </c>
      <c r="V282">
        <v>136.4</v>
      </c>
      <c r="W282">
        <v>148.80000000000001</v>
      </c>
      <c r="X282">
        <v>158</v>
      </c>
      <c r="Y282">
        <v>137.30000000000001</v>
      </c>
      <c r="Z282">
        <v>145.1</v>
      </c>
      <c r="AA282">
        <v>152</v>
      </c>
      <c r="AB282">
        <v>135.19999999999999</v>
      </c>
      <c r="AC282">
        <v>144.4</v>
      </c>
      <c r="AD282">
        <v>156.4</v>
      </c>
      <c r="AE282">
        <v>157.9</v>
      </c>
      <c r="AF282">
        <v>146.6</v>
      </c>
      <c r="AG282">
        <v>156.69999999999999</v>
      </c>
      <c r="AH282">
        <f t="shared" si="34"/>
        <v>2120.6999999999998</v>
      </c>
      <c r="AI282">
        <f t="shared" si="35"/>
        <v>137.30000000000001</v>
      </c>
      <c r="AJ282">
        <f t="shared" si="36"/>
        <v>135.19999999999999</v>
      </c>
      <c r="AK282">
        <f t="shared" si="37"/>
        <v>156.4</v>
      </c>
      <c r="AL282">
        <f t="shared" si="38"/>
        <v>1529.1</v>
      </c>
      <c r="AM282" t="str">
        <f t="shared" si="39"/>
        <v>Yes</v>
      </c>
    </row>
    <row r="283" spans="1:39" x14ac:dyDescent="0.3">
      <c r="A283" t="s">
        <v>33</v>
      </c>
      <c r="B283" s="28">
        <f t="shared" si="32"/>
        <v>44136</v>
      </c>
      <c r="C283">
        <v>2020</v>
      </c>
      <c r="D283" t="s">
        <v>44</v>
      </c>
      <c r="E283" t="str">
        <f t="shared" si="33"/>
        <v>Nov-20</v>
      </c>
      <c r="F283">
        <f>VLOOKUP(D283,'Problem Statement 4'!$G$2:$H$13,2,0)</f>
        <v>11</v>
      </c>
      <c r="G283">
        <v>146.80000000000001</v>
      </c>
      <c r="H283">
        <v>191</v>
      </c>
      <c r="I283">
        <v>173.6</v>
      </c>
      <c r="J283">
        <v>153.80000000000001</v>
      </c>
      <c r="K283">
        <v>142.69999999999999</v>
      </c>
      <c r="L283">
        <v>148.4</v>
      </c>
      <c r="M283">
        <v>230</v>
      </c>
      <c r="N283">
        <v>156.80000000000001</v>
      </c>
      <c r="O283">
        <v>115.7</v>
      </c>
      <c r="P283">
        <v>161.80000000000001</v>
      </c>
      <c r="Q283">
        <v>146.5</v>
      </c>
      <c r="R283">
        <v>163.80000000000001</v>
      </c>
      <c r="S283">
        <v>164.7</v>
      </c>
      <c r="T283">
        <v>184.8</v>
      </c>
      <c r="U283">
        <v>154.30000000000001</v>
      </c>
      <c r="V283">
        <v>144.9</v>
      </c>
      <c r="W283">
        <v>152.80000000000001</v>
      </c>
      <c r="X283">
        <v>158</v>
      </c>
      <c r="Y283">
        <v>143.6</v>
      </c>
      <c r="Z283">
        <v>149.19999999999999</v>
      </c>
      <c r="AA283">
        <v>157.19999999999999</v>
      </c>
      <c r="AB283">
        <v>140.4</v>
      </c>
      <c r="AC283">
        <v>148.4</v>
      </c>
      <c r="AD283">
        <v>158.6</v>
      </c>
      <c r="AE283">
        <v>156.9</v>
      </c>
      <c r="AF283">
        <v>150.69999999999999</v>
      </c>
      <c r="AG283">
        <v>158.4</v>
      </c>
      <c r="AH283">
        <f t="shared" si="34"/>
        <v>2095.6</v>
      </c>
      <c r="AI283">
        <f t="shared" si="35"/>
        <v>143.6</v>
      </c>
      <c r="AJ283">
        <f t="shared" si="36"/>
        <v>140.4</v>
      </c>
      <c r="AK283">
        <f t="shared" si="37"/>
        <v>158.6</v>
      </c>
      <c r="AL283">
        <f t="shared" si="38"/>
        <v>1557.2000000000003</v>
      </c>
      <c r="AM283" t="str">
        <f t="shared" si="39"/>
        <v>No</v>
      </c>
    </row>
    <row r="284" spans="1:39" x14ac:dyDescent="0.3">
      <c r="A284" t="s">
        <v>30</v>
      </c>
      <c r="B284" s="28">
        <f t="shared" si="32"/>
        <v>44166</v>
      </c>
      <c r="C284">
        <v>2020</v>
      </c>
      <c r="D284" t="s">
        <v>45</v>
      </c>
      <c r="E284" t="str">
        <f t="shared" si="33"/>
        <v>Dec-20</v>
      </c>
      <c r="F284">
        <f>VLOOKUP(D284,'Problem Statement 4'!$G$2:$H$13,2,0)</f>
        <v>12</v>
      </c>
      <c r="G284">
        <v>144.6</v>
      </c>
      <c r="H284">
        <v>188.5</v>
      </c>
      <c r="I284">
        <v>173.4</v>
      </c>
      <c r="J284">
        <v>154</v>
      </c>
      <c r="K284">
        <v>150</v>
      </c>
      <c r="L284">
        <v>145.9</v>
      </c>
      <c r="M284">
        <v>225.2</v>
      </c>
      <c r="N284">
        <v>159.5</v>
      </c>
      <c r="O284">
        <v>114.4</v>
      </c>
      <c r="P284">
        <v>163.5</v>
      </c>
      <c r="Q284">
        <v>153.4</v>
      </c>
      <c r="R284">
        <v>163.6</v>
      </c>
      <c r="S284">
        <v>164.5</v>
      </c>
      <c r="T284">
        <v>183.6</v>
      </c>
      <c r="U284">
        <v>157</v>
      </c>
      <c r="V284">
        <v>151.6</v>
      </c>
      <c r="W284">
        <v>156.30000000000001</v>
      </c>
      <c r="X284">
        <v>158.4</v>
      </c>
      <c r="Y284">
        <v>148.69999999999999</v>
      </c>
      <c r="Z284">
        <v>153.4</v>
      </c>
      <c r="AA284">
        <v>161.6</v>
      </c>
      <c r="AB284">
        <v>146.4</v>
      </c>
      <c r="AC284">
        <v>153.9</v>
      </c>
      <c r="AD284">
        <v>162.9</v>
      </c>
      <c r="AE284">
        <v>156.6</v>
      </c>
      <c r="AF284">
        <v>155.19999999999999</v>
      </c>
      <c r="AG284">
        <v>160.69999999999999</v>
      </c>
      <c r="AH284">
        <f t="shared" si="34"/>
        <v>2100.5</v>
      </c>
      <c r="AI284">
        <f t="shared" si="35"/>
        <v>148.69999999999999</v>
      </c>
      <c r="AJ284">
        <f t="shared" si="36"/>
        <v>146.4</v>
      </c>
      <c r="AK284">
        <f t="shared" si="37"/>
        <v>162.9</v>
      </c>
      <c r="AL284">
        <f t="shared" si="38"/>
        <v>1587.6</v>
      </c>
      <c r="AM284" t="str">
        <f t="shared" si="39"/>
        <v>No</v>
      </c>
    </row>
    <row r="285" spans="1:39" x14ac:dyDescent="0.3">
      <c r="A285" t="s">
        <v>32</v>
      </c>
      <c r="B285" s="28">
        <f t="shared" si="32"/>
        <v>44166</v>
      </c>
      <c r="C285">
        <v>2020</v>
      </c>
      <c r="D285" t="s">
        <v>45</v>
      </c>
      <c r="E285" t="str">
        <f t="shared" si="33"/>
        <v>Dec-20</v>
      </c>
      <c r="F285">
        <f>VLOOKUP(D285,'Problem Statement 4'!$G$2:$H$13,2,0)</f>
        <v>12</v>
      </c>
      <c r="G285">
        <v>149</v>
      </c>
      <c r="H285">
        <v>195.7</v>
      </c>
      <c r="I285">
        <v>178.3</v>
      </c>
      <c r="J285">
        <v>154.19999999999999</v>
      </c>
      <c r="K285">
        <v>140.69999999999999</v>
      </c>
      <c r="L285">
        <v>149.69999999999999</v>
      </c>
      <c r="M285">
        <v>240.9</v>
      </c>
      <c r="N285">
        <v>161.5</v>
      </c>
      <c r="O285">
        <v>117.1</v>
      </c>
      <c r="P285">
        <v>161.9</v>
      </c>
      <c r="Q285">
        <v>143.30000000000001</v>
      </c>
      <c r="R285">
        <v>166.1</v>
      </c>
      <c r="S285">
        <v>167</v>
      </c>
      <c r="T285">
        <v>190.2</v>
      </c>
      <c r="U285">
        <v>151.9</v>
      </c>
      <c r="V285">
        <v>136.69999999999999</v>
      </c>
      <c r="W285">
        <v>149.6</v>
      </c>
      <c r="X285">
        <v>158.4</v>
      </c>
      <c r="Y285">
        <v>137.9</v>
      </c>
      <c r="Z285">
        <v>145.5</v>
      </c>
      <c r="AA285">
        <v>152.9</v>
      </c>
      <c r="AB285">
        <v>135.5</v>
      </c>
      <c r="AC285">
        <v>144.30000000000001</v>
      </c>
      <c r="AD285">
        <v>156.9</v>
      </c>
      <c r="AE285">
        <v>157.9</v>
      </c>
      <c r="AF285">
        <v>146.9</v>
      </c>
      <c r="AG285">
        <v>156.9</v>
      </c>
      <c r="AH285">
        <f t="shared" si="34"/>
        <v>2125.4</v>
      </c>
      <c r="AI285">
        <f t="shared" si="35"/>
        <v>137.9</v>
      </c>
      <c r="AJ285">
        <f t="shared" si="36"/>
        <v>135.5</v>
      </c>
      <c r="AK285">
        <f t="shared" si="37"/>
        <v>156.9</v>
      </c>
      <c r="AL285">
        <f t="shared" si="38"/>
        <v>1534.3000000000002</v>
      </c>
      <c r="AM285" t="str">
        <f t="shared" si="39"/>
        <v>No</v>
      </c>
    </row>
    <row r="286" spans="1:39" x14ac:dyDescent="0.3">
      <c r="A286" t="s">
        <v>33</v>
      </c>
      <c r="B286" s="28">
        <f t="shared" si="32"/>
        <v>44166</v>
      </c>
      <c r="C286">
        <v>2020</v>
      </c>
      <c r="D286" t="s">
        <v>45</v>
      </c>
      <c r="E286" t="str">
        <f t="shared" si="33"/>
        <v>Dec-20</v>
      </c>
      <c r="F286">
        <f>VLOOKUP(D286,'Problem Statement 4'!$G$2:$H$13,2,0)</f>
        <v>12</v>
      </c>
      <c r="G286">
        <v>146</v>
      </c>
      <c r="H286">
        <v>191</v>
      </c>
      <c r="I286">
        <v>175.3</v>
      </c>
      <c r="J286">
        <v>154.1</v>
      </c>
      <c r="K286">
        <v>146.6</v>
      </c>
      <c r="L286">
        <v>147.69999999999999</v>
      </c>
      <c r="M286">
        <v>230.5</v>
      </c>
      <c r="N286">
        <v>160.19999999999999</v>
      </c>
      <c r="O286">
        <v>115.3</v>
      </c>
      <c r="P286">
        <v>163</v>
      </c>
      <c r="Q286">
        <v>149.19999999999999</v>
      </c>
      <c r="R286">
        <v>164.8</v>
      </c>
      <c r="S286">
        <v>165.4</v>
      </c>
      <c r="T286">
        <v>185.4</v>
      </c>
      <c r="U286">
        <v>155</v>
      </c>
      <c r="V286">
        <v>145.4</v>
      </c>
      <c r="W286">
        <v>153.6</v>
      </c>
      <c r="X286">
        <v>158.4</v>
      </c>
      <c r="Y286">
        <v>144.6</v>
      </c>
      <c r="Z286">
        <v>149.69999999999999</v>
      </c>
      <c r="AA286">
        <v>158.30000000000001</v>
      </c>
      <c r="AB286">
        <v>140.69999999999999</v>
      </c>
      <c r="AC286">
        <v>148.5</v>
      </c>
      <c r="AD286">
        <v>159.4</v>
      </c>
      <c r="AE286">
        <v>157.1</v>
      </c>
      <c r="AF286">
        <v>151.19999999999999</v>
      </c>
      <c r="AG286">
        <v>158.9</v>
      </c>
      <c r="AH286">
        <f t="shared" si="34"/>
        <v>2109.1</v>
      </c>
      <c r="AI286">
        <f t="shared" si="35"/>
        <v>144.6</v>
      </c>
      <c r="AJ286">
        <f t="shared" si="36"/>
        <v>140.69999999999999</v>
      </c>
      <c r="AK286">
        <f t="shared" si="37"/>
        <v>159.4</v>
      </c>
      <c r="AL286">
        <f t="shared" si="38"/>
        <v>1562.6</v>
      </c>
      <c r="AM286" t="str">
        <f t="shared" si="39"/>
        <v>No</v>
      </c>
    </row>
    <row r="287" spans="1:39" x14ac:dyDescent="0.3">
      <c r="A287" t="s">
        <v>30</v>
      </c>
      <c r="B287" s="28">
        <f t="shared" si="32"/>
        <v>44197</v>
      </c>
      <c r="C287">
        <v>2021</v>
      </c>
      <c r="D287" t="s">
        <v>31</v>
      </c>
      <c r="E287" t="str">
        <f t="shared" si="33"/>
        <v>Jan-21</v>
      </c>
      <c r="F287">
        <f>VLOOKUP(D287,'Problem Statement 4'!$G$2:$H$13,2,0)</f>
        <v>1</v>
      </c>
      <c r="G287">
        <v>143.4</v>
      </c>
      <c r="H287">
        <v>187.5</v>
      </c>
      <c r="I287">
        <v>173.4</v>
      </c>
      <c r="J287">
        <v>154</v>
      </c>
      <c r="K287">
        <v>154.80000000000001</v>
      </c>
      <c r="L287">
        <v>147</v>
      </c>
      <c r="M287">
        <v>187.8</v>
      </c>
      <c r="N287">
        <v>159.5</v>
      </c>
      <c r="O287">
        <v>113.8</v>
      </c>
      <c r="P287">
        <v>164.5</v>
      </c>
      <c r="Q287">
        <v>156.1</v>
      </c>
      <c r="R287">
        <v>164.3</v>
      </c>
      <c r="S287">
        <v>159.6</v>
      </c>
      <c r="T287">
        <v>184.6</v>
      </c>
      <c r="U287">
        <v>157.5</v>
      </c>
      <c r="V287">
        <v>152.4</v>
      </c>
      <c r="W287">
        <v>156.80000000000001</v>
      </c>
      <c r="X287">
        <v>157.69999999999999</v>
      </c>
      <c r="Y287">
        <v>150.9</v>
      </c>
      <c r="Z287">
        <v>153.9</v>
      </c>
      <c r="AA287">
        <v>162.5</v>
      </c>
      <c r="AB287">
        <v>147.5</v>
      </c>
      <c r="AC287">
        <v>155.1</v>
      </c>
      <c r="AD287">
        <v>163.5</v>
      </c>
      <c r="AE287">
        <v>156.19999999999999</v>
      </c>
      <c r="AF287">
        <v>155.9</v>
      </c>
      <c r="AG287">
        <v>158.5</v>
      </c>
      <c r="AH287">
        <f t="shared" si="34"/>
        <v>2065.6999999999998</v>
      </c>
      <c r="AI287">
        <f t="shared" si="35"/>
        <v>150.9</v>
      </c>
      <c r="AJ287">
        <f t="shared" si="36"/>
        <v>147.5</v>
      </c>
      <c r="AK287">
        <f t="shared" si="37"/>
        <v>163.5</v>
      </c>
      <c r="AL287">
        <f t="shared" si="38"/>
        <v>1592.6000000000001</v>
      </c>
      <c r="AM287" t="str">
        <f t="shared" si="39"/>
        <v>No</v>
      </c>
    </row>
    <row r="288" spans="1:39" x14ac:dyDescent="0.3">
      <c r="A288" t="s">
        <v>32</v>
      </c>
      <c r="B288" s="28">
        <f t="shared" si="32"/>
        <v>44197</v>
      </c>
      <c r="C288">
        <v>2021</v>
      </c>
      <c r="D288" t="s">
        <v>31</v>
      </c>
      <c r="E288" t="str">
        <f t="shared" si="33"/>
        <v>Jan-21</v>
      </c>
      <c r="F288">
        <f>VLOOKUP(D288,'Problem Statement 4'!$G$2:$H$13,2,0)</f>
        <v>1</v>
      </c>
      <c r="G288">
        <v>148</v>
      </c>
      <c r="H288">
        <v>194.8</v>
      </c>
      <c r="I288">
        <v>178.4</v>
      </c>
      <c r="J288">
        <v>154.4</v>
      </c>
      <c r="K288">
        <v>144.1</v>
      </c>
      <c r="L288">
        <v>152.6</v>
      </c>
      <c r="M288">
        <v>206.8</v>
      </c>
      <c r="N288">
        <v>162.1</v>
      </c>
      <c r="O288">
        <v>116.3</v>
      </c>
      <c r="P288">
        <v>163</v>
      </c>
      <c r="Q288">
        <v>145.9</v>
      </c>
      <c r="R288">
        <v>167.2</v>
      </c>
      <c r="S288">
        <v>163.4</v>
      </c>
      <c r="T288">
        <v>191.8</v>
      </c>
      <c r="U288">
        <v>152.5</v>
      </c>
      <c r="V288">
        <v>137.30000000000001</v>
      </c>
      <c r="W288">
        <v>150.19999999999999</v>
      </c>
      <c r="X288">
        <v>157.69999999999999</v>
      </c>
      <c r="Y288">
        <v>142.9</v>
      </c>
      <c r="Z288">
        <v>145.69999999999999</v>
      </c>
      <c r="AA288">
        <v>154.1</v>
      </c>
      <c r="AB288">
        <v>136.9</v>
      </c>
      <c r="AC288">
        <v>145.4</v>
      </c>
      <c r="AD288">
        <v>156.1</v>
      </c>
      <c r="AE288">
        <v>157.69999999999999</v>
      </c>
      <c r="AF288">
        <v>147.6</v>
      </c>
      <c r="AG288">
        <v>156</v>
      </c>
      <c r="AH288">
        <f t="shared" si="34"/>
        <v>2097</v>
      </c>
      <c r="AI288">
        <f t="shared" si="35"/>
        <v>142.9</v>
      </c>
      <c r="AJ288">
        <f t="shared" si="36"/>
        <v>136.9</v>
      </c>
      <c r="AK288">
        <f t="shared" si="37"/>
        <v>156.1</v>
      </c>
      <c r="AL288">
        <f t="shared" si="38"/>
        <v>1540</v>
      </c>
      <c r="AM288" t="str">
        <f t="shared" si="39"/>
        <v>Yes</v>
      </c>
    </row>
    <row r="289" spans="1:39" x14ac:dyDescent="0.3">
      <c r="A289" t="s">
        <v>33</v>
      </c>
      <c r="B289" s="28">
        <f t="shared" si="32"/>
        <v>44197</v>
      </c>
      <c r="C289">
        <v>2021</v>
      </c>
      <c r="D289" t="s">
        <v>31</v>
      </c>
      <c r="E289" t="str">
        <f t="shared" si="33"/>
        <v>Jan-21</v>
      </c>
      <c r="F289">
        <f>VLOOKUP(D289,'Problem Statement 4'!$G$2:$H$13,2,0)</f>
        <v>1</v>
      </c>
      <c r="G289">
        <v>144.9</v>
      </c>
      <c r="H289">
        <v>190.1</v>
      </c>
      <c r="I289">
        <v>175.3</v>
      </c>
      <c r="J289">
        <v>154.1</v>
      </c>
      <c r="K289">
        <v>150.9</v>
      </c>
      <c r="L289">
        <v>149.6</v>
      </c>
      <c r="M289">
        <v>194.2</v>
      </c>
      <c r="N289">
        <v>160.4</v>
      </c>
      <c r="O289">
        <v>114.6</v>
      </c>
      <c r="P289">
        <v>164</v>
      </c>
      <c r="Q289">
        <v>151.80000000000001</v>
      </c>
      <c r="R289">
        <v>165.6</v>
      </c>
      <c r="S289">
        <v>161</v>
      </c>
      <c r="T289">
        <v>186.5</v>
      </c>
      <c r="U289">
        <v>155.5</v>
      </c>
      <c r="V289">
        <v>146.1</v>
      </c>
      <c r="W289">
        <v>154.19999999999999</v>
      </c>
      <c r="X289">
        <v>157.69999999999999</v>
      </c>
      <c r="Y289">
        <v>147.9</v>
      </c>
      <c r="Z289">
        <v>150</v>
      </c>
      <c r="AA289">
        <v>159.30000000000001</v>
      </c>
      <c r="AB289">
        <v>141.9</v>
      </c>
      <c r="AC289">
        <v>149.6</v>
      </c>
      <c r="AD289">
        <v>159.19999999999999</v>
      </c>
      <c r="AE289">
        <v>156.80000000000001</v>
      </c>
      <c r="AF289">
        <v>151.9</v>
      </c>
      <c r="AG289">
        <v>157.30000000000001</v>
      </c>
      <c r="AH289">
        <f t="shared" si="34"/>
        <v>2076.5</v>
      </c>
      <c r="AI289">
        <f t="shared" si="35"/>
        <v>147.9</v>
      </c>
      <c r="AJ289">
        <f t="shared" si="36"/>
        <v>141.9</v>
      </c>
      <c r="AK289">
        <f t="shared" si="37"/>
        <v>159.19999999999999</v>
      </c>
      <c r="AL289">
        <f t="shared" si="38"/>
        <v>1567.6</v>
      </c>
      <c r="AM289" t="str">
        <f t="shared" si="39"/>
        <v>No</v>
      </c>
    </row>
    <row r="290" spans="1:39" x14ac:dyDescent="0.3">
      <c r="A290" t="s">
        <v>30</v>
      </c>
      <c r="B290" s="28">
        <f t="shared" si="32"/>
        <v>44228</v>
      </c>
      <c r="C290">
        <v>2021</v>
      </c>
      <c r="D290" t="s">
        <v>34</v>
      </c>
      <c r="E290" t="str">
        <f t="shared" si="33"/>
        <v>Feb-21</v>
      </c>
      <c r="F290">
        <f>VLOOKUP(D290,'Problem Statement 4'!$G$2:$H$13,2,0)</f>
        <v>2</v>
      </c>
      <c r="G290">
        <v>142.80000000000001</v>
      </c>
      <c r="H290">
        <v>184</v>
      </c>
      <c r="I290">
        <v>168</v>
      </c>
      <c r="J290">
        <v>154.4</v>
      </c>
      <c r="K290">
        <v>163</v>
      </c>
      <c r="L290">
        <v>147.80000000000001</v>
      </c>
      <c r="M290">
        <v>149.69999999999999</v>
      </c>
      <c r="N290">
        <v>158.30000000000001</v>
      </c>
      <c r="O290">
        <v>111.8</v>
      </c>
      <c r="P290">
        <v>165</v>
      </c>
      <c r="Q290">
        <v>160</v>
      </c>
      <c r="R290">
        <v>165.8</v>
      </c>
      <c r="S290">
        <v>154.69999999999999</v>
      </c>
      <c r="T290">
        <v>186.5</v>
      </c>
      <c r="U290">
        <v>159.1</v>
      </c>
      <c r="V290">
        <v>153.9</v>
      </c>
      <c r="W290">
        <v>158.4</v>
      </c>
      <c r="X290">
        <v>159.80000000000001</v>
      </c>
      <c r="Y290">
        <v>154.4</v>
      </c>
      <c r="Z290">
        <v>154.80000000000001</v>
      </c>
      <c r="AA290">
        <v>164.3</v>
      </c>
      <c r="AB290">
        <v>150.19999999999999</v>
      </c>
      <c r="AC290">
        <v>157</v>
      </c>
      <c r="AD290">
        <v>163.6</v>
      </c>
      <c r="AE290">
        <v>155.19999999999999</v>
      </c>
      <c r="AF290">
        <v>157.19999999999999</v>
      </c>
      <c r="AG290">
        <v>156.69999999999999</v>
      </c>
      <c r="AH290">
        <f t="shared" si="34"/>
        <v>2025.3</v>
      </c>
      <c r="AI290">
        <f t="shared" si="35"/>
        <v>154.4</v>
      </c>
      <c r="AJ290">
        <f t="shared" si="36"/>
        <v>150.19999999999999</v>
      </c>
      <c r="AK290">
        <f t="shared" si="37"/>
        <v>163.6</v>
      </c>
      <c r="AL290">
        <f t="shared" si="38"/>
        <v>1606.2</v>
      </c>
      <c r="AM290" t="str">
        <f t="shared" si="39"/>
        <v>No</v>
      </c>
    </row>
    <row r="291" spans="1:39" x14ac:dyDescent="0.3">
      <c r="A291" t="s">
        <v>32</v>
      </c>
      <c r="B291" s="28">
        <f t="shared" si="32"/>
        <v>44228</v>
      </c>
      <c r="C291">
        <v>2021</v>
      </c>
      <c r="D291" t="s">
        <v>34</v>
      </c>
      <c r="E291" t="str">
        <f t="shared" si="33"/>
        <v>Feb-21</v>
      </c>
      <c r="F291">
        <f>VLOOKUP(D291,'Problem Statement 4'!$G$2:$H$13,2,0)</f>
        <v>2</v>
      </c>
      <c r="G291">
        <v>147.6</v>
      </c>
      <c r="H291">
        <v>191.2</v>
      </c>
      <c r="I291">
        <v>169.9</v>
      </c>
      <c r="J291">
        <v>155.1</v>
      </c>
      <c r="K291">
        <v>151.4</v>
      </c>
      <c r="L291">
        <v>154</v>
      </c>
      <c r="M291">
        <v>180.2</v>
      </c>
      <c r="N291">
        <v>159.80000000000001</v>
      </c>
      <c r="O291">
        <v>114.9</v>
      </c>
      <c r="P291">
        <v>162.5</v>
      </c>
      <c r="Q291">
        <v>149.19999999999999</v>
      </c>
      <c r="R291">
        <v>169.4</v>
      </c>
      <c r="S291">
        <v>160.80000000000001</v>
      </c>
      <c r="T291">
        <v>193.3</v>
      </c>
      <c r="U291">
        <v>154.19999999999999</v>
      </c>
      <c r="V291">
        <v>138.19999999999999</v>
      </c>
      <c r="W291">
        <v>151.80000000000001</v>
      </c>
      <c r="X291">
        <v>159.80000000000001</v>
      </c>
      <c r="Y291">
        <v>149.1</v>
      </c>
      <c r="Z291">
        <v>146.5</v>
      </c>
      <c r="AA291">
        <v>156.30000000000001</v>
      </c>
      <c r="AB291">
        <v>140.5</v>
      </c>
      <c r="AC291">
        <v>147.30000000000001</v>
      </c>
      <c r="AD291">
        <v>156.6</v>
      </c>
      <c r="AE291">
        <v>156.69999999999999</v>
      </c>
      <c r="AF291">
        <v>149.30000000000001</v>
      </c>
      <c r="AG291">
        <v>156.5</v>
      </c>
      <c r="AH291">
        <f t="shared" si="34"/>
        <v>2066</v>
      </c>
      <c r="AI291">
        <f t="shared" si="35"/>
        <v>149.1</v>
      </c>
      <c r="AJ291">
        <f t="shared" si="36"/>
        <v>140.5</v>
      </c>
      <c r="AK291">
        <f t="shared" si="37"/>
        <v>156.6</v>
      </c>
      <c r="AL291">
        <f t="shared" si="38"/>
        <v>1553.3999999999999</v>
      </c>
      <c r="AM291" t="str">
        <f t="shared" si="39"/>
        <v>Yes</v>
      </c>
    </row>
    <row r="292" spans="1:39" x14ac:dyDescent="0.3">
      <c r="A292" t="s">
        <v>33</v>
      </c>
      <c r="B292" s="28">
        <f t="shared" si="32"/>
        <v>44228</v>
      </c>
      <c r="C292">
        <v>2021</v>
      </c>
      <c r="D292" t="s">
        <v>34</v>
      </c>
      <c r="E292" t="str">
        <f t="shared" si="33"/>
        <v>Feb-21</v>
      </c>
      <c r="F292">
        <f>VLOOKUP(D292,'Problem Statement 4'!$G$2:$H$13,2,0)</f>
        <v>2</v>
      </c>
      <c r="G292">
        <v>144.30000000000001</v>
      </c>
      <c r="H292">
        <v>186.5</v>
      </c>
      <c r="I292">
        <v>168.7</v>
      </c>
      <c r="J292">
        <v>154.69999999999999</v>
      </c>
      <c r="K292">
        <v>158.69999999999999</v>
      </c>
      <c r="L292">
        <v>150.69999999999999</v>
      </c>
      <c r="M292">
        <v>160</v>
      </c>
      <c r="N292">
        <v>158.80000000000001</v>
      </c>
      <c r="O292">
        <v>112.8</v>
      </c>
      <c r="P292">
        <v>164.2</v>
      </c>
      <c r="Q292">
        <v>155.5</v>
      </c>
      <c r="R292">
        <v>167.5</v>
      </c>
      <c r="S292">
        <v>156.9</v>
      </c>
      <c r="T292">
        <v>188.3</v>
      </c>
      <c r="U292">
        <v>157.19999999999999</v>
      </c>
      <c r="V292">
        <v>147.4</v>
      </c>
      <c r="W292">
        <v>155.80000000000001</v>
      </c>
      <c r="X292">
        <v>159.80000000000001</v>
      </c>
      <c r="Y292">
        <v>152.4</v>
      </c>
      <c r="Z292">
        <v>150.9</v>
      </c>
      <c r="AA292">
        <v>161.30000000000001</v>
      </c>
      <c r="AB292">
        <v>145.1</v>
      </c>
      <c r="AC292">
        <v>151.5</v>
      </c>
      <c r="AD292">
        <v>159.5</v>
      </c>
      <c r="AE292">
        <v>155.80000000000001</v>
      </c>
      <c r="AF292">
        <v>153.4</v>
      </c>
      <c r="AG292">
        <v>156.6</v>
      </c>
      <c r="AH292">
        <f t="shared" si="34"/>
        <v>2039.3000000000002</v>
      </c>
      <c r="AI292">
        <f t="shared" si="35"/>
        <v>152.4</v>
      </c>
      <c r="AJ292">
        <f t="shared" si="36"/>
        <v>145.1</v>
      </c>
      <c r="AK292">
        <f t="shared" si="37"/>
        <v>159.5</v>
      </c>
      <c r="AL292">
        <f t="shared" si="38"/>
        <v>1581.4</v>
      </c>
      <c r="AM292" t="str">
        <f t="shared" si="39"/>
        <v>Yes</v>
      </c>
    </row>
    <row r="293" spans="1:39" x14ac:dyDescent="0.3">
      <c r="A293" t="s">
        <v>30</v>
      </c>
      <c r="B293" s="28">
        <f t="shared" si="32"/>
        <v>44256</v>
      </c>
      <c r="C293">
        <v>2021</v>
      </c>
      <c r="D293" t="s">
        <v>35</v>
      </c>
      <c r="E293" t="str">
        <f t="shared" si="33"/>
        <v>Mar-21</v>
      </c>
      <c r="F293">
        <f>VLOOKUP(D293,'Problem Statement 4'!$G$2:$H$13,2,0)</f>
        <v>3</v>
      </c>
      <c r="G293">
        <v>142.5</v>
      </c>
      <c r="H293">
        <v>189.4</v>
      </c>
      <c r="I293">
        <v>163.19999999999999</v>
      </c>
      <c r="J293">
        <v>154.5</v>
      </c>
      <c r="K293">
        <v>168.2</v>
      </c>
      <c r="L293">
        <v>150.5</v>
      </c>
      <c r="M293">
        <v>141</v>
      </c>
      <c r="N293">
        <v>159.19999999999999</v>
      </c>
      <c r="O293">
        <v>111.7</v>
      </c>
      <c r="P293">
        <v>164</v>
      </c>
      <c r="Q293">
        <v>160.6</v>
      </c>
      <c r="R293">
        <v>166.4</v>
      </c>
      <c r="S293">
        <v>154.5</v>
      </c>
      <c r="T293">
        <v>186.1</v>
      </c>
      <c r="U293">
        <v>159.6</v>
      </c>
      <c r="V293">
        <v>154.4</v>
      </c>
      <c r="W293">
        <v>158.9</v>
      </c>
      <c r="X293">
        <v>159.9</v>
      </c>
      <c r="Y293">
        <v>156</v>
      </c>
      <c r="Z293">
        <v>154.80000000000001</v>
      </c>
      <c r="AA293">
        <v>164.6</v>
      </c>
      <c r="AB293">
        <v>151.30000000000001</v>
      </c>
      <c r="AC293">
        <v>157.80000000000001</v>
      </c>
      <c r="AD293">
        <v>163.80000000000001</v>
      </c>
      <c r="AE293">
        <v>153.1</v>
      </c>
      <c r="AF293">
        <v>157.30000000000001</v>
      </c>
      <c r="AG293">
        <v>156.69999999999999</v>
      </c>
      <c r="AH293">
        <f t="shared" si="34"/>
        <v>2025.7</v>
      </c>
      <c r="AI293">
        <f t="shared" si="35"/>
        <v>156</v>
      </c>
      <c r="AJ293">
        <f t="shared" si="36"/>
        <v>151.30000000000001</v>
      </c>
      <c r="AK293">
        <f t="shared" si="37"/>
        <v>163.80000000000001</v>
      </c>
      <c r="AL293">
        <f t="shared" si="38"/>
        <v>1606.4999999999998</v>
      </c>
      <c r="AM293" t="str">
        <f t="shared" si="39"/>
        <v>No</v>
      </c>
    </row>
    <row r="294" spans="1:39" x14ac:dyDescent="0.3">
      <c r="A294" t="s">
        <v>32</v>
      </c>
      <c r="B294" s="28">
        <f t="shared" si="32"/>
        <v>44256</v>
      </c>
      <c r="C294">
        <v>2021</v>
      </c>
      <c r="D294" t="s">
        <v>35</v>
      </c>
      <c r="E294" t="str">
        <f t="shared" si="33"/>
        <v>Mar-21</v>
      </c>
      <c r="F294">
        <f>VLOOKUP(D294,'Problem Statement 4'!$G$2:$H$13,2,0)</f>
        <v>3</v>
      </c>
      <c r="G294">
        <v>147.5</v>
      </c>
      <c r="H294">
        <v>197.5</v>
      </c>
      <c r="I294">
        <v>164.7</v>
      </c>
      <c r="J294">
        <v>155.6</v>
      </c>
      <c r="K294">
        <v>156.4</v>
      </c>
      <c r="L294">
        <v>157.30000000000001</v>
      </c>
      <c r="M294">
        <v>166.1</v>
      </c>
      <c r="N294">
        <v>161.1</v>
      </c>
      <c r="O294">
        <v>114.3</v>
      </c>
      <c r="P294">
        <v>162.6</v>
      </c>
      <c r="Q294">
        <v>150.69999999999999</v>
      </c>
      <c r="R294">
        <v>170.3</v>
      </c>
      <c r="S294">
        <v>160.4</v>
      </c>
      <c r="T294">
        <v>193.5</v>
      </c>
      <c r="U294">
        <v>155.1</v>
      </c>
      <c r="V294">
        <v>138.69999999999999</v>
      </c>
      <c r="W294">
        <v>152.6</v>
      </c>
      <c r="X294">
        <v>159.9</v>
      </c>
      <c r="Y294">
        <v>154.80000000000001</v>
      </c>
      <c r="Z294">
        <v>147.19999999999999</v>
      </c>
      <c r="AA294">
        <v>156.9</v>
      </c>
      <c r="AB294">
        <v>141.69999999999999</v>
      </c>
      <c r="AC294">
        <v>148.6</v>
      </c>
      <c r="AD294">
        <v>157.6</v>
      </c>
      <c r="AE294">
        <v>154.9</v>
      </c>
      <c r="AF294">
        <v>150</v>
      </c>
      <c r="AG294">
        <v>156.9</v>
      </c>
      <c r="AH294">
        <f t="shared" si="34"/>
        <v>2064.4999999999995</v>
      </c>
      <c r="AI294">
        <f t="shared" si="35"/>
        <v>154.80000000000001</v>
      </c>
      <c r="AJ294">
        <f t="shared" si="36"/>
        <v>141.69999999999999</v>
      </c>
      <c r="AK294">
        <f t="shared" si="37"/>
        <v>157.6</v>
      </c>
      <c r="AL294">
        <f t="shared" si="38"/>
        <v>1557.4</v>
      </c>
      <c r="AM294" t="str">
        <f t="shared" si="39"/>
        <v>Yes</v>
      </c>
    </row>
    <row r="295" spans="1:39" x14ac:dyDescent="0.3">
      <c r="A295" t="s">
        <v>33</v>
      </c>
      <c r="B295" s="28">
        <f t="shared" si="32"/>
        <v>44256</v>
      </c>
      <c r="C295">
        <v>2021</v>
      </c>
      <c r="D295" t="s">
        <v>35</v>
      </c>
      <c r="E295" t="str">
        <f t="shared" si="33"/>
        <v>Mar-21</v>
      </c>
      <c r="F295">
        <f>VLOOKUP(D295,'Problem Statement 4'!$G$2:$H$13,2,0)</f>
        <v>3</v>
      </c>
      <c r="G295">
        <v>144.1</v>
      </c>
      <c r="H295">
        <v>192.2</v>
      </c>
      <c r="I295">
        <v>163.80000000000001</v>
      </c>
      <c r="J295">
        <v>154.9</v>
      </c>
      <c r="K295">
        <v>163.9</v>
      </c>
      <c r="L295">
        <v>153.69999999999999</v>
      </c>
      <c r="M295">
        <v>149.5</v>
      </c>
      <c r="N295">
        <v>159.80000000000001</v>
      </c>
      <c r="O295">
        <v>112.6</v>
      </c>
      <c r="P295">
        <v>163.5</v>
      </c>
      <c r="Q295">
        <v>156.5</v>
      </c>
      <c r="R295">
        <v>168.2</v>
      </c>
      <c r="S295">
        <v>156.69999999999999</v>
      </c>
      <c r="T295">
        <v>188.1</v>
      </c>
      <c r="U295">
        <v>157.80000000000001</v>
      </c>
      <c r="V295">
        <v>147.9</v>
      </c>
      <c r="W295">
        <v>156.4</v>
      </c>
      <c r="X295">
        <v>159.9</v>
      </c>
      <c r="Y295">
        <v>155.5</v>
      </c>
      <c r="Z295">
        <v>151.19999999999999</v>
      </c>
      <c r="AA295">
        <v>161.69999999999999</v>
      </c>
      <c r="AB295">
        <v>146.19999999999999</v>
      </c>
      <c r="AC295">
        <v>152.6</v>
      </c>
      <c r="AD295">
        <v>160.19999999999999</v>
      </c>
      <c r="AE295">
        <v>153.80000000000001</v>
      </c>
      <c r="AF295">
        <v>153.80000000000001</v>
      </c>
      <c r="AG295">
        <v>156.80000000000001</v>
      </c>
      <c r="AH295">
        <f t="shared" si="34"/>
        <v>2039.3999999999999</v>
      </c>
      <c r="AI295">
        <f t="shared" si="35"/>
        <v>155.5</v>
      </c>
      <c r="AJ295">
        <f t="shared" si="36"/>
        <v>146.19999999999999</v>
      </c>
      <c r="AK295">
        <f t="shared" si="37"/>
        <v>160.19999999999999</v>
      </c>
      <c r="AL295">
        <f t="shared" si="38"/>
        <v>1583.1999999999998</v>
      </c>
      <c r="AM295" t="str">
        <f t="shared" si="39"/>
        <v>No</v>
      </c>
    </row>
    <row r="296" spans="1:39" x14ac:dyDescent="0.3">
      <c r="A296" t="s">
        <v>30</v>
      </c>
      <c r="B296" s="28">
        <f t="shared" si="32"/>
        <v>44287</v>
      </c>
      <c r="C296">
        <v>2021</v>
      </c>
      <c r="D296" t="s">
        <v>36</v>
      </c>
      <c r="E296" t="str">
        <f t="shared" si="33"/>
        <v>Apr-21</v>
      </c>
      <c r="F296">
        <f>VLOOKUP(D296,'Problem Statement 4'!$G$2:$H$13,2,0)</f>
        <v>4</v>
      </c>
      <c r="G296">
        <v>142.69999999999999</v>
      </c>
      <c r="H296">
        <v>195.5</v>
      </c>
      <c r="I296">
        <v>163.4</v>
      </c>
      <c r="J296">
        <v>155</v>
      </c>
      <c r="K296">
        <v>175.2</v>
      </c>
      <c r="L296">
        <v>160.6</v>
      </c>
      <c r="M296">
        <v>135.1</v>
      </c>
      <c r="N296">
        <v>161.1</v>
      </c>
      <c r="O296">
        <v>112.2</v>
      </c>
      <c r="P296">
        <v>164.4</v>
      </c>
      <c r="Q296">
        <v>161.9</v>
      </c>
      <c r="R296">
        <v>166.8</v>
      </c>
      <c r="S296">
        <v>155.6</v>
      </c>
      <c r="T296">
        <v>186.8</v>
      </c>
      <c r="U296">
        <v>160.69999999999999</v>
      </c>
      <c r="V296">
        <v>155.1</v>
      </c>
      <c r="W296">
        <v>159.9</v>
      </c>
      <c r="X296">
        <v>161.4</v>
      </c>
      <c r="Y296">
        <v>156</v>
      </c>
      <c r="Z296">
        <v>155.5</v>
      </c>
      <c r="AA296">
        <v>165.3</v>
      </c>
      <c r="AB296">
        <v>151.69999999999999</v>
      </c>
      <c r="AC296">
        <v>158.6</v>
      </c>
      <c r="AD296">
        <v>164.1</v>
      </c>
      <c r="AE296">
        <v>154.6</v>
      </c>
      <c r="AF296">
        <v>158</v>
      </c>
      <c r="AG296">
        <v>157.6</v>
      </c>
      <c r="AH296">
        <f t="shared" si="34"/>
        <v>2049.5</v>
      </c>
      <c r="AI296">
        <f t="shared" si="35"/>
        <v>156</v>
      </c>
      <c r="AJ296">
        <f t="shared" si="36"/>
        <v>151.69999999999999</v>
      </c>
      <c r="AK296">
        <f t="shared" si="37"/>
        <v>164.1</v>
      </c>
      <c r="AL296">
        <f t="shared" si="38"/>
        <v>1615.8999999999999</v>
      </c>
      <c r="AM296" t="str">
        <f t="shared" si="39"/>
        <v>No</v>
      </c>
    </row>
    <row r="297" spans="1:39" x14ac:dyDescent="0.3">
      <c r="A297" t="s">
        <v>32</v>
      </c>
      <c r="B297" s="28">
        <f t="shared" si="32"/>
        <v>44287</v>
      </c>
      <c r="C297">
        <v>2021</v>
      </c>
      <c r="D297" t="s">
        <v>36</v>
      </c>
      <c r="E297" t="str">
        <f t="shared" si="33"/>
        <v>Apr-21</v>
      </c>
      <c r="F297">
        <f>VLOOKUP(D297,'Problem Statement 4'!$G$2:$H$13,2,0)</f>
        <v>4</v>
      </c>
      <c r="G297">
        <v>147.6</v>
      </c>
      <c r="H297">
        <v>202.5</v>
      </c>
      <c r="I297">
        <v>166.4</v>
      </c>
      <c r="J297">
        <v>156</v>
      </c>
      <c r="K297">
        <v>161.4</v>
      </c>
      <c r="L297">
        <v>168.8</v>
      </c>
      <c r="M297">
        <v>161.6</v>
      </c>
      <c r="N297">
        <v>162.80000000000001</v>
      </c>
      <c r="O297">
        <v>114.8</v>
      </c>
      <c r="P297">
        <v>162.80000000000001</v>
      </c>
      <c r="Q297">
        <v>151.5</v>
      </c>
      <c r="R297">
        <v>171.4</v>
      </c>
      <c r="S297">
        <v>162</v>
      </c>
      <c r="T297">
        <v>194.4</v>
      </c>
      <c r="U297">
        <v>155.9</v>
      </c>
      <c r="V297">
        <v>139.30000000000001</v>
      </c>
      <c r="W297">
        <v>153.4</v>
      </c>
      <c r="X297">
        <v>161.4</v>
      </c>
      <c r="Y297">
        <v>154.9</v>
      </c>
      <c r="Z297">
        <v>147.6</v>
      </c>
      <c r="AA297">
        <v>157.5</v>
      </c>
      <c r="AB297">
        <v>142.1</v>
      </c>
      <c r="AC297">
        <v>149.1</v>
      </c>
      <c r="AD297">
        <v>157.6</v>
      </c>
      <c r="AE297">
        <v>156.6</v>
      </c>
      <c r="AF297">
        <v>150.5</v>
      </c>
      <c r="AG297">
        <v>158</v>
      </c>
      <c r="AH297">
        <f t="shared" si="34"/>
        <v>2089.6</v>
      </c>
      <c r="AI297">
        <f t="shared" si="35"/>
        <v>154.9</v>
      </c>
      <c r="AJ297">
        <f t="shared" si="36"/>
        <v>142.1</v>
      </c>
      <c r="AK297">
        <f t="shared" si="37"/>
        <v>157.6</v>
      </c>
      <c r="AL297">
        <f t="shared" si="38"/>
        <v>1565.6999999999998</v>
      </c>
      <c r="AM297" t="str">
        <f t="shared" si="39"/>
        <v>Yes</v>
      </c>
    </row>
    <row r="298" spans="1:39" x14ac:dyDescent="0.3">
      <c r="A298" t="s">
        <v>33</v>
      </c>
      <c r="B298" s="28">
        <f t="shared" si="32"/>
        <v>44287</v>
      </c>
      <c r="C298">
        <v>2021</v>
      </c>
      <c r="D298" t="s">
        <v>36</v>
      </c>
      <c r="E298" t="str">
        <f t="shared" si="33"/>
        <v>Apr-21</v>
      </c>
      <c r="F298">
        <f>VLOOKUP(D298,'Problem Statement 4'!$G$2:$H$13,2,0)</f>
        <v>4</v>
      </c>
      <c r="G298">
        <v>144.30000000000001</v>
      </c>
      <c r="H298">
        <v>198</v>
      </c>
      <c r="I298">
        <v>164.6</v>
      </c>
      <c r="J298">
        <v>155.4</v>
      </c>
      <c r="K298">
        <v>170.1</v>
      </c>
      <c r="L298">
        <v>164.4</v>
      </c>
      <c r="M298">
        <v>144.1</v>
      </c>
      <c r="N298">
        <v>161.69999999999999</v>
      </c>
      <c r="O298">
        <v>113.1</v>
      </c>
      <c r="P298">
        <v>163.9</v>
      </c>
      <c r="Q298">
        <v>157.6</v>
      </c>
      <c r="R298">
        <v>168.9</v>
      </c>
      <c r="S298">
        <v>158</v>
      </c>
      <c r="T298">
        <v>188.8</v>
      </c>
      <c r="U298">
        <v>158.80000000000001</v>
      </c>
      <c r="V298">
        <v>148.5</v>
      </c>
      <c r="W298">
        <v>157.30000000000001</v>
      </c>
      <c r="X298">
        <v>161.4</v>
      </c>
      <c r="Y298">
        <v>155.6</v>
      </c>
      <c r="Z298">
        <v>151.80000000000001</v>
      </c>
      <c r="AA298">
        <v>162.30000000000001</v>
      </c>
      <c r="AB298">
        <v>146.6</v>
      </c>
      <c r="AC298">
        <v>153.19999999999999</v>
      </c>
      <c r="AD298">
        <v>160.30000000000001</v>
      </c>
      <c r="AE298">
        <v>155.4</v>
      </c>
      <c r="AF298">
        <v>154.4</v>
      </c>
      <c r="AG298">
        <v>157.80000000000001</v>
      </c>
      <c r="AH298">
        <f t="shared" si="34"/>
        <v>2064.1</v>
      </c>
      <c r="AI298">
        <f t="shared" si="35"/>
        <v>155.6</v>
      </c>
      <c r="AJ298">
        <f t="shared" si="36"/>
        <v>146.6</v>
      </c>
      <c r="AK298">
        <f t="shared" si="37"/>
        <v>160.30000000000001</v>
      </c>
      <c r="AL298">
        <f t="shared" si="38"/>
        <v>1591.9000000000003</v>
      </c>
      <c r="AM298" t="str">
        <f t="shared" si="39"/>
        <v>No</v>
      </c>
    </row>
    <row r="299" spans="1:39" x14ac:dyDescent="0.3">
      <c r="A299" t="s">
        <v>30</v>
      </c>
      <c r="B299" s="28">
        <f t="shared" si="32"/>
        <v>44317</v>
      </c>
      <c r="C299">
        <v>2021</v>
      </c>
      <c r="D299" t="s">
        <v>37</v>
      </c>
      <c r="E299" t="str">
        <f t="shared" si="33"/>
        <v>May-21</v>
      </c>
      <c r="F299">
        <f>VLOOKUP(D299,'Problem Statement 4'!$G$2:$H$13,2,0)</f>
        <v>5</v>
      </c>
      <c r="G299">
        <v>145.1</v>
      </c>
      <c r="H299">
        <v>198.5</v>
      </c>
      <c r="I299">
        <v>168.6</v>
      </c>
      <c r="J299">
        <v>155.80000000000001</v>
      </c>
      <c r="K299">
        <v>184.4</v>
      </c>
      <c r="L299">
        <v>162.30000000000001</v>
      </c>
      <c r="M299">
        <v>138.4</v>
      </c>
      <c r="N299">
        <v>165.1</v>
      </c>
      <c r="O299">
        <v>114.3</v>
      </c>
      <c r="P299">
        <v>169.7</v>
      </c>
      <c r="Q299">
        <v>164.6</v>
      </c>
      <c r="R299">
        <v>169.8</v>
      </c>
      <c r="S299">
        <v>158.69999999999999</v>
      </c>
      <c r="T299">
        <v>189.6</v>
      </c>
      <c r="U299">
        <v>165.3</v>
      </c>
      <c r="V299">
        <v>160.6</v>
      </c>
      <c r="W299">
        <v>164.5</v>
      </c>
      <c r="X299">
        <v>161.6</v>
      </c>
      <c r="Y299">
        <v>161.69999999999999</v>
      </c>
      <c r="Z299">
        <v>158.80000000000001</v>
      </c>
      <c r="AA299">
        <v>169.1</v>
      </c>
      <c r="AB299">
        <v>153.19999999999999</v>
      </c>
      <c r="AC299">
        <v>160</v>
      </c>
      <c r="AD299">
        <v>167.6</v>
      </c>
      <c r="AE299">
        <v>159.30000000000001</v>
      </c>
      <c r="AF299">
        <v>161.1</v>
      </c>
      <c r="AG299">
        <v>161.1</v>
      </c>
      <c r="AH299">
        <f t="shared" si="34"/>
        <v>2095.2999999999997</v>
      </c>
      <c r="AI299">
        <f t="shared" si="35"/>
        <v>161.69999999999999</v>
      </c>
      <c r="AJ299">
        <f t="shared" si="36"/>
        <v>153.19999999999999</v>
      </c>
      <c r="AK299">
        <f t="shared" si="37"/>
        <v>167.6</v>
      </c>
      <c r="AL299">
        <f t="shared" si="38"/>
        <v>1649.8999999999999</v>
      </c>
      <c r="AM299" t="str">
        <f t="shared" si="39"/>
        <v>No</v>
      </c>
    </row>
    <row r="300" spans="1:39" x14ac:dyDescent="0.3">
      <c r="A300" t="s">
        <v>32</v>
      </c>
      <c r="B300" s="28">
        <f t="shared" si="32"/>
        <v>44317</v>
      </c>
      <c r="C300">
        <v>2021</v>
      </c>
      <c r="D300" t="s">
        <v>37</v>
      </c>
      <c r="E300" t="str">
        <f t="shared" si="33"/>
        <v>May-21</v>
      </c>
      <c r="F300">
        <f>VLOOKUP(D300,'Problem Statement 4'!$G$2:$H$13,2,0)</f>
        <v>5</v>
      </c>
      <c r="G300">
        <v>148.80000000000001</v>
      </c>
      <c r="H300">
        <v>204.3</v>
      </c>
      <c r="I300">
        <v>173</v>
      </c>
      <c r="J300">
        <v>156.5</v>
      </c>
      <c r="K300">
        <v>168.8</v>
      </c>
      <c r="L300">
        <v>172.5</v>
      </c>
      <c r="M300">
        <v>166.5</v>
      </c>
      <c r="N300">
        <v>165.9</v>
      </c>
      <c r="O300">
        <v>115.9</v>
      </c>
      <c r="P300">
        <v>165.2</v>
      </c>
      <c r="Q300">
        <v>152</v>
      </c>
      <c r="R300">
        <v>171.1</v>
      </c>
      <c r="S300">
        <v>164.2</v>
      </c>
      <c r="T300">
        <v>198.2</v>
      </c>
      <c r="U300">
        <v>156.5</v>
      </c>
      <c r="V300">
        <v>140.19999999999999</v>
      </c>
      <c r="W300">
        <v>154.1</v>
      </c>
      <c r="X300">
        <v>161.6</v>
      </c>
      <c r="Y300">
        <v>155.5</v>
      </c>
      <c r="Z300">
        <v>150.1</v>
      </c>
      <c r="AA300">
        <v>160.4</v>
      </c>
      <c r="AB300">
        <v>145</v>
      </c>
      <c r="AC300">
        <v>152.6</v>
      </c>
      <c r="AD300">
        <v>156.6</v>
      </c>
      <c r="AE300">
        <v>157.5</v>
      </c>
      <c r="AF300">
        <v>152.30000000000001</v>
      </c>
      <c r="AG300">
        <v>159.5</v>
      </c>
      <c r="AH300">
        <f t="shared" si="34"/>
        <v>2124.7000000000003</v>
      </c>
      <c r="AI300">
        <f t="shared" si="35"/>
        <v>155.5</v>
      </c>
      <c r="AJ300">
        <f t="shared" si="36"/>
        <v>145</v>
      </c>
      <c r="AK300">
        <f t="shared" si="37"/>
        <v>156.6</v>
      </c>
      <c r="AL300">
        <f t="shared" si="38"/>
        <v>1583.5</v>
      </c>
      <c r="AM300" t="str">
        <f t="shared" si="39"/>
        <v>Yes</v>
      </c>
    </row>
    <row r="301" spans="1:39" x14ac:dyDescent="0.3">
      <c r="A301" t="s">
        <v>33</v>
      </c>
      <c r="B301" s="28">
        <f t="shared" si="32"/>
        <v>44317</v>
      </c>
      <c r="C301">
        <v>2021</v>
      </c>
      <c r="D301" t="s">
        <v>37</v>
      </c>
      <c r="E301" t="str">
        <f t="shared" si="33"/>
        <v>May-21</v>
      </c>
      <c r="F301">
        <f>VLOOKUP(D301,'Problem Statement 4'!$G$2:$H$13,2,0)</f>
        <v>5</v>
      </c>
      <c r="G301">
        <v>146.30000000000001</v>
      </c>
      <c r="H301">
        <v>200.5</v>
      </c>
      <c r="I301">
        <v>170.3</v>
      </c>
      <c r="J301">
        <v>156.1</v>
      </c>
      <c r="K301">
        <v>178.7</v>
      </c>
      <c r="L301">
        <v>167.1</v>
      </c>
      <c r="M301">
        <v>147.9</v>
      </c>
      <c r="N301">
        <v>165.4</v>
      </c>
      <c r="O301">
        <v>114.8</v>
      </c>
      <c r="P301">
        <v>168.2</v>
      </c>
      <c r="Q301">
        <v>159.30000000000001</v>
      </c>
      <c r="R301">
        <v>170.4</v>
      </c>
      <c r="S301">
        <v>160.69999999999999</v>
      </c>
      <c r="T301">
        <v>191.9</v>
      </c>
      <c r="U301">
        <v>161.80000000000001</v>
      </c>
      <c r="V301">
        <v>152.1</v>
      </c>
      <c r="W301">
        <v>160.4</v>
      </c>
      <c r="X301">
        <v>161.6</v>
      </c>
      <c r="Y301">
        <v>159.4</v>
      </c>
      <c r="Z301">
        <v>154.69999999999999</v>
      </c>
      <c r="AA301">
        <v>165.8</v>
      </c>
      <c r="AB301">
        <v>148.9</v>
      </c>
      <c r="AC301">
        <v>155.80000000000001</v>
      </c>
      <c r="AD301">
        <v>161.19999999999999</v>
      </c>
      <c r="AE301">
        <v>158.6</v>
      </c>
      <c r="AF301">
        <v>156.80000000000001</v>
      </c>
      <c r="AG301">
        <v>160.4</v>
      </c>
      <c r="AH301">
        <f t="shared" si="34"/>
        <v>2105.7000000000003</v>
      </c>
      <c r="AI301">
        <f t="shared" si="35"/>
        <v>159.4</v>
      </c>
      <c r="AJ301">
        <f t="shared" si="36"/>
        <v>148.9</v>
      </c>
      <c r="AK301">
        <f t="shared" si="37"/>
        <v>161.19999999999999</v>
      </c>
      <c r="AL301">
        <f t="shared" si="38"/>
        <v>1619.4999999999998</v>
      </c>
      <c r="AM301" t="str">
        <f t="shared" si="39"/>
        <v>No</v>
      </c>
    </row>
    <row r="302" spans="1:39" x14ac:dyDescent="0.3">
      <c r="A302" t="s">
        <v>30</v>
      </c>
      <c r="B302" s="28">
        <f t="shared" si="32"/>
        <v>44348</v>
      </c>
      <c r="C302">
        <v>2021</v>
      </c>
      <c r="D302" t="s">
        <v>38</v>
      </c>
      <c r="E302" t="str">
        <f t="shared" si="33"/>
        <v>Jun-21</v>
      </c>
      <c r="F302">
        <f>VLOOKUP(D302,'Problem Statement 4'!$G$2:$H$13,2,0)</f>
        <v>6</v>
      </c>
      <c r="G302">
        <v>145.6</v>
      </c>
      <c r="H302">
        <v>200.1</v>
      </c>
      <c r="I302">
        <v>179.3</v>
      </c>
      <c r="J302">
        <v>156.1</v>
      </c>
      <c r="K302">
        <v>190.4</v>
      </c>
      <c r="L302">
        <v>158.6</v>
      </c>
      <c r="M302">
        <v>144.69999999999999</v>
      </c>
      <c r="N302">
        <v>165.5</v>
      </c>
      <c r="O302">
        <v>114.6</v>
      </c>
      <c r="P302">
        <v>170</v>
      </c>
      <c r="Q302">
        <v>165.5</v>
      </c>
      <c r="R302">
        <v>171.7</v>
      </c>
      <c r="S302">
        <v>160.5</v>
      </c>
      <c r="T302">
        <v>189.1</v>
      </c>
      <c r="U302">
        <v>165.3</v>
      </c>
      <c r="V302">
        <v>159.9</v>
      </c>
      <c r="W302">
        <v>164.6</v>
      </c>
      <c r="X302">
        <v>160.5</v>
      </c>
      <c r="Y302">
        <v>162.1</v>
      </c>
      <c r="Z302">
        <v>159.19999999999999</v>
      </c>
      <c r="AA302">
        <v>169.7</v>
      </c>
      <c r="AB302">
        <v>154.19999999999999</v>
      </c>
      <c r="AC302">
        <v>160.4</v>
      </c>
      <c r="AD302">
        <v>166.8</v>
      </c>
      <c r="AE302">
        <v>159.4</v>
      </c>
      <c r="AF302">
        <v>161.5</v>
      </c>
      <c r="AG302">
        <v>162.1</v>
      </c>
      <c r="AH302">
        <f t="shared" si="34"/>
        <v>2122.6</v>
      </c>
      <c r="AI302">
        <f t="shared" si="35"/>
        <v>162.1</v>
      </c>
      <c r="AJ302">
        <f t="shared" si="36"/>
        <v>154.19999999999999</v>
      </c>
      <c r="AK302">
        <f t="shared" si="37"/>
        <v>166.8</v>
      </c>
      <c r="AL302">
        <f t="shared" si="38"/>
        <v>1649.6000000000001</v>
      </c>
      <c r="AM302" t="str">
        <f t="shared" si="39"/>
        <v>No</v>
      </c>
    </row>
    <row r="303" spans="1:39" x14ac:dyDescent="0.3">
      <c r="A303" t="s">
        <v>32</v>
      </c>
      <c r="B303" s="28">
        <f t="shared" si="32"/>
        <v>44348</v>
      </c>
      <c r="C303">
        <v>2021</v>
      </c>
      <c r="D303" t="s">
        <v>38</v>
      </c>
      <c r="E303" t="str">
        <f t="shared" si="33"/>
        <v>Jun-21</v>
      </c>
      <c r="F303">
        <f>VLOOKUP(D303,'Problem Statement 4'!$G$2:$H$13,2,0)</f>
        <v>6</v>
      </c>
      <c r="G303">
        <v>149.19999999999999</v>
      </c>
      <c r="H303">
        <v>205.5</v>
      </c>
      <c r="I303">
        <v>182.8</v>
      </c>
      <c r="J303">
        <v>156.5</v>
      </c>
      <c r="K303">
        <v>172.2</v>
      </c>
      <c r="L303">
        <v>171.5</v>
      </c>
      <c r="M303">
        <v>176.2</v>
      </c>
      <c r="N303">
        <v>166.9</v>
      </c>
      <c r="O303">
        <v>116.1</v>
      </c>
      <c r="P303">
        <v>165.5</v>
      </c>
      <c r="Q303">
        <v>152.30000000000001</v>
      </c>
      <c r="R303">
        <v>173.3</v>
      </c>
      <c r="S303">
        <v>166.2</v>
      </c>
      <c r="T303">
        <v>195.6</v>
      </c>
      <c r="U303">
        <v>157.30000000000001</v>
      </c>
      <c r="V303">
        <v>140.5</v>
      </c>
      <c r="W303">
        <v>154.80000000000001</v>
      </c>
      <c r="X303">
        <v>160.5</v>
      </c>
      <c r="Y303">
        <v>156.1</v>
      </c>
      <c r="Z303">
        <v>149.80000000000001</v>
      </c>
      <c r="AA303">
        <v>160.80000000000001</v>
      </c>
      <c r="AB303">
        <v>147.5</v>
      </c>
      <c r="AC303">
        <v>150.69999999999999</v>
      </c>
      <c r="AD303">
        <v>158.1</v>
      </c>
      <c r="AE303">
        <v>158</v>
      </c>
      <c r="AF303">
        <v>153.4</v>
      </c>
      <c r="AG303">
        <v>160.4</v>
      </c>
      <c r="AH303">
        <f t="shared" si="34"/>
        <v>2154.1999999999998</v>
      </c>
      <c r="AI303">
        <f t="shared" si="35"/>
        <v>156.1</v>
      </c>
      <c r="AJ303">
        <f t="shared" si="36"/>
        <v>147.5</v>
      </c>
      <c r="AK303">
        <f t="shared" si="37"/>
        <v>158.1</v>
      </c>
      <c r="AL303">
        <f t="shared" si="38"/>
        <v>1581.4</v>
      </c>
      <c r="AM303" t="str">
        <f t="shared" si="39"/>
        <v>Yes</v>
      </c>
    </row>
    <row r="304" spans="1:39" x14ac:dyDescent="0.3">
      <c r="A304" t="s">
        <v>33</v>
      </c>
      <c r="B304" s="28">
        <f t="shared" si="32"/>
        <v>44348</v>
      </c>
      <c r="C304">
        <v>2021</v>
      </c>
      <c r="D304" t="s">
        <v>38</v>
      </c>
      <c r="E304" t="str">
        <f t="shared" si="33"/>
        <v>Jun-21</v>
      </c>
      <c r="F304">
        <f>VLOOKUP(D304,'Problem Statement 4'!$G$2:$H$13,2,0)</f>
        <v>6</v>
      </c>
      <c r="G304">
        <v>146.69999999999999</v>
      </c>
      <c r="H304">
        <v>202</v>
      </c>
      <c r="I304">
        <v>180.7</v>
      </c>
      <c r="J304">
        <v>156.19999999999999</v>
      </c>
      <c r="K304">
        <v>183.7</v>
      </c>
      <c r="L304">
        <v>164.6</v>
      </c>
      <c r="M304">
        <v>155.4</v>
      </c>
      <c r="N304">
        <v>166</v>
      </c>
      <c r="O304">
        <v>115.1</v>
      </c>
      <c r="P304">
        <v>168.5</v>
      </c>
      <c r="Q304">
        <v>160</v>
      </c>
      <c r="R304">
        <v>172.4</v>
      </c>
      <c r="S304">
        <v>162.6</v>
      </c>
      <c r="T304">
        <v>190.8</v>
      </c>
      <c r="U304">
        <v>162.19999999999999</v>
      </c>
      <c r="V304">
        <v>151.80000000000001</v>
      </c>
      <c r="W304">
        <v>160.69999999999999</v>
      </c>
      <c r="X304">
        <v>160.5</v>
      </c>
      <c r="Y304">
        <v>159.80000000000001</v>
      </c>
      <c r="Z304">
        <v>154.80000000000001</v>
      </c>
      <c r="AA304">
        <v>166.3</v>
      </c>
      <c r="AB304">
        <v>150.69999999999999</v>
      </c>
      <c r="AC304">
        <v>154.9</v>
      </c>
      <c r="AD304">
        <v>161.69999999999999</v>
      </c>
      <c r="AE304">
        <v>158.80000000000001</v>
      </c>
      <c r="AF304">
        <v>157.6</v>
      </c>
      <c r="AG304">
        <v>161.30000000000001</v>
      </c>
      <c r="AH304">
        <f t="shared" si="34"/>
        <v>2133.9</v>
      </c>
      <c r="AI304">
        <f t="shared" si="35"/>
        <v>159.80000000000001</v>
      </c>
      <c r="AJ304">
        <f t="shared" si="36"/>
        <v>150.69999999999999</v>
      </c>
      <c r="AK304">
        <f t="shared" si="37"/>
        <v>161.69999999999999</v>
      </c>
      <c r="AL304">
        <f t="shared" si="38"/>
        <v>1618.3999999999999</v>
      </c>
      <c r="AM304" t="str">
        <f t="shared" si="39"/>
        <v>Yes</v>
      </c>
    </row>
    <row r="305" spans="1:39" x14ac:dyDescent="0.3">
      <c r="A305" t="s">
        <v>30</v>
      </c>
      <c r="B305" s="28">
        <f t="shared" si="32"/>
        <v>44378</v>
      </c>
      <c r="C305">
        <v>2021</v>
      </c>
      <c r="D305" t="s">
        <v>39</v>
      </c>
      <c r="E305" t="str">
        <f t="shared" si="33"/>
        <v>Jul-21</v>
      </c>
      <c r="F305">
        <f>VLOOKUP(D305,'Problem Statement 4'!$G$2:$H$13,2,0)</f>
        <v>7</v>
      </c>
      <c r="G305">
        <v>145.1</v>
      </c>
      <c r="H305">
        <v>204.5</v>
      </c>
      <c r="I305">
        <v>180.4</v>
      </c>
      <c r="J305">
        <v>157.1</v>
      </c>
      <c r="K305">
        <v>188.7</v>
      </c>
      <c r="L305">
        <v>157.69999999999999</v>
      </c>
      <c r="M305">
        <v>152.80000000000001</v>
      </c>
      <c r="N305">
        <v>163.6</v>
      </c>
      <c r="O305">
        <v>113.9</v>
      </c>
      <c r="P305">
        <v>169.7</v>
      </c>
      <c r="Q305">
        <v>166.2</v>
      </c>
      <c r="R305">
        <v>171</v>
      </c>
      <c r="S305">
        <v>161.69999999999999</v>
      </c>
      <c r="T305">
        <v>189.7</v>
      </c>
      <c r="U305">
        <v>166</v>
      </c>
      <c r="V305">
        <v>161.1</v>
      </c>
      <c r="W305">
        <v>165.3</v>
      </c>
      <c r="X305">
        <v>161.5</v>
      </c>
      <c r="Y305">
        <v>162.5</v>
      </c>
      <c r="Z305">
        <v>160.30000000000001</v>
      </c>
      <c r="AA305">
        <v>170.4</v>
      </c>
      <c r="AB305">
        <v>157.1</v>
      </c>
      <c r="AC305">
        <v>160.69999999999999</v>
      </c>
      <c r="AD305">
        <v>167.2</v>
      </c>
      <c r="AE305">
        <v>160.4</v>
      </c>
      <c r="AF305">
        <v>162.80000000000001</v>
      </c>
      <c r="AG305">
        <v>163.19999999999999</v>
      </c>
      <c r="AH305">
        <f t="shared" si="34"/>
        <v>2132.4</v>
      </c>
      <c r="AI305">
        <f t="shared" si="35"/>
        <v>162.5</v>
      </c>
      <c r="AJ305">
        <f t="shared" si="36"/>
        <v>157.1</v>
      </c>
      <c r="AK305">
        <f t="shared" si="37"/>
        <v>167.2</v>
      </c>
      <c r="AL305">
        <f t="shared" si="38"/>
        <v>1658.2</v>
      </c>
      <c r="AM305" t="str">
        <f t="shared" si="39"/>
        <v>Yes</v>
      </c>
    </row>
    <row r="306" spans="1:39" x14ac:dyDescent="0.3">
      <c r="A306" t="s">
        <v>32</v>
      </c>
      <c r="B306" s="28">
        <f t="shared" si="32"/>
        <v>44378</v>
      </c>
      <c r="C306">
        <v>2021</v>
      </c>
      <c r="D306" t="s">
        <v>39</v>
      </c>
      <c r="E306" t="str">
        <f t="shared" si="33"/>
        <v>Jul-21</v>
      </c>
      <c r="F306">
        <f>VLOOKUP(D306,'Problem Statement 4'!$G$2:$H$13,2,0)</f>
        <v>7</v>
      </c>
      <c r="G306">
        <v>149.1</v>
      </c>
      <c r="H306">
        <v>210.9</v>
      </c>
      <c r="I306">
        <v>185</v>
      </c>
      <c r="J306">
        <v>158.19999999999999</v>
      </c>
      <c r="K306">
        <v>170.6</v>
      </c>
      <c r="L306">
        <v>170.9</v>
      </c>
      <c r="M306">
        <v>186.4</v>
      </c>
      <c r="N306">
        <v>164.7</v>
      </c>
      <c r="O306">
        <v>115.7</v>
      </c>
      <c r="P306">
        <v>165.5</v>
      </c>
      <c r="Q306">
        <v>153.4</v>
      </c>
      <c r="R306">
        <v>173.5</v>
      </c>
      <c r="S306">
        <v>167.9</v>
      </c>
      <c r="T306">
        <v>195.5</v>
      </c>
      <c r="U306">
        <v>157.9</v>
      </c>
      <c r="V306">
        <v>141.9</v>
      </c>
      <c r="W306">
        <v>155.5</v>
      </c>
      <c r="X306">
        <v>161.5</v>
      </c>
      <c r="Y306">
        <v>157.69999999999999</v>
      </c>
      <c r="Z306">
        <v>150.69999999999999</v>
      </c>
      <c r="AA306">
        <v>161.5</v>
      </c>
      <c r="AB306">
        <v>149.5</v>
      </c>
      <c r="AC306">
        <v>151.19999999999999</v>
      </c>
      <c r="AD306">
        <v>160.30000000000001</v>
      </c>
      <c r="AE306">
        <v>159.6</v>
      </c>
      <c r="AF306">
        <v>155</v>
      </c>
      <c r="AG306">
        <v>161.80000000000001</v>
      </c>
      <c r="AH306">
        <f t="shared" si="34"/>
        <v>2171.8000000000002</v>
      </c>
      <c r="AI306">
        <f t="shared" si="35"/>
        <v>157.69999999999999</v>
      </c>
      <c r="AJ306">
        <f t="shared" si="36"/>
        <v>149.5</v>
      </c>
      <c r="AK306">
        <f t="shared" si="37"/>
        <v>160.30000000000001</v>
      </c>
      <c r="AL306">
        <f t="shared" si="38"/>
        <v>1590.3</v>
      </c>
      <c r="AM306" t="str">
        <f t="shared" si="39"/>
        <v>Yes</v>
      </c>
    </row>
    <row r="307" spans="1:39" x14ac:dyDescent="0.3">
      <c r="A307" t="s">
        <v>33</v>
      </c>
      <c r="B307" s="28">
        <f t="shared" si="32"/>
        <v>44378</v>
      </c>
      <c r="C307">
        <v>2021</v>
      </c>
      <c r="D307" t="s">
        <v>39</v>
      </c>
      <c r="E307" t="str">
        <f t="shared" si="33"/>
        <v>Jul-21</v>
      </c>
      <c r="F307">
        <f>VLOOKUP(D307,'Problem Statement 4'!$G$2:$H$13,2,0)</f>
        <v>7</v>
      </c>
      <c r="G307">
        <v>146.4</v>
      </c>
      <c r="H307">
        <v>206.8</v>
      </c>
      <c r="I307">
        <v>182.2</v>
      </c>
      <c r="J307">
        <v>157.5</v>
      </c>
      <c r="K307">
        <v>182.1</v>
      </c>
      <c r="L307">
        <v>163.9</v>
      </c>
      <c r="M307">
        <v>164.2</v>
      </c>
      <c r="N307">
        <v>164</v>
      </c>
      <c r="O307">
        <v>114.5</v>
      </c>
      <c r="P307">
        <v>168.3</v>
      </c>
      <c r="Q307">
        <v>160.9</v>
      </c>
      <c r="R307">
        <v>172.2</v>
      </c>
      <c r="S307">
        <v>164</v>
      </c>
      <c r="T307">
        <v>191.2</v>
      </c>
      <c r="U307">
        <v>162.80000000000001</v>
      </c>
      <c r="V307">
        <v>153.1</v>
      </c>
      <c r="W307">
        <v>161.4</v>
      </c>
      <c r="X307">
        <v>161.5</v>
      </c>
      <c r="Y307">
        <v>160.69999999999999</v>
      </c>
      <c r="Z307">
        <v>155.80000000000001</v>
      </c>
      <c r="AA307">
        <v>167</v>
      </c>
      <c r="AB307">
        <v>153.1</v>
      </c>
      <c r="AC307">
        <v>155.30000000000001</v>
      </c>
      <c r="AD307">
        <v>163.19999999999999</v>
      </c>
      <c r="AE307">
        <v>160.1</v>
      </c>
      <c r="AF307">
        <v>159</v>
      </c>
      <c r="AG307">
        <v>162.5</v>
      </c>
      <c r="AH307">
        <f t="shared" si="34"/>
        <v>2147</v>
      </c>
      <c r="AI307">
        <f t="shared" si="35"/>
        <v>160.69999999999999</v>
      </c>
      <c r="AJ307">
        <f t="shared" si="36"/>
        <v>153.1</v>
      </c>
      <c r="AK307">
        <f t="shared" si="37"/>
        <v>163.19999999999999</v>
      </c>
      <c r="AL307">
        <f t="shared" si="38"/>
        <v>1627.1999999999998</v>
      </c>
      <c r="AM307" t="str">
        <f t="shared" si="39"/>
        <v>Yes</v>
      </c>
    </row>
    <row r="308" spans="1:39" x14ac:dyDescent="0.3">
      <c r="A308" t="s">
        <v>30</v>
      </c>
      <c r="B308" s="28">
        <f t="shared" si="32"/>
        <v>44409</v>
      </c>
      <c r="C308">
        <v>2021</v>
      </c>
      <c r="D308" t="s">
        <v>40</v>
      </c>
      <c r="E308" t="str">
        <f t="shared" si="33"/>
        <v>Aug-21</v>
      </c>
      <c r="F308">
        <f>VLOOKUP(D308,'Problem Statement 4'!$G$2:$H$13,2,0)</f>
        <v>8</v>
      </c>
      <c r="G308">
        <v>144.9</v>
      </c>
      <c r="H308">
        <v>202.3</v>
      </c>
      <c r="I308">
        <v>176.5</v>
      </c>
      <c r="J308">
        <v>157.5</v>
      </c>
      <c r="K308">
        <v>190.9</v>
      </c>
      <c r="L308">
        <v>155.69999999999999</v>
      </c>
      <c r="M308">
        <v>153.9</v>
      </c>
      <c r="N308">
        <v>162.80000000000001</v>
      </c>
      <c r="O308">
        <v>115.2</v>
      </c>
      <c r="P308">
        <v>169.8</v>
      </c>
      <c r="Q308">
        <v>167.6</v>
      </c>
      <c r="R308">
        <v>171.9</v>
      </c>
      <c r="S308">
        <v>161.80000000000001</v>
      </c>
      <c r="T308">
        <v>190.2</v>
      </c>
      <c r="U308">
        <v>167</v>
      </c>
      <c r="V308">
        <v>162.6</v>
      </c>
      <c r="W308">
        <v>166.3</v>
      </c>
      <c r="X308">
        <v>162.1</v>
      </c>
      <c r="Y308">
        <v>163.1</v>
      </c>
      <c r="Z308">
        <v>160.9</v>
      </c>
      <c r="AA308">
        <v>171.1</v>
      </c>
      <c r="AB308">
        <v>157.69999999999999</v>
      </c>
      <c r="AC308">
        <v>161.1</v>
      </c>
      <c r="AD308">
        <v>167.5</v>
      </c>
      <c r="AE308">
        <v>160.30000000000001</v>
      </c>
      <c r="AF308">
        <v>163.30000000000001</v>
      </c>
      <c r="AG308">
        <v>163.6</v>
      </c>
      <c r="AH308">
        <f t="shared" si="34"/>
        <v>2130.8000000000002</v>
      </c>
      <c r="AI308">
        <f t="shared" si="35"/>
        <v>163.1</v>
      </c>
      <c r="AJ308">
        <f t="shared" si="36"/>
        <v>157.69999999999999</v>
      </c>
      <c r="AK308">
        <f t="shared" si="37"/>
        <v>167.5</v>
      </c>
      <c r="AL308">
        <f t="shared" si="38"/>
        <v>1664.8999999999996</v>
      </c>
      <c r="AM308" t="str">
        <f t="shared" si="39"/>
        <v>Yes</v>
      </c>
    </row>
    <row r="309" spans="1:39" x14ac:dyDescent="0.3">
      <c r="A309" t="s">
        <v>32</v>
      </c>
      <c r="B309" s="28">
        <f t="shared" si="32"/>
        <v>44409</v>
      </c>
      <c r="C309">
        <v>2021</v>
      </c>
      <c r="D309" t="s">
        <v>40</v>
      </c>
      <c r="E309" t="str">
        <f t="shared" si="33"/>
        <v>Aug-21</v>
      </c>
      <c r="F309">
        <f>VLOOKUP(D309,'Problem Statement 4'!$G$2:$H$13,2,0)</f>
        <v>8</v>
      </c>
      <c r="G309">
        <v>149.30000000000001</v>
      </c>
      <c r="H309">
        <v>207.4</v>
      </c>
      <c r="I309">
        <v>174.1</v>
      </c>
      <c r="J309">
        <v>159.19999999999999</v>
      </c>
      <c r="K309">
        <v>175</v>
      </c>
      <c r="L309">
        <v>161.30000000000001</v>
      </c>
      <c r="M309">
        <v>183.3</v>
      </c>
      <c r="N309">
        <v>164.5</v>
      </c>
      <c r="O309">
        <v>120.4</v>
      </c>
      <c r="P309">
        <v>166.2</v>
      </c>
      <c r="Q309">
        <v>154.80000000000001</v>
      </c>
      <c r="R309">
        <v>175.1</v>
      </c>
      <c r="S309">
        <v>167.3</v>
      </c>
      <c r="T309">
        <v>196.5</v>
      </c>
      <c r="U309">
        <v>159.80000000000001</v>
      </c>
      <c r="V309">
        <v>143.6</v>
      </c>
      <c r="W309">
        <v>157.30000000000001</v>
      </c>
      <c r="X309">
        <v>162.1</v>
      </c>
      <c r="Y309">
        <v>160.69999999999999</v>
      </c>
      <c r="Z309">
        <v>153.19999999999999</v>
      </c>
      <c r="AA309">
        <v>162.80000000000001</v>
      </c>
      <c r="AB309">
        <v>150.4</v>
      </c>
      <c r="AC309">
        <v>153.69999999999999</v>
      </c>
      <c r="AD309">
        <v>160.4</v>
      </c>
      <c r="AE309">
        <v>159.6</v>
      </c>
      <c r="AF309">
        <v>156</v>
      </c>
      <c r="AG309">
        <v>162.30000000000001</v>
      </c>
      <c r="AH309">
        <f t="shared" si="34"/>
        <v>2157.9</v>
      </c>
      <c r="AI309">
        <f t="shared" si="35"/>
        <v>160.69999999999999</v>
      </c>
      <c r="AJ309">
        <f t="shared" si="36"/>
        <v>150.4</v>
      </c>
      <c r="AK309">
        <f t="shared" si="37"/>
        <v>160.4</v>
      </c>
      <c r="AL309">
        <f t="shared" si="38"/>
        <v>1604.6</v>
      </c>
      <c r="AM309" t="str">
        <f t="shared" si="39"/>
        <v>Yes</v>
      </c>
    </row>
    <row r="310" spans="1:39" x14ac:dyDescent="0.3">
      <c r="A310" t="s">
        <v>33</v>
      </c>
      <c r="B310" s="28">
        <f t="shared" si="32"/>
        <v>44409</v>
      </c>
      <c r="C310">
        <v>2021</v>
      </c>
      <c r="D310" t="s">
        <v>40</v>
      </c>
      <c r="E310" t="str">
        <f t="shared" si="33"/>
        <v>Aug-21</v>
      </c>
      <c r="F310">
        <f>VLOOKUP(D310,'Problem Statement 4'!$G$2:$H$13,2,0)</f>
        <v>8</v>
      </c>
      <c r="G310">
        <v>146.6</v>
      </c>
      <c r="H310">
        <v>204</v>
      </c>
      <c r="I310">
        <v>172.8</v>
      </c>
      <c r="J310">
        <v>158.4</v>
      </c>
      <c r="K310">
        <v>188</v>
      </c>
      <c r="L310">
        <v>156.80000000000001</v>
      </c>
      <c r="M310">
        <v>162.19999999999999</v>
      </c>
      <c r="N310">
        <v>164.1</v>
      </c>
      <c r="O310">
        <v>119.7</v>
      </c>
      <c r="P310">
        <v>168.8</v>
      </c>
      <c r="Q310">
        <v>162.69999999999999</v>
      </c>
      <c r="R310">
        <v>173.9</v>
      </c>
      <c r="S310">
        <v>164</v>
      </c>
      <c r="T310">
        <v>192.1</v>
      </c>
      <c r="U310">
        <v>164.5</v>
      </c>
      <c r="V310">
        <v>155.30000000000001</v>
      </c>
      <c r="W310">
        <v>163.19999999999999</v>
      </c>
      <c r="X310">
        <v>162.1</v>
      </c>
      <c r="Y310">
        <v>162.6</v>
      </c>
      <c r="Z310">
        <v>157.5</v>
      </c>
      <c r="AA310">
        <v>168.4</v>
      </c>
      <c r="AB310">
        <v>154</v>
      </c>
      <c r="AC310">
        <v>157.6</v>
      </c>
      <c r="AD310">
        <v>163.80000000000001</v>
      </c>
      <c r="AE310">
        <v>160</v>
      </c>
      <c r="AF310">
        <v>160</v>
      </c>
      <c r="AG310">
        <v>163.19999999999999</v>
      </c>
      <c r="AH310">
        <f t="shared" si="34"/>
        <v>2142</v>
      </c>
      <c r="AI310">
        <f t="shared" si="35"/>
        <v>162.6</v>
      </c>
      <c r="AJ310">
        <f t="shared" si="36"/>
        <v>154</v>
      </c>
      <c r="AK310">
        <f t="shared" si="37"/>
        <v>163.80000000000001</v>
      </c>
      <c r="AL310">
        <f t="shared" si="38"/>
        <v>1640.7</v>
      </c>
      <c r="AM310" t="str">
        <f t="shared" si="39"/>
        <v>Yes</v>
      </c>
    </row>
    <row r="311" spans="1:39" x14ac:dyDescent="0.3">
      <c r="A311" t="s">
        <v>30</v>
      </c>
      <c r="B311" s="28">
        <f t="shared" si="32"/>
        <v>44440</v>
      </c>
      <c r="C311">
        <v>2021</v>
      </c>
      <c r="D311" t="s">
        <v>41</v>
      </c>
      <c r="E311" t="str">
        <f t="shared" si="33"/>
        <v>Sep-21</v>
      </c>
      <c r="F311">
        <f>VLOOKUP(D311,'Problem Statement 4'!$G$2:$H$13,2,0)</f>
        <v>9</v>
      </c>
      <c r="G311">
        <v>145.4</v>
      </c>
      <c r="H311">
        <v>202.1</v>
      </c>
      <c r="I311">
        <v>172</v>
      </c>
      <c r="J311">
        <v>158</v>
      </c>
      <c r="K311">
        <v>195.5</v>
      </c>
      <c r="L311">
        <v>152.69999999999999</v>
      </c>
      <c r="M311">
        <v>151.4</v>
      </c>
      <c r="N311">
        <v>163.9</v>
      </c>
      <c r="O311">
        <v>119.3</v>
      </c>
      <c r="P311">
        <v>170.1</v>
      </c>
      <c r="Q311">
        <v>168.3</v>
      </c>
      <c r="R311">
        <v>172.8</v>
      </c>
      <c r="S311">
        <v>162.1</v>
      </c>
      <c r="T311">
        <v>190.5</v>
      </c>
      <c r="U311">
        <v>167.7</v>
      </c>
      <c r="V311">
        <v>163.6</v>
      </c>
      <c r="W311">
        <v>167.1</v>
      </c>
      <c r="X311">
        <v>162.1</v>
      </c>
      <c r="Y311">
        <v>163.69999999999999</v>
      </c>
      <c r="Z311">
        <v>161.30000000000001</v>
      </c>
      <c r="AA311">
        <v>171.9</v>
      </c>
      <c r="AB311">
        <v>157.80000000000001</v>
      </c>
      <c r="AC311">
        <v>162.69999999999999</v>
      </c>
      <c r="AD311">
        <v>168.5</v>
      </c>
      <c r="AE311">
        <v>160.19999999999999</v>
      </c>
      <c r="AF311">
        <v>163.80000000000001</v>
      </c>
      <c r="AG311">
        <v>164</v>
      </c>
      <c r="AH311">
        <f t="shared" si="34"/>
        <v>2133.6</v>
      </c>
      <c r="AI311">
        <f t="shared" si="35"/>
        <v>163.69999999999999</v>
      </c>
      <c r="AJ311">
        <f t="shared" si="36"/>
        <v>157.80000000000001</v>
      </c>
      <c r="AK311">
        <f t="shared" si="37"/>
        <v>168.5</v>
      </c>
      <c r="AL311">
        <f t="shared" si="38"/>
        <v>1670.9</v>
      </c>
      <c r="AM311" t="str">
        <f t="shared" si="39"/>
        <v>Yes</v>
      </c>
    </row>
    <row r="312" spans="1:39" x14ac:dyDescent="0.3">
      <c r="A312" t="s">
        <v>32</v>
      </c>
      <c r="B312" s="28">
        <f t="shared" si="32"/>
        <v>44440</v>
      </c>
      <c r="C312">
        <v>2021</v>
      </c>
      <c r="D312" t="s">
        <v>41</v>
      </c>
      <c r="E312" t="str">
        <f t="shared" si="33"/>
        <v>Sep-21</v>
      </c>
      <c r="F312">
        <f>VLOOKUP(D312,'Problem Statement 4'!$G$2:$H$13,2,0)</f>
        <v>9</v>
      </c>
      <c r="G312">
        <v>149.30000000000001</v>
      </c>
      <c r="H312">
        <v>207.4</v>
      </c>
      <c r="I312">
        <v>174.1</v>
      </c>
      <c r="J312">
        <v>159.1</v>
      </c>
      <c r="K312">
        <v>175</v>
      </c>
      <c r="L312">
        <v>161.19999999999999</v>
      </c>
      <c r="M312">
        <v>183.5</v>
      </c>
      <c r="N312">
        <v>164.5</v>
      </c>
      <c r="O312">
        <v>120.4</v>
      </c>
      <c r="P312">
        <v>166.2</v>
      </c>
      <c r="Q312">
        <v>154.80000000000001</v>
      </c>
      <c r="R312">
        <v>175.1</v>
      </c>
      <c r="S312">
        <v>167.3</v>
      </c>
      <c r="T312">
        <v>196.5</v>
      </c>
      <c r="U312">
        <v>159.80000000000001</v>
      </c>
      <c r="V312">
        <v>143.6</v>
      </c>
      <c r="W312">
        <v>157.4</v>
      </c>
      <c r="X312">
        <v>162.1</v>
      </c>
      <c r="Y312">
        <v>160.80000000000001</v>
      </c>
      <c r="Z312">
        <v>153.30000000000001</v>
      </c>
      <c r="AA312">
        <v>162.80000000000001</v>
      </c>
      <c r="AB312">
        <v>150.5</v>
      </c>
      <c r="AC312">
        <v>153.9</v>
      </c>
      <c r="AD312">
        <v>160.30000000000001</v>
      </c>
      <c r="AE312">
        <v>159.6</v>
      </c>
      <c r="AF312">
        <v>156</v>
      </c>
      <c r="AG312">
        <v>162.30000000000001</v>
      </c>
      <c r="AH312">
        <f t="shared" si="34"/>
        <v>2157.9</v>
      </c>
      <c r="AI312">
        <f t="shared" si="35"/>
        <v>160.80000000000001</v>
      </c>
      <c r="AJ312">
        <f t="shared" si="36"/>
        <v>150.5</v>
      </c>
      <c r="AK312">
        <f t="shared" si="37"/>
        <v>160.30000000000001</v>
      </c>
      <c r="AL312">
        <f t="shared" si="38"/>
        <v>1605</v>
      </c>
      <c r="AM312" t="str">
        <f t="shared" si="39"/>
        <v>Yes</v>
      </c>
    </row>
    <row r="313" spans="1:39" x14ac:dyDescent="0.3">
      <c r="A313" t="s">
        <v>33</v>
      </c>
      <c r="B313" s="28">
        <f t="shared" si="32"/>
        <v>44440</v>
      </c>
      <c r="C313">
        <v>2021</v>
      </c>
      <c r="D313" t="s">
        <v>41</v>
      </c>
      <c r="E313" t="str">
        <f t="shared" si="33"/>
        <v>Sep-21</v>
      </c>
      <c r="F313">
        <f>VLOOKUP(D313,'Problem Statement 4'!$G$2:$H$13,2,0)</f>
        <v>9</v>
      </c>
      <c r="G313">
        <v>146.6</v>
      </c>
      <c r="H313">
        <v>204</v>
      </c>
      <c r="I313">
        <v>172.8</v>
      </c>
      <c r="J313">
        <v>158.4</v>
      </c>
      <c r="K313">
        <v>188</v>
      </c>
      <c r="L313">
        <v>156.69999999999999</v>
      </c>
      <c r="M313">
        <v>162.30000000000001</v>
      </c>
      <c r="N313">
        <v>164.1</v>
      </c>
      <c r="O313">
        <v>119.7</v>
      </c>
      <c r="P313">
        <v>168.8</v>
      </c>
      <c r="Q313">
        <v>162.69999999999999</v>
      </c>
      <c r="R313">
        <v>173.9</v>
      </c>
      <c r="S313">
        <v>164</v>
      </c>
      <c r="T313">
        <v>192.1</v>
      </c>
      <c r="U313">
        <v>164.6</v>
      </c>
      <c r="V313">
        <v>155.30000000000001</v>
      </c>
      <c r="W313">
        <v>163.30000000000001</v>
      </c>
      <c r="X313">
        <v>162.1</v>
      </c>
      <c r="Y313">
        <v>162.6</v>
      </c>
      <c r="Z313">
        <v>157.5</v>
      </c>
      <c r="AA313">
        <v>168.4</v>
      </c>
      <c r="AB313">
        <v>154</v>
      </c>
      <c r="AC313">
        <v>157.69999999999999</v>
      </c>
      <c r="AD313">
        <v>163.69999999999999</v>
      </c>
      <c r="AE313">
        <v>160</v>
      </c>
      <c r="AF313">
        <v>160</v>
      </c>
      <c r="AG313">
        <v>163.19999999999999</v>
      </c>
      <c r="AH313">
        <f t="shared" si="34"/>
        <v>2142</v>
      </c>
      <c r="AI313">
        <f t="shared" si="35"/>
        <v>162.6</v>
      </c>
      <c r="AJ313">
        <f t="shared" si="36"/>
        <v>154</v>
      </c>
      <c r="AK313">
        <f t="shared" si="37"/>
        <v>163.69999999999999</v>
      </c>
      <c r="AL313">
        <f t="shared" si="38"/>
        <v>1641</v>
      </c>
      <c r="AM313" t="str">
        <f t="shared" si="39"/>
        <v>Yes</v>
      </c>
    </row>
    <row r="314" spans="1:39" x14ac:dyDescent="0.3">
      <c r="A314" t="s">
        <v>30</v>
      </c>
      <c r="B314" s="28">
        <f t="shared" si="32"/>
        <v>44470</v>
      </c>
      <c r="C314">
        <v>2021</v>
      </c>
      <c r="D314" t="s">
        <v>42</v>
      </c>
      <c r="E314" t="str">
        <f t="shared" si="33"/>
        <v>Oct-21</v>
      </c>
      <c r="F314">
        <f>VLOOKUP(D314,'Problem Statement 4'!$G$2:$H$13,2,0)</f>
        <v>10</v>
      </c>
      <c r="G314">
        <v>146.1</v>
      </c>
      <c r="H314">
        <v>202.5</v>
      </c>
      <c r="I314">
        <v>170.1</v>
      </c>
      <c r="J314">
        <v>158.4</v>
      </c>
      <c r="K314">
        <v>198.8</v>
      </c>
      <c r="L314">
        <v>152.6</v>
      </c>
      <c r="M314">
        <v>170.4</v>
      </c>
      <c r="N314">
        <v>165.2</v>
      </c>
      <c r="O314">
        <v>121.6</v>
      </c>
      <c r="P314">
        <v>170.6</v>
      </c>
      <c r="Q314">
        <v>168.8</v>
      </c>
      <c r="R314">
        <v>173.6</v>
      </c>
      <c r="S314">
        <v>165.5</v>
      </c>
      <c r="T314">
        <v>191.2</v>
      </c>
      <c r="U314">
        <v>168.9</v>
      </c>
      <c r="V314">
        <v>164.8</v>
      </c>
      <c r="W314">
        <v>168.3</v>
      </c>
      <c r="X314">
        <v>163.6</v>
      </c>
      <c r="Y314">
        <v>165.5</v>
      </c>
      <c r="Z314">
        <v>162</v>
      </c>
      <c r="AA314">
        <v>172.5</v>
      </c>
      <c r="AB314">
        <v>159.5</v>
      </c>
      <c r="AC314">
        <v>163.19999999999999</v>
      </c>
      <c r="AD314">
        <v>169</v>
      </c>
      <c r="AE314">
        <v>161.1</v>
      </c>
      <c r="AF314">
        <v>164.7</v>
      </c>
      <c r="AG314">
        <v>166.3</v>
      </c>
      <c r="AH314">
        <f t="shared" si="34"/>
        <v>2164.1999999999998</v>
      </c>
      <c r="AI314">
        <f t="shared" si="35"/>
        <v>165.5</v>
      </c>
      <c r="AJ314">
        <f t="shared" si="36"/>
        <v>159.5</v>
      </c>
      <c r="AK314">
        <f t="shared" si="37"/>
        <v>169</v>
      </c>
      <c r="AL314">
        <f t="shared" si="38"/>
        <v>1680.3000000000002</v>
      </c>
      <c r="AM314" t="str">
        <f t="shared" si="39"/>
        <v>Yes</v>
      </c>
    </row>
    <row r="315" spans="1:39" x14ac:dyDescent="0.3">
      <c r="A315" t="s">
        <v>32</v>
      </c>
      <c r="B315" s="28">
        <f t="shared" si="32"/>
        <v>44470</v>
      </c>
      <c r="C315">
        <v>2021</v>
      </c>
      <c r="D315" t="s">
        <v>42</v>
      </c>
      <c r="E315" t="str">
        <f t="shared" si="33"/>
        <v>Oct-21</v>
      </c>
      <c r="F315">
        <f>VLOOKUP(D315,'Problem Statement 4'!$G$2:$H$13,2,0)</f>
        <v>10</v>
      </c>
      <c r="G315">
        <v>150.1</v>
      </c>
      <c r="H315">
        <v>208.4</v>
      </c>
      <c r="I315">
        <v>173</v>
      </c>
      <c r="J315">
        <v>159.19999999999999</v>
      </c>
      <c r="K315">
        <v>176.6</v>
      </c>
      <c r="L315">
        <v>159.30000000000001</v>
      </c>
      <c r="M315">
        <v>214.4</v>
      </c>
      <c r="N315">
        <v>165.3</v>
      </c>
      <c r="O315">
        <v>122.5</v>
      </c>
      <c r="P315">
        <v>166.8</v>
      </c>
      <c r="Q315">
        <v>155.4</v>
      </c>
      <c r="R315">
        <v>175.9</v>
      </c>
      <c r="S315">
        <v>171.5</v>
      </c>
      <c r="T315">
        <v>197</v>
      </c>
      <c r="U315">
        <v>160.80000000000001</v>
      </c>
      <c r="V315">
        <v>144.4</v>
      </c>
      <c r="W315">
        <v>158.30000000000001</v>
      </c>
      <c r="X315">
        <v>163.6</v>
      </c>
      <c r="Y315">
        <v>162.19999999999999</v>
      </c>
      <c r="Z315">
        <v>154.30000000000001</v>
      </c>
      <c r="AA315">
        <v>163.5</v>
      </c>
      <c r="AB315">
        <v>152.19999999999999</v>
      </c>
      <c r="AC315">
        <v>155.1</v>
      </c>
      <c r="AD315">
        <v>160.30000000000001</v>
      </c>
      <c r="AE315">
        <v>160.30000000000001</v>
      </c>
      <c r="AF315">
        <v>157</v>
      </c>
      <c r="AG315">
        <v>164.6</v>
      </c>
      <c r="AH315">
        <f t="shared" si="34"/>
        <v>2198.4000000000005</v>
      </c>
      <c r="AI315">
        <f t="shared" si="35"/>
        <v>162.19999999999999</v>
      </c>
      <c r="AJ315">
        <f t="shared" si="36"/>
        <v>152.19999999999999</v>
      </c>
      <c r="AK315">
        <f t="shared" si="37"/>
        <v>160.30000000000001</v>
      </c>
      <c r="AL315">
        <f t="shared" si="38"/>
        <v>1614.3</v>
      </c>
      <c r="AM315" t="str">
        <f t="shared" si="39"/>
        <v>Yes</v>
      </c>
    </row>
    <row r="316" spans="1:39" x14ac:dyDescent="0.3">
      <c r="A316" t="s">
        <v>33</v>
      </c>
      <c r="B316" s="28">
        <f t="shared" si="32"/>
        <v>44470</v>
      </c>
      <c r="C316">
        <v>2021</v>
      </c>
      <c r="D316" t="s">
        <v>42</v>
      </c>
      <c r="E316" t="str">
        <f t="shared" si="33"/>
        <v>Oct-21</v>
      </c>
      <c r="F316">
        <f>VLOOKUP(D316,'Problem Statement 4'!$G$2:$H$13,2,0)</f>
        <v>10</v>
      </c>
      <c r="G316">
        <v>147.4</v>
      </c>
      <c r="H316">
        <v>204.6</v>
      </c>
      <c r="I316">
        <v>171.2</v>
      </c>
      <c r="J316">
        <v>158.69999999999999</v>
      </c>
      <c r="K316">
        <v>190.6</v>
      </c>
      <c r="L316">
        <v>155.69999999999999</v>
      </c>
      <c r="M316">
        <v>185.3</v>
      </c>
      <c r="N316">
        <v>165.2</v>
      </c>
      <c r="O316">
        <v>121.9</v>
      </c>
      <c r="P316">
        <v>169.3</v>
      </c>
      <c r="Q316">
        <v>163.19999999999999</v>
      </c>
      <c r="R316">
        <v>174.7</v>
      </c>
      <c r="S316">
        <v>167.7</v>
      </c>
      <c r="T316">
        <v>192.7</v>
      </c>
      <c r="U316">
        <v>165.7</v>
      </c>
      <c r="V316">
        <v>156.30000000000001</v>
      </c>
      <c r="W316">
        <v>164.3</v>
      </c>
      <c r="X316">
        <v>163.6</v>
      </c>
      <c r="Y316">
        <v>164.2</v>
      </c>
      <c r="Z316">
        <v>158.4</v>
      </c>
      <c r="AA316">
        <v>169.1</v>
      </c>
      <c r="AB316">
        <v>155.69999999999999</v>
      </c>
      <c r="AC316">
        <v>158.6</v>
      </c>
      <c r="AD316">
        <v>163.9</v>
      </c>
      <c r="AE316">
        <v>160.80000000000001</v>
      </c>
      <c r="AF316">
        <v>161</v>
      </c>
      <c r="AG316">
        <v>165.5</v>
      </c>
      <c r="AH316">
        <f t="shared" si="34"/>
        <v>2175.5</v>
      </c>
      <c r="AI316">
        <f t="shared" si="35"/>
        <v>164.2</v>
      </c>
      <c r="AJ316">
        <f t="shared" si="36"/>
        <v>155.69999999999999</v>
      </c>
      <c r="AK316">
        <f t="shared" si="37"/>
        <v>163.9</v>
      </c>
      <c r="AL316">
        <f t="shared" si="38"/>
        <v>1650.4999999999998</v>
      </c>
      <c r="AM316" t="str">
        <f t="shared" si="39"/>
        <v>Yes</v>
      </c>
    </row>
    <row r="317" spans="1:39" x14ac:dyDescent="0.3">
      <c r="A317" t="s">
        <v>30</v>
      </c>
      <c r="B317" s="28">
        <f t="shared" si="32"/>
        <v>44501</v>
      </c>
      <c r="C317">
        <v>2021</v>
      </c>
      <c r="D317" t="s">
        <v>44</v>
      </c>
      <c r="E317" t="str">
        <f t="shared" si="33"/>
        <v>Nov-21</v>
      </c>
      <c r="F317">
        <f>VLOOKUP(D317,'Problem Statement 4'!$G$2:$H$13,2,0)</f>
        <v>11</v>
      </c>
      <c r="G317">
        <v>146.9</v>
      </c>
      <c r="H317">
        <v>199.8</v>
      </c>
      <c r="I317">
        <v>171.5</v>
      </c>
      <c r="J317">
        <v>159.1</v>
      </c>
      <c r="K317">
        <v>198.4</v>
      </c>
      <c r="L317">
        <v>153.19999999999999</v>
      </c>
      <c r="M317">
        <v>183.9</v>
      </c>
      <c r="N317">
        <v>165.4</v>
      </c>
      <c r="O317">
        <v>122.1</v>
      </c>
      <c r="P317">
        <v>170.8</v>
      </c>
      <c r="Q317">
        <v>169.1</v>
      </c>
      <c r="R317">
        <v>174.3</v>
      </c>
      <c r="S317">
        <v>167.5</v>
      </c>
      <c r="T317">
        <v>191.4</v>
      </c>
      <c r="U317">
        <v>170.4</v>
      </c>
      <c r="V317">
        <v>166</v>
      </c>
      <c r="W317">
        <v>169.8</v>
      </c>
      <c r="X317">
        <v>164.2</v>
      </c>
      <c r="Y317">
        <v>165.3</v>
      </c>
      <c r="Z317">
        <v>162.9</v>
      </c>
      <c r="AA317">
        <v>173.4</v>
      </c>
      <c r="AB317">
        <v>158.9</v>
      </c>
      <c r="AC317">
        <v>163.80000000000001</v>
      </c>
      <c r="AD317">
        <v>169.3</v>
      </c>
      <c r="AE317">
        <v>162.4</v>
      </c>
      <c r="AF317">
        <v>165.2</v>
      </c>
      <c r="AG317">
        <v>167.6</v>
      </c>
      <c r="AH317">
        <f t="shared" si="34"/>
        <v>2182</v>
      </c>
      <c r="AI317">
        <f t="shared" si="35"/>
        <v>165.3</v>
      </c>
      <c r="AJ317">
        <f t="shared" si="36"/>
        <v>158.9</v>
      </c>
      <c r="AK317">
        <f t="shared" si="37"/>
        <v>169.3</v>
      </c>
      <c r="AL317">
        <f t="shared" si="38"/>
        <v>1689.5000000000002</v>
      </c>
      <c r="AM317" t="str">
        <f t="shared" si="39"/>
        <v>Yes</v>
      </c>
    </row>
    <row r="318" spans="1:39" x14ac:dyDescent="0.3">
      <c r="A318" t="s">
        <v>32</v>
      </c>
      <c r="B318" s="28">
        <f t="shared" si="32"/>
        <v>44501</v>
      </c>
      <c r="C318">
        <v>2021</v>
      </c>
      <c r="D318" t="s">
        <v>44</v>
      </c>
      <c r="E318" t="str">
        <f t="shared" si="33"/>
        <v>Nov-21</v>
      </c>
      <c r="F318">
        <f>VLOOKUP(D318,'Problem Statement 4'!$G$2:$H$13,2,0)</f>
        <v>11</v>
      </c>
      <c r="G318">
        <v>151</v>
      </c>
      <c r="H318">
        <v>204.9</v>
      </c>
      <c r="I318">
        <v>175.4</v>
      </c>
      <c r="J318">
        <v>159.6</v>
      </c>
      <c r="K318">
        <v>175.8</v>
      </c>
      <c r="L318">
        <v>160.30000000000001</v>
      </c>
      <c r="M318">
        <v>229.1</v>
      </c>
      <c r="N318">
        <v>165.1</v>
      </c>
      <c r="O318">
        <v>123.1</v>
      </c>
      <c r="P318">
        <v>167.2</v>
      </c>
      <c r="Q318">
        <v>156.1</v>
      </c>
      <c r="R318">
        <v>176.8</v>
      </c>
      <c r="S318">
        <v>173.5</v>
      </c>
      <c r="T318">
        <v>197</v>
      </c>
      <c r="U318">
        <v>162.30000000000001</v>
      </c>
      <c r="V318">
        <v>145.30000000000001</v>
      </c>
      <c r="W318">
        <v>159.69999999999999</v>
      </c>
      <c r="X318">
        <v>164.2</v>
      </c>
      <c r="Y318">
        <v>161.6</v>
      </c>
      <c r="Z318">
        <v>155.19999999999999</v>
      </c>
      <c r="AA318">
        <v>164.2</v>
      </c>
      <c r="AB318">
        <v>151.19999999999999</v>
      </c>
      <c r="AC318">
        <v>156.69999999999999</v>
      </c>
      <c r="AD318">
        <v>160.80000000000001</v>
      </c>
      <c r="AE318">
        <v>161.80000000000001</v>
      </c>
      <c r="AF318">
        <v>157.30000000000001</v>
      </c>
      <c r="AG318">
        <v>165.6</v>
      </c>
      <c r="AH318">
        <f t="shared" si="34"/>
        <v>2217.8999999999996</v>
      </c>
      <c r="AI318">
        <f t="shared" si="35"/>
        <v>161.6</v>
      </c>
      <c r="AJ318">
        <f t="shared" si="36"/>
        <v>151.19999999999999</v>
      </c>
      <c r="AK318">
        <f t="shared" si="37"/>
        <v>160.80000000000001</v>
      </c>
      <c r="AL318">
        <f t="shared" si="38"/>
        <v>1623.7</v>
      </c>
      <c r="AM318" t="str">
        <f t="shared" si="39"/>
        <v>Yes</v>
      </c>
    </row>
    <row r="319" spans="1:39" x14ac:dyDescent="0.3">
      <c r="A319" t="s">
        <v>33</v>
      </c>
      <c r="B319" s="28">
        <f t="shared" si="32"/>
        <v>44501</v>
      </c>
      <c r="C319">
        <v>2021</v>
      </c>
      <c r="D319" t="s">
        <v>44</v>
      </c>
      <c r="E319" t="str">
        <f t="shared" si="33"/>
        <v>Nov-21</v>
      </c>
      <c r="F319">
        <f>VLOOKUP(D319,'Problem Statement 4'!$G$2:$H$13,2,0)</f>
        <v>11</v>
      </c>
      <c r="G319">
        <v>148.19999999999999</v>
      </c>
      <c r="H319">
        <v>201.6</v>
      </c>
      <c r="I319">
        <v>173</v>
      </c>
      <c r="J319">
        <v>159.30000000000001</v>
      </c>
      <c r="K319">
        <v>190.1</v>
      </c>
      <c r="L319">
        <v>156.5</v>
      </c>
      <c r="M319">
        <v>199.2</v>
      </c>
      <c r="N319">
        <v>165.3</v>
      </c>
      <c r="O319">
        <v>122.4</v>
      </c>
      <c r="P319">
        <v>169.6</v>
      </c>
      <c r="Q319">
        <v>163.69999999999999</v>
      </c>
      <c r="R319">
        <v>175.5</v>
      </c>
      <c r="S319">
        <v>169.7</v>
      </c>
      <c r="T319">
        <v>192.9</v>
      </c>
      <c r="U319">
        <v>167.2</v>
      </c>
      <c r="V319">
        <v>157.4</v>
      </c>
      <c r="W319">
        <v>165.8</v>
      </c>
      <c r="X319">
        <v>164.2</v>
      </c>
      <c r="Y319">
        <v>163.9</v>
      </c>
      <c r="Z319">
        <v>159.30000000000001</v>
      </c>
      <c r="AA319">
        <v>169.9</v>
      </c>
      <c r="AB319">
        <v>154.80000000000001</v>
      </c>
      <c r="AC319">
        <v>159.80000000000001</v>
      </c>
      <c r="AD319">
        <v>164.3</v>
      </c>
      <c r="AE319">
        <v>162.19999999999999</v>
      </c>
      <c r="AF319">
        <v>161.4</v>
      </c>
      <c r="AG319">
        <v>166.7</v>
      </c>
      <c r="AH319">
        <f t="shared" si="34"/>
        <v>2194.1</v>
      </c>
      <c r="AI319">
        <f t="shared" si="35"/>
        <v>163.9</v>
      </c>
      <c r="AJ319">
        <f t="shared" si="36"/>
        <v>154.80000000000001</v>
      </c>
      <c r="AK319">
        <f t="shared" si="37"/>
        <v>164.3</v>
      </c>
      <c r="AL319">
        <f t="shared" si="38"/>
        <v>1660.1000000000001</v>
      </c>
      <c r="AM319" t="str">
        <f t="shared" si="39"/>
        <v>Yes</v>
      </c>
    </row>
    <row r="320" spans="1:39" x14ac:dyDescent="0.3">
      <c r="A320" t="s">
        <v>30</v>
      </c>
      <c r="B320" s="28">
        <f t="shared" si="32"/>
        <v>44531</v>
      </c>
      <c r="C320">
        <v>2021</v>
      </c>
      <c r="D320" t="s">
        <v>45</v>
      </c>
      <c r="E320" t="str">
        <f t="shared" si="33"/>
        <v>Dec-21</v>
      </c>
      <c r="F320">
        <f>VLOOKUP(D320,'Problem Statement 4'!$G$2:$H$13,2,0)</f>
        <v>12</v>
      </c>
      <c r="G320">
        <v>147.4</v>
      </c>
      <c r="H320">
        <v>197</v>
      </c>
      <c r="I320">
        <v>176.5</v>
      </c>
      <c r="J320">
        <v>159.80000000000001</v>
      </c>
      <c r="K320">
        <v>195.8</v>
      </c>
      <c r="L320">
        <v>152</v>
      </c>
      <c r="M320">
        <v>172.3</v>
      </c>
      <c r="N320">
        <v>164.5</v>
      </c>
      <c r="O320">
        <v>120.6</v>
      </c>
      <c r="P320">
        <v>171.7</v>
      </c>
      <c r="Q320">
        <v>169.7</v>
      </c>
      <c r="R320">
        <v>175.1</v>
      </c>
      <c r="S320">
        <v>165.8</v>
      </c>
      <c r="T320">
        <v>190.8</v>
      </c>
      <c r="U320">
        <v>171.8</v>
      </c>
      <c r="V320">
        <v>167.3</v>
      </c>
      <c r="W320">
        <v>171.2</v>
      </c>
      <c r="X320">
        <v>163.4</v>
      </c>
      <c r="Y320">
        <v>165.6</v>
      </c>
      <c r="Z320">
        <v>163.9</v>
      </c>
      <c r="AA320">
        <v>174</v>
      </c>
      <c r="AB320">
        <v>160.1</v>
      </c>
      <c r="AC320">
        <v>164.5</v>
      </c>
      <c r="AD320">
        <v>169.7</v>
      </c>
      <c r="AE320">
        <v>162.80000000000001</v>
      </c>
      <c r="AF320">
        <v>166</v>
      </c>
      <c r="AG320">
        <v>167</v>
      </c>
      <c r="AH320">
        <f t="shared" si="34"/>
        <v>2168.1999999999998</v>
      </c>
      <c r="AI320">
        <f t="shared" si="35"/>
        <v>165.6</v>
      </c>
      <c r="AJ320">
        <f t="shared" si="36"/>
        <v>160.1</v>
      </c>
      <c r="AK320">
        <f t="shared" si="37"/>
        <v>169.7</v>
      </c>
      <c r="AL320">
        <f t="shared" si="38"/>
        <v>1695.7</v>
      </c>
      <c r="AM320" t="str">
        <f t="shared" si="39"/>
        <v>Yes</v>
      </c>
    </row>
    <row r="321" spans="1:39" x14ac:dyDescent="0.3">
      <c r="A321" t="s">
        <v>32</v>
      </c>
      <c r="B321" s="28">
        <f t="shared" si="32"/>
        <v>44531</v>
      </c>
      <c r="C321">
        <v>2021</v>
      </c>
      <c r="D321" t="s">
        <v>45</v>
      </c>
      <c r="E321" t="str">
        <f t="shared" si="33"/>
        <v>Dec-21</v>
      </c>
      <c r="F321">
        <f>VLOOKUP(D321,'Problem Statement 4'!$G$2:$H$13,2,0)</f>
        <v>12</v>
      </c>
      <c r="G321">
        <v>151.6</v>
      </c>
      <c r="H321">
        <v>202.2</v>
      </c>
      <c r="I321">
        <v>180</v>
      </c>
      <c r="J321">
        <v>160</v>
      </c>
      <c r="K321">
        <v>173.5</v>
      </c>
      <c r="L321">
        <v>158.30000000000001</v>
      </c>
      <c r="M321">
        <v>219.5</v>
      </c>
      <c r="N321">
        <v>164.2</v>
      </c>
      <c r="O321">
        <v>121.9</v>
      </c>
      <c r="P321">
        <v>168.2</v>
      </c>
      <c r="Q321">
        <v>156.5</v>
      </c>
      <c r="R321">
        <v>178.2</v>
      </c>
      <c r="S321">
        <v>172.2</v>
      </c>
      <c r="T321">
        <v>196.8</v>
      </c>
      <c r="U321">
        <v>163.30000000000001</v>
      </c>
      <c r="V321">
        <v>146.69999999999999</v>
      </c>
      <c r="W321">
        <v>160.69999999999999</v>
      </c>
      <c r="X321">
        <v>163.4</v>
      </c>
      <c r="Y321">
        <v>161.69999999999999</v>
      </c>
      <c r="Z321">
        <v>156</v>
      </c>
      <c r="AA321">
        <v>165.1</v>
      </c>
      <c r="AB321">
        <v>151.80000000000001</v>
      </c>
      <c r="AC321">
        <v>157.6</v>
      </c>
      <c r="AD321">
        <v>160.6</v>
      </c>
      <c r="AE321">
        <v>162.4</v>
      </c>
      <c r="AF321">
        <v>157.80000000000001</v>
      </c>
      <c r="AG321">
        <v>165.2</v>
      </c>
      <c r="AH321">
        <f t="shared" si="34"/>
        <v>2206.3000000000002</v>
      </c>
      <c r="AI321">
        <f t="shared" si="35"/>
        <v>161.69999999999999</v>
      </c>
      <c r="AJ321">
        <f t="shared" si="36"/>
        <v>151.80000000000001</v>
      </c>
      <c r="AK321">
        <f t="shared" si="37"/>
        <v>160.6</v>
      </c>
      <c r="AL321">
        <f t="shared" si="38"/>
        <v>1629.8</v>
      </c>
      <c r="AM321" t="str">
        <f t="shared" si="39"/>
        <v>Yes</v>
      </c>
    </row>
    <row r="322" spans="1:39" x14ac:dyDescent="0.3">
      <c r="A322" t="s">
        <v>33</v>
      </c>
      <c r="B322" s="28">
        <f t="shared" si="32"/>
        <v>44531</v>
      </c>
      <c r="C322">
        <v>2021</v>
      </c>
      <c r="D322" t="s">
        <v>45</v>
      </c>
      <c r="E322" t="str">
        <f t="shared" si="33"/>
        <v>Dec-21</v>
      </c>
      <c r="F322">
        <f>VLOOKUP(D322,'Problem Statement 4'!$G$2:$H$13,2,0)</f>
        <v>12</v>
      </c>
      <c r="G322">
        <v>148.69999999999999</v>
      </c>
      <c r="H322">
        <v>198.8</v>
      </c>
      <c r="I322">
        <v>177.9</v>
      </c>
      <c r="J322">
        <v>159.9</v>
      </c>
      <c r="K322">
        <v>187.6</v>
      </c>
      <c r="L322">
        <v>154.9</v>
      </c>
      <c r="M322">
        <v>188.3</v>
      </c>
      <c r="N322">
        <v>164.4</v>
      </c>
      <c r="O322">
        <v>121</v>
      </c>
      <c r="P322">
        <v>170.5</v>
      </c>
      <c r="Q322">
        <v>164.2</v>
      </c>
      <c r="R322">
        <v>176.5</v>
      </c>
      <c r="S322">
        <v>168.2</v>
      </c>
      <c r="T322">
        <v>192.4</v>
      </c>
      <c r="U322">
        <v>168.5</v>
      </c>
      <c r="V322">
        <v>158.69999999999999</v>
      </c>
      <c r="W322">
        <v>167</v>
      </c>
      <c r="X322">
        <v>163.4</v>
      </c>
      <c r="Y322">
        <v>164.1</v>
      </c>
      <c r="Z322">
        <v>160.19999999999999</v>
      </c>
      <c r="AA322">
        <v>170.6</v>
      </c>
      <c r="AB322">
        <v>155.69999999999999</v>
      </c>
      <c r="AC322">
        <v>160.6</v>
      </c>
      <c r="AD322">
        <v>164.4</v>
      </c>
      <c r="AE322">
        <v>162.6</v>
      </c>
      <c r="AF322">
        <v>162</v>
      </c>
      <c r="AG322">
        <v>166.2</v>
      </c>
      <c r="AH322">
        <f t="shared" si="34"/>
        <v>2180.9</v>
      </c>
      <c r="AI322">
        <f t="shared" si="35"/>
        <v>164.1</v>
      </c>
      <c r="AJ322">
        <f t="shared" si="36"/>
        <v>155.69999999999999</v>
      </c>
      <c r="AK322">
        <f t="shared" si="37"/>
        <v>164.4</v>
      </c>
      <c r="AL322">
        <f t="shared" si="38"/>
        <v>1665.9999999999995</v>
      </c>
      <c r="AM322" t="str">
        <f t="shared" si="39"/>
        <v>Yes</v>
      </c>
    </row>
    <row r="323" spans="1:39" x14ac:dyDescent="0.3">
      <c r="A323" t="s">
        <v>30</v>
      </c>
      <c r="B323" s="28">
        <f t="shared" ref="B323:B373" si="40">DATE(C323,F323,1)</f>
        <v>44562</v>
      </c>
      <c r="C323">
        <v>2022</v>
      </c>
      <c r="D323" t="s">
        <v>31</v>
      </c>
      <c r="E323" t="str">
        <f t="shared" ref="E323:E373" si="41">_xlfn.CONCAT(TEXT(B323,"mmm"),,"-",RIGHT(C323,2))</f>
        <v>Jan-22</v>
      </c>
      <c r="F323">
        <f>VLOOKUP(D323,'Problem Statement 4'!$G$2:$H$13,2,0)</f>
        <v>1</v>
      </c>
      <c r="G323">
        <v>148.30000000000001</v>
      </c>
      <c r="H323">
        <v>196.9</v>
      </c>
      <c r="I323">
        <v>178</v>
      </c>
      <c r="J323">
        <v>160.5</v>
      </c>
      <c r="K323">
        <v>192.6</v>
      </c>
      <c r="L323">
        <v>151.19999999999999</v>
      </c>
      <c r="M323">
        <v>159.19999999999999</v>
      </c>
      <c r="N323">
        <v>164</v>
      </c>
      <c r="O323">
        <v>119.3</v>
      </c>
      <c r="P323">
        <v>173.3</v>
      </c>
      <c r="Q323">
        <v>169.8</v>
      </c>
      <c r="R323">
        <v>175.8</v>
      </c>
      <c r="S323">
        <v>164.1</v>
      </c>
      <c r="T323">
        <v>190.7</v>
      </c>
      <c r="U323">
        <v>173.2</v>
      </c>
      <c r="V323">
        <v>169.3</v>
      </c>
      <c r="W323">
        <v>172.7</v>
      </c>
      <c r="X323">
        <v>164.5</v>
      </c>
      <c r="Y323">
        <v>165.8</v>
      </c>
      <c r="Z323">
        <v>164.9</v>
      </c>
      <c r="AA323">
        <v>174.7</v>
      </c>
      <c r="AB323">
        <v>160.80000000000001</v>
      </c>
      <c r="AC323">
        <v>164.9</v>
      </c>
      <c r="AD323">
        <v>169.9</v>
      </c>
      <c r="AE323">
        <v>163.19999999999999</v>
      </c>
      <c r="AF323">
        <v>166.6</v>
      </c>
      <c r="AG323">
        <v>166.4</v>
      </c>
      <c r="AH323">
        <f t="shared" ref="AH323:AH373" si="42">SUM(G323:S323)</f>
        <v>2153</v>
      </c>
      <c r="AI323">
        <f t="shared" ref="AI323:AI373" si="43">SUM(Y323)</f>
        <v>165.8</v>
      </c>
      <c r="AJ323">
        <f t="shared" ref="AJ323:AJ373" si="44">SUM(AB323)</f>
        <v>160.80000000000001</v>
      </c>
      <c r="AK323">
        <f t="shared" ref="AK323:AK373" si="45">SUM(AD323)</f>
        <v>169.9</v>
      </c>
      <c r="AL323">
        <f t="shared" ref="AL323:AL373" si="46">SUM(T323:X323,Z323:AA323,AC323,AE323:AF323)</f>
        <v>1704.7000000000003</v>
      </c>
      <c r="AM323" t="str">
        <f t="shared" ref="AM323:AM373" si="47">IF(AND(L323&gt;150,M323&gt;150),"Yes","No")</f>
        <v>Yes</v>
      </c>
    </row>
    <row r="324" spans="1:39" x14ac:dyDescent="0.3">
      <c r="A324" t="s">
        <v>32</v>
      </c>
      <c r="B324" s="28">
        <f t="shared" si="40"/>
        <v>44562</v>
      </c>
      <c r="C324">
        <v>2022</v>
      </c>
      <c r="D324" t="s">
        <v>31</v>
      </c>
      <c r="E324" t="str">
        <f t="shared" si="41"/>
        <v>Jan-22</v>
      </c>
      <c r="F324">
        <f>VLOOKUP(D324,'Problem Statement 4'!$G$2:$H$13,2,0)</f>
        <v>1</v>
      </c>
      <c r="G324">
        <v>152.19999999999999</v>
      </c>
      <c r="H324">
        <v>202.1</v>
      </c>
      <c r="I324">
        <v>180.1</v>
      </c>
      <c r="J324">
        <v>160.4</v>
      </c>
      <c r="K324">
        <v>171</v>
      </c>
      <c r="L324">
        <v>156.5</v>
      </c>
      <c r="M324">
        <v>203.6</v>
      </c>
      <c r="N324">
        <v>163.80000000000001</v>
      </c>
      <c r="O324">
        <v>121.3</v>
      </c>
      <c r="P324">
        <v>169.8</v>
      </c>
      <c r="Q324">
        <v>156.6</v>
      </c>
      <c r="R324">
        <v>179</v>
      </c>
      <c r="S324">
        <v>170.3</v>
      </c>
      <c r="T324">
        <v>196.4</v>
      </c>
      <c r="U324">
        <v>164.7</v>
      </c>
      <c r="V324">
        <v>148.5</v>
      </c>
      <c r="W324">
        <v>162.19999999999999</v>
      </c>
      <c r="X324">
        <v>164.5</v>
      </c>
      <c r="Y324">
        <v>161.6</v>
      </c>
      <c r="Z324">
        <v>156.80000000000001</v>
      </c>
      <c r="AA324">
        <v>166.1</v>
      </c>
      <c r="AB324">
        <v>152.69999999999999</v>
      </c>
      <c r="AC324">
        <v>158.4</v>
      </c>
      <c r="AD324">
        <v>161</v>
      </c>
      <c r="AE324">
        <v>162.80000000000001</v>
      </c>
      <c r="AF324">
        <v>158.6</v>
      </c>
      <c r="AG324">
        <v>165</v>
      </c>
      <c r="AH324">
        <f t="shared" si="42"/>
        <v>2186.6999999999998</v>
      </c>
      <c r="AI324">
        <f t="shared" si="43"/>
        <v>161.6</v>
      </c>
      <c r="AJ324">
        <f t="shared" si="44"/>
        <v>152.69999999999999</v>
      </c>
      <c r="AK324">
        <f t="shared" si="45"/>
        <v>161</v>
      </c>
      <c r="AL324">
        <f t="shared" si="46"/>
        <v>1638.9999999999998</v>
      </c>
      <c r="AM324" t="str">
        <f t="shared" si="47"/>
        <v>Yes</v>
      </c>
    </row>
    <row r="325" spans="1:39" x14ac:dyDescent="0.3">
      <c r="A325" t="s">
        <v>33</v>
      </c>
      <c r="B325" s="28">
        <f t="shared" si="40"/>
        <v>44562</v>
      </c>
      <c r="C325">
        <v>2022</v>
      </c>
      <c r="D325" t="s">
        <v>31</v>
      </c>
      <c r="E325" t="str">
        <f t="shared" si="41"/>
        <v>Jan-22</v>
      </c>
      <c r="F325">
        <f>VLOOKUP(D325,'Problem Statement 4'!$G$2:$H$13,2,0)</f>
        <v>1</v>
      </c>
      <c r="G325">
        <v>149.5</v>
      </c>
      <c r="H325">
        <v>198.7</v>
      </c>
      <c r="I325">
        <v>178.8</v>
      </c>
      <c r="J325">
        <v>160.5</v>
      </c>
      <c r="K325">
        <v>184.7</v>
      </c>
      <c r="L325">
        <v>153.69999999999999</v>
      </c>
      <c r="M325">
        <v>174.3</v>
      </c>
      <c r="N325">
        <v>163.9</v>
      </c>
      <c r="O325">
        <v>120</v>
      </c>
      <c r="P325">
        <v>172.1</v>
      </c>
      <c r="Q325">
        <v>164.3</v>
      </c>
      <c r="R325">
        <v>177.3</v>
      </c>
      <c r="S325">
        <v>166.4</v>
      </c>
      <c r="T325">
        <v>192.2</v>
      </c>
      <c r="U325">
        <v>169.9</v>
      </c>
      <c r="V325">
        <v>160.69999999999999</v>
      </c>
      <c r="W325">
        <v>168.5</v>
      </c>
      <c r="X325">
        <v>164.5</v>
      </c>
      <c r="Y325">
        <v>164.2</v>
      </c>
      <c r="Z325">
        <v>161.1</v>
      </c>
      <c r="AA325">
        <v>171.4</v>
      </c>
      <c r="AB325">
        <v>156.5</v>
      </c>
      <c r="AC325">
        <v>161.19999999999999</v>
      </c>
      <c r="AD325">
        <v>164.7</v>
      </c>
      <c r="AE325">
        <v>163</v>
      </c>
      <c r="AF325">
        <v>162.69999999999999</v>
      </c>
      <c r="AG325">
        <v>165.7</v>
      </c>
      <c r="AH325">
        <f t="shared" si="42"/>
        <v>2164.1999999999998</v>
      </c>
      <c r="AI325">
        <f t="shared" si="43"/>
        <v>164.2</v>
      </c>
      <c r="AJ325">
        <f t="shared" si="44"/>
        <v>156.5</v>
      </c>
      <c r="AK325">
        <f t="shared" si="45"/>
        <v>164.7</v>
      </c>
      <c r="AL325">
        <f t="shared" si="46"/>
        <v>1675.2</v>
      </c>
      <c r="AM325" t="str">
        <f t="shared" si="47"/>
        <v>Yes</v>
      </c>
    </row>
    <row r="326" spans="1:39" x14ac:dyDescent="0.3">
      <c r="A326" t="s">
        <v>30</v>
      </c>
      <c r="B326" s="28">
        <f t="shared" si="40"/>
        <v>44593</v>
      </c>
      <c r="C326">
        <v>2022</v>
      </c>
      <c r="D326" t="s">
        <v>34</v>
      </c>
      <c r="E326" t="str">
        <f t="shared" si="41"/>
        <v>Feb-22</v>
      </c>
      <c r="F326">
        <f>VLOOKUP(D326,'Problem Statement 4'!$G$2:$H$13,2,0)</f>
        <v>2</v>
      </c>
      <c r="G326">
        <v>148.80000000000001</v>
      </c>
      <c r="H326">
        <v>198.1</v>
      </c>
      <c r="I326">
        <v>175.5</v>
      </c>
      <c r="J326">
        <v>160.69999999999999</v>
      </c>
      <c r="K326">
        <v>192.6</v>
      </c>
      <c r="L326">
        <v>151.4</v>
      </c>
      <c r="M326">
        <v>155.19999999999999</v>
      </c>
      <c r="N326">
        <v>163.9</v>
      </c>
      <c r="O326">
        <v>118.1</v>
      </c>
      <c r="P326">
        <v>175.4</v>
      </c>
      <c r="Q326">
        <v>170.5</v>
      </c>
      <c r="R326">
        <v>176.3</v>
      </c>
      <c r="S326">
        <v>163.9</v>
      </c>
      <c r="T326">
        <v>191.5</v>
      </c>
      <c r="U326">
        <v>174.1</v>
      </c>
      <c r="V326">
        <v>171</v>
      </c>
      <c r="W326">
        <v>173.7</v>
      </c>
      <c r="X326">
        <v>165.5</v>
      </c>
      <c r="Y326">
        <v>167.4</v>
      </c>
      <c r="Z326">
        <v>165.7</v>
      </c>
      <c r="AA326">
        <v>175.3</v>
      </c>
      <c r="AB326">
        <v>161.19999999999999</v>
      </c>
      <c r="AC326">
        <v>165.5</v>
      </c>
      <c r="AD326">
        <v>170.3</v>
      </c>
      <c r="AE326">
        <v>164.5</v>
      </c>
      <c r="AF326">
        <v>167.3</v>
      </c>
      <c r="AG326">
        <v>166.7</v>
      </c>
      <c r="AH326">
        <f t="shared" si="42"/>
        <v>2150.4</v>
      </c>
      <c r="AI326">
        <f t="shared" si="43"/>
        <v>167.4</v>
      </c>
      <c r="AJ326">
        <f t="shared" si="44"/>
        <v>161.19999999999999</v>
      </c>
      <c r="AK326">
        <f t="shared" si="45"/>
        <v>170.3</v>
      </c>
      <c r="AL326">
        <f t="shared" si="46"/>
        <v>1714.1</v>
      </c>
      <c r="AM326" t="str">
        <f t="shared" si="47"/>
        <v>Yes</v>
      </c>
    </row>
    <row r="327" spans="1:39" x14ac:dyDescent="0.3">
      <c r="A327" t="s">
        <v>32</v>
      </c>
      <c r="B327" s="28">
        <f t="shared" si="40"/>
        <v>44593</v>
      </c>
      <c r="C327">
        <v>2022</v>
      </c>
      <c r="D327" t="s">
        <v>34</v>
      </c>
      <c r="E327" t="str">
        <f t="shared" si="41"/>
        <v>Feb-22</v>
      </c>
      <c r="F327">
        <f>VLOOKUP(D327,'Problem Statement 4'!$G$2:$H$13,2,0)</f>
        <v>2</v>
      </c>
      <c r="G327">
        <v>152.5</v>
      </c>
      <c r="H327">
        <v>205.2</v>
      </c>
      <c r="I327">
        <v>176.4</v>
      </c>
      <c r="J327">
        <v>160.6</v>
      </c>
      <c r="K327">
        <v>171.5</v>
      </c>
      <c r="L327">
        <v>156.4</v>
      </c>
      <c r="M327">
        <v>198</v>
      </c>
      <c r="N327">
        <v>163.19999999999999</v>
      </c>
      <c r="O327">
        <v>120.6</v>
      </c>
      <c r="P327">
        <v>172.2</v>
      </c>
      <c r="Q327">
        <v>156.69999999999999</v>
      </c>
      <c r="R327">
        <v>180</v>
      </c>
      <c r="S327">
        <v>170.2</v>
      </c>
      <c r="T327">
        <v>196.5</v>
      </c>
      <c r="U327">
        <v>165.7</v>
      </c>
      <c r="V327">
        <v>150.4</v>
      </c>
      <c r="W327">
        <v>163.4</v>
      </c>
      <c r="X327">
        <v>165.5</v>
      </c>
      <c r="Y327">
        <v>163</v>
      </c>
      <c r="Z327">
        <v>157.4</v>
      </c>
      <c r="AA327">
        <v>167.2</v>
      </c>
      <c r="AB327">
        <v>153.1</v>
      </c>
      <c r="AC327">
        <v>159.5</v>
      </c>
      <c r="AD327">
        <v>162</v>
      </c>
      <c r="AE327">
        <v>164.2</v>
      </c>
      <c r="AF327">
        <v>159.4</v>
      </c>
      <c r="AG327">
        <v>165.5</v>
      </c>
      <c r="AH327">
        <f t="shared" si="42"/>
        <v>2183.5</v>
      </c>
      <c r="AI327">
        <f t="shared" si="43"/>
        <v>163</v>
      </c>
      <c r="AJ327">
        <f t="shared" si="44"/>
        <v>153.1</v>
      </c>
      <c r="AK327">
        <f t="shared" si="45"/>
        <v>162</v>
      </c>
      <c r="AL327">
        <f t="shared" si="46"/>
        <v>1649.2</v>
      </c>
      <c r="AM327" t="str">
        <f t="shared" si="47"/>
        <v>Yes</v>
      </c>
    </row>
    <row r="328" spans="1:39" x14ac:dyDescent="0.3">
      <c r="A328" t="s">
        <v>33</v>
      </c>
      <c r="B328" s="28">
        <f t="shared" si="40"/>
        <v>44593</v>
      </c>
      <c r="C328">
        <v>2022</v>
      </c>
      <c r="D328" t="s">
        <v>34</v>
      </c>
      <c r="E328" t="str">
        <f t="shared" si="41"/>
        <v>Feb-22</v>
      </c>
      <c r="F328">
        <f>VLOOKUP(D328,'Problem Statement 4'!$G$2:$H$13,2,0)</f>
        <v>2</v>
      </c>
      <c r="G328">
        <v>150</v>
      </c>
      <c r="H328">
        <v>200.6</v>
      </c>
      <c r="I328">
        <v>175.8</v>
      </c>
      <c r="J328">
        <v>160.69999999999999</v>
      </c>
      <c r="K328">
        <v>184.9</v>
      </c>
      <c r="L328">
        <v>153.69999999999999</v>
      </c>
      <c r="M328">
        <v>169.7</v>
      </c>
      <c r="N328">
        <v>163.69999999999999</v>
      </c>
      <c r="O328">
        <v>118.9</v>
      </c>
      <c r="P328">
        <v>174.3</v>
      </c>
      <c r="Q328">
        <v>164.7</v>
      </c>
      <c r="R328">
        <v>178</v>
      </c>
      <c r="S328">
        <v>166.2</v>
      </c>
      <c r="T328">
        <v>192.8</v>
      </c>
      <c r="U328">
        <v>170.8</v>
      </c>
      <c r="V328">
        <v>162.4</v>
      </c>
      <c r="W328">
        <v>169.6</v>
      </c>
      <c r="X328">
        <v>165.5</v>
      </c>
      <c r="Y328">
        <v>165.7</v>
      </c>
      <c r="Z328">
        <v>161.80000000000001</v>
      </c>
      <c r="AA328">
        <v>172.2</v>
      </c>
      <c r="AB328">
        <v>156.9</v>
      </c>
      <c r="AC328">
        <v>162.1</v>
      </c>
      <c r="AD328">
        <v>165.4</v>
      </c>
      <c r="AE328">
        <v>164.4</v>
      </c>
      <c r="AF328">
        <v>163.5</v>
      </c>
      <c r="AG328">
        <v>166.1</v>
      </c>
      <c r="AH328">
        <f t="shared" si="42"/>
        <v>2161.2000000000003</v>
      </c>
      <c r="AI328">
        <f t="shared" si="43"/>
        <v>165.7</v>
      </c>
      <c r="AJ328">
        <f t="shared" si="44"/>
        <v>156.9</v>
      </c>
      <c r="AK328">
        <f t="shared" si="45"/>
        <v>165.4</v>
      </c>
      <c r="AL328">
        <f t="shared" si="46"/>
        <v>1685.1000000000001</v>
      </c>
      <c r="AM328" t="str">
        <f t="shared" si="47"/>
        <v>Yes</v>
      </c>
    </row>
    <row r="329" spans="1:39" x14ac:dyDescent="0.3">
      <c r="A329" t="s">
        <v>30</v>
      </c>
      <c r="B329" s="28">
        <f t="shared" si="40"/>
        <v>44621</v>
      </c>
      <c r="C329">
        <v>2022</v>
      </c>
      <c r="D329" t="s">
        <v>35</v>
      </c>
      <c r="E329" t="str">
        <f t="shared" si="41"/>
        <v>Mar-22</v>
      </c>
      <c r="F329">
        <f>VLOOKUP(D329,'Problem Statement 4'!$G$2:$H$13,2,0)</f>
        <v>3</v>
      </c>
      <c r="G329">
        <v>150.19999999999999</v>
      </c>
      <c r="H329">
        <v>208</v>
      </c>
      <c r="I329">
        <v>167.9</v>
      </c>
      <c r="J329">
        <v>162</v>
      </c>
      <c r="K329">
        <v>203.1</v>
      </c>
      <c r="L329">
        <v>155.9</v>
      </c>
      <c r="M329">
        <v>155.80000000000001</v>
      </c>
      <c r="N329">
        <v>164.2</v>
      </c>
      <c r="O329">
        <v>118.1</v>
      </c>
      <c r="P329">
        <v>178.7</v>
      </c>
      <c r="Q329">
        <v>171.2</v>
      </c>
      <c r="R329">
        <v>177.4</v>
      </c>
      <c r="S329">
        <v>166.6</v>
      </c>
      <c r="T329">
        <v>192.3</v>
      </c>
      <c r="U329">
        <v>175.4</v>
      </c>
      <c r="V329">
        <v>173.2</v>
      </c>
      <c r="W329">
        <v>175.1</v>
      </c>
      <c r="X329">
        <v>165.3</v>
      </c>
      <c r="Y329">
        <v>168.9</v>
      </c>
      <c r="Z329">
        <v>166.5</v>
      </c>
      <c r="AA329">
        <v>176</v>
      </c>
      <c r="AB329">
        <v>162</v>
      </c>
      <c r="AC329">
        <v>166.6</v>
      </c>
      <c r="AD329">
        <v>170.6</v>
      </c>
      <c r="AE329">
        <v>167.4</v>
      </c>
      <c r="AF329">
        <v>168.3</v>
      </c>
      <c r="AG329">
        <v>168.7</v>
      </c>
      <c r="AH329">
        <f t="shared" si="42"/>
        <v>2179.1000000000004</v>
      </c>
      <c r="AI329">
        <f t="shared" si="43"/>
        <v>168.9</v>
      </c>
      <c r="AJ329">
        <f t="shared" si="44"/>
        <v>162</v>
      </c>
      <c r="AK329">
        <f t="shared" si="45"/>
        <v>170.6</v>
      </c>
      <c r="AL329">
        <f t="shared" si="46"/>
        <v>1726.1000000000001</v>
      </c>
      <c r="AM329" t="str">
        <f t="shared" si="47"/>
        <v>Yes</v>
      </c>
    </row>
    <row r="330" spans="1:39" x14ac:dyDescent="0.3">
      <c r="A330" t="s">
        <v>32</v>
      </c>
      <c r="B330" s="28">
        <f t="shared" si="40"/>
        <v>44621</v>
      </c>
      <c r="C330">
        <v>2022</v>
      </c>
      <c r="D330" t="s">
        <v>35</v>
      </c>
      <c r="E330" t="str">
        <f t="shared" si="41"/>
        <v>Mar-22</v>
      </c>
      <c r="F330">
        <f>VLOOKUP(D330,'Problem Statement 4'!$G$2:$H$13,2,0)</f>
        <v>3</v>
      </c>
      <c r="G330">
        <v>153.69999999999999</v>
      </c>
      <c r="H330">
        <v>215.8</v>
      </c>
      <c r="I330">
        <v>167.7</v>
      </c>
      <c r="J330">
        <v>162.6</v>
      </c>
      <c r="K330">
        <v>180</v>
      </c>
      <c r="L330">
        <v>159.6</v>
      </c>
      <c r="M330">
        <v>188.4</v>
      </c>
      <c r="N330">
        <v>163.4</v>
      </c>
      <c r="O330">
        <v>120.3</v>
      </c>
      <c r="P330">
        <v>174.7</v>
      </c>
      <c r="Q330">
        <v>157.1</v>
      </c>
      <c r="R330">
        <v>181.5</v>
      </c>
      <c r="S330">
        <v>171.5</v>
      </c>
      <c r="T330">
        <v>197.5</v>
      </c>
      <c r="U330">
        <v>167.1</v>
      </c>
      <c r="V330">
        <v>152.6</v>
      </c>
      <c r="W330">
        <v>164.9</v>
      </c>
      <c r="X330">
        <v>165.3</v>
      </c>
      <c r="Y330">
        <v>164.5</v>
      </c>
      <c r="Z330">
        <v>158.6</v>
      </c>
      <c r="AA330">
        <v>168.2</v>
      </c>
      <c r="AB330">
        <v>154.19999999999999</v>
      </c>
      <c r="AC330">
        <v>160.80000000000001</v>
      </c>
      <c r="AD330">
        <v>162.69999999999999</v>
      </c>
      <c r="AE330">
        <v>166.8</v>
      </c>
      <c r="AF330">
        <v>160.6</v>
      </c>
      <c r="AG330">
        <v>166.5</v>
      </c>
      <c r="AH330">
        <f t="shared" si="42"/>
        <v>2196.3000000000002</v>
      </c>
      <c r="AI330">
        <f t="shared" si="43"/>
        <v>164.5</v>
      </c>
      <c r="AJ330">
        <f t="shared" si="44"/>
        <v>154.19999999999999</v>
      </c>
      <c r="AK330">
        <f t="shared" si="45"/>
        <v>162.69999999999999</v>
      </c>
      <c r="AL330">
        <f t="shared" si="46"/>
        <v>1662.3999999999999</v>
      </c>
      <c r="AM330" t="str">
        <f t="shared" si="47"/>
        <v>Yes</v>
      </c>
    </row>
    <row r="331" spans="1:39" x14ac:dyDescent="0.3">
      <c r="A331" t="s">
        <v>33</v>
      </c>
      <c r="B331" s="28">
        <f t="shared" si="40"/>
        <v>44621</v>
      </c>
      <c r="C331">
        <v>2022</v>
      </c>
      <c r="D331" t="s">
        <v>35</v>
      </c>
      <c r="E331" t="str">
        <f t="shared" si="41"/>
        <v>Mar-22</v>
      </c>
      <c r="F331">
        <f>VLOOKUP(D331,'Problem Statement 4'!$G$2:$H$13,2,0)</f>
        <v>3</v>
      </c>
      <c r="G331">
        <v>151.30000000000001</v>
      </c>
      <c r="H331">
        <v>210.7</v>
      </c>
      <c r="I331">
        <v>167.8</v>
      </c>
      <c r="J331">
        <v>162.19999999999999</v>
      </c>
      <c r="K331">
        <v>194.6</v>
      </c>
      <c r="L331">
        <v>157.6</v>
      </c>
      <c r="M331">
        <v>166.9</v>
      </c>
      <c r="N331">
        <v>163.9</v>
      </c>
      <c r="O331">
        <v>118.8</v>
      </c>
      <c r="P331">
        <v>177.4</v>
      </c>
      <c r="Q331">
        <v>165.3</v>
      </c>
      <c r="R331">
        <v>179.3</v>
      </c>
      <c r="S331">
        <v>168.4</v>
      </c>
      <c r="T331">
        <v>193.7</v>
      </c>
      <c r="U331">
        <v>172.1</v>
      </c>
      <c r="V331">
        <v>164.6</v>
      </c>
      <c r="W331">
        <v>171.1</v>
      </c>
      <c r="X331">
        <v>165.3</v>
      </c>
      <c r="Y331">
        <v>167.2</v>
      </c>
      <c r="Z331">
        <v>162.80000000000001</v>
      </c>
      <c r="AA331">
        <v>173</v>
      </c>
      <c r="AB331">
        <v>157.9</v>
      </c>
      <c r="AC331">
        <v>163.30000000000001</v>
      </c>
      <c r="AD331">
        <v>166</v>
      </c>
      <c r="AE331">
        <v>167.2</v>
      </c>
      <c r="AF331">
        <v>164.6</v>
      </c>
      <c r="AG331">
        <v>167.7</v>
      </c>
      <c r="AH331">
        <f t="shared" si="42"/>
        <v>2184.2000000000003</v>
      </c>
      <c r="AI331">
        <f t="shared" si="43"/>
        <v>167.2</v>
      </c>
      <c r="AJ331">
        <f t="shared" si="44"/>
        <v>157.9</v>
      </c>
      <c r="AK331">
        <f t="shared" si="45"/>
        <v>166</v>
      </c>
      <c r="AL331">
        <f t="shared" si="46"/>
        <v>1697.6999999999998</v>
      </c>
      <c r="AM331" t="str">
        <f t="shared" si="47"/>
        <v>Yes</v>
      </c>
    </row>
    <row r="332" spans="1:39" x14ac:dyDescent="0.3">
      <c r="A332" t="s">
        <v>30</v>
      </c>
      <c r="B332" s="28">
        <f t="shared" si="40"/>
        <v>44652</v>
      </c>
      <c r="C332">
        <v>2022</v>
      </c>
      <c r="D332" t="s">
        <v>36</v>
      </c>
      <c r="E332" t="str">
        <f t="shared" si="41"/>
        <v>Apr-22</v>
      </c>
      <c r="F332">
        <f>VLOOKUP(D332,'Problem Statement 4'!$G$2:$H$13,2,0)</f>
        <v>4</v>
      </c>
      <c r="G332">
        <v>151.80000000000001</v>
      </c>
      <c r="H332">
        <v>209.7</v>
      </c>
      <c r="I332">
        <v>164.5</v>
      </c>
      <c r="J332">
        <v>163.80000000000001</v>
      </c>
      <c r="K332">
        <v>207.4</v>
      </c>
      <c r="L332">
        <v>169.7</v>
      </c>
      <c r="M332">
        <v>153.6</v>
      </c>
      <c r="N332">
        <v>165.1</v>
      </c>
      <c r="O332">
        <v>118.2</v>
      </c>
      <c r="P332">
        <v>182.9</v>
      </c>
      <c r="Q332">
        <v>172.4</v>
      </c>
      <c r="R332">
        <v>178.9</v>
      </c>
      <c r="S332">
        <v>168.6</v>
      </c>
      <c r="T332">
        <v>192.8</v>
      </c>
      <c r="U332">
        <v>177.5</v>
      </c>
      <c r="V332">
        <v>175.1</v>
      </c>
      <c r="W332">
        <v>177.1</v>
      </c>
      <c r="X332">
        <v>167</v>
      </c>
      <c r="Y332">
        <v>173.3</v>
      </c>
      <c r="Z332">
        <v>167.7</v>
      </c>
      <c r="AA332">
        <v>177</v>
      </c>
      <c r="AB332">
        <v>166.2</v>
      </c>
      <c r="AC332">
        <v>167.2</v>
      </c>
      <c r="AD332">
        <v>170.9</v>
      </c>
      <c r="AE332">
        <v>169</v>
      </c>
      <c r="AF332">
        <v>170.2</v>
      </c>
      <c r="AG332">
        <v>170.8</v>
      </c>
      <c r="AH332">
        <f t="shared" si="42"/>
        <v>2206.6</v>
      </c>
      <c r="AI332">
        <f t="shared" si="43"/>
        <v>173.3</v>
      </c>
      <c r="AJ332">
        <f t="shared" si="44"/>
        <v>166.2</v>
      </c>
      <c r="AK332">
        <f t="shared" si="45"/>
        <v>170.9</v>
      </c>
      <c r="AL332">
        <f t="shared" si="46"/>
        <v>1740.6000000000001</v>
      </c>
      <c r="AM332" t="str">
        <f t="shared" si="47"/>
        <v>Yes</v>
      </c>
    </row>
    <row r="333" spans="1:39" x14ac:dyDescent="0.3">
      <c r="A333" t="s">
        <v>32</v>
      </c>
      <c r="B333" s="28">
        <f t="shared" si="40"/>
        <v>44652</v>
      </c>
      <c r="C333">
        <v>2022</v>
      </c>
      <c r="D333" t="s">
        <v>36</v>
      </c>
      <c r="E333" t="str">
        <f t="shared" si="41"/>
        <v>Apr-22</v>
      </c>
      <c r="F333">
        <f>VLOOKUP(D333,'Problem Statement 4'!$G$2:$H$13,2,0)</f>
        <v>4</v>
      </c>
      <c r="G333">
        <v>155.4</v>
      </c>
      <c r="H333">
        <v>215.8</v>
      </c>
      <c r="I333">
        <v>164.6</v>
      </c>
      <c r="J333">
        <v>164.2</v>
      </c>
      <c r="K333">
        <v>186</v>
      </c>
      <c r="L333">
        <v>175.9</v>
      </c>
      <c r="M333">
        <v>190.7</v>
      </c>
      <c r="N333">
        <v>164</v>
      </c>
      <c r="O333">
        <v>120.5</v>
      </c>
      <c r="P333">
        <v>178</v>
      </c>
      <c r="Q333">
        <v>157.5</v>
      </c>
      <c r="R333">
        <v>183.3</v>
      </c>
      <c r="S333">
        <v>174.5</v>
      </c>
      <c r="T333">
        <v>197.1</v>
      </c>
      <c r="U333">
        <v>168.4</v>
      </c>
      <c r="V333">
        <v>154.5</v>
      </c>
      <c r="W333">
        <v>166.3</v>
      </c>
      <c r="X333">
        <v>167</v>
      </c>
      <c r="Y333">
        <v>170.5</v>
      </c>
      <c r="Z333">
        <v>159.80000000000001</v>
      </c>
      <c r="AA333">
        <v>169</v>
      </c>
      <c r="AB333">
        <v>159.30000000000001</v>
      </c>
      <c r="AC333">
        <v>162.19999999999999</v>
      </c>
      <c r="AD333">
        <v>164</v>
      </c>
      <c r="AE333">
        <v>168.4</v>
      </c>
      <c r="AF333">
        <v>163.1</v>
      </c>
      <c r="AG333">
        <v>169.2</v>
      </c>
      <c r="AH333">
        <f t="shared" si="42"/>
        <v>2230.4</v>
      </c>
      <c r="AI333">
        <f t="shared" si="43"/>
        <v>170.5</v>
      </c>
      <c r="AJ333">
        <f t="shared" si="44"/>
        <v>159.30000000000001</v>
      </c>
      <c r="AK333">
        <f t="shared" si="45"/>
        <v>164</v>
      </c>
      <c r="AL333">
        <f t="shared" si="46"/>
        <v>1675.8</v>
      </c>
      <c r="AM333" t="str">
        <f t="shared" si="47"/>
        <v>Yes</v>
      </c>
    </row>
    <row r="334" spans="1:39" x14ac:dyDescent="0.3">
      <c r="A334" t="s">
        <v>33</v>
      </c>
      <c r="B334" s="28">
        <f t="shared" si="40"/>
        <v>44652</v>
      </c>
      <c r="C334">
        <v>2022</v>
      </c>
      <c r="D334" t="s">
        <v>36</v>
      </c>
      <c r="E334" t="str">
        <f t="shared" si="41"/>
        <v>Apr-22</v>
      </c>
      <c r="F334">
        <f>VLOOKUP(D334,'Problem Statement 4'!$G$2:$H$13,2,0)</f>
        <v>4</v>
      </c>
      <c r="G334">
        <v>152.9</v>
      </c>
      <c r="H334">
        <v>211.8</v>
      </c>
      <c r="I334">
        <v>164.5</v>
      </c>
      <c r="J334">
        <v>163.9</v>
      </c>
      <c r="K334">
        <v>199.5</v>
      </c>
      <c r="L334">
        <v>172.6</v>
      </c>
      <c r="M334">
        <v>166.2</v>
      </c>
      <c r="N334">
        <v>164.7</v>
      </c>
      <c r="O334">
        <v>119</v>
      </c>
      <c r="P334">
        <v>181.3</v>
      </c>
      <c r="Q334">
        <v>166.2</v>
      </c>
      <c r="R334">
        <v>180.9</v>
      </c>
      <c r="S334">
        <v>170.8</v>
      </c>
      <c r="T334">
        <v>193.9</v>
      </c>
      <c r="U334">
        <v>173.9</v>
      </c>
      <c r="V334">
        <v>166.5</v>
      </c>
      <c r="W334">
        <v>172.8</v>
      </c>
      <c r="X334">
        <v>167</v>
      </c>
      <c r="Y334">
        <v>172.2</v>
      </c>
      <c r="Z334">
        <v>164</v>
      </c>
      <c r="AA334">
        <v>174</v>
      </c>
      <c r="AB334">
        <v>162.6</v>
      </c>
      <c r="AC334">
        <v>164.4</v>
      </c>
      <c r="AD334">
        <v>166.9</v>
      </c>
      <c r="AE334">
        <v>168.8</v>
      </c>
      <c r="AF334">
        <v>166.8</v>
      </c>
      <c r="AG334">
        <v>170.1</v>
      </c>
      <c r="AH334">
        <f t="shared" si="42"/>
        <v>2214.3000000000002</v>
      </c>
      <c r="AI334">
        <f t="shared" si="43"/>
        <v>172.2</v>
      </c>
      <c r="AJ334">
        <f t="shared" si="44"/>
        <v>162.6</v>
      </c>
      <c r="AK334">
        <f t="shared" si="45"/>
        <v>166.9</v>
      </c>
      <c r="AL334">
        <f t="shared" si="46"/>
        <v>1712.1</v>
      </c>
      <c r="AM334" t="str">
        <f t="shared" si="47"/>
        <v>Yes</v>
      </c>
    </row>
    <row r="335" spans="1:39" x14ac:dyDescent="0.3">
      <c r="A335" t="s">
        <v>30</v>
      </c>
      <c r="B335" s="28">
        <f t="shared" si="40"/>
        <v>44682</v>
      </c>
      <c r="C335">
        <v>2022</v>
      </c>
      <c r="D335" t="s">
        <v>37</v>
      </c>
      <c r="E335" t="str">
        <f t="shared" si="41"/>
        <v>May-22</v>
      </c>
      <c r="F335">
        <f>VLOOKUP(D335,'Problem Statement 4'!$G$2:$H$13,2,0)</f>
        <v>5</v>
      </c>
      <c r="G335">
        <v>152.9</v>
      </c>
      <c r="H335">
        <v>214.7</v>
      </c>
      <c r="I335">
        <v>161.4</v>
      </c>
      <c r="J335">
        <v>164.6</v>
      </c>
      <c r="K335">
        <v>209.9</v>
      </c>
      <c r="L335">
        <v>168</v>
      </c>
      <c r="M335">
        <v>160.4</v>
      </c>
      <c r="N335">
        <v>165</v>
      </c>
      <c r="O335">
        <v>118.9</v>
      </c>
      <c r="P335">
        <v>186.6</v>
      </c>
      <c r="Q335">
        <v>173.2</v>
      </c>
      <c r="R335">
        <v>180.4</v>
      </c>
      <c r="S335">
        <v>170.8</v>
      </c>
      <c r="T335">
        <v>192.9</v>
      </c>
      <c r="U335">
        <v>179.3</v>
      </c>
      <c r="V335">
        <v>177.2</v>
      </c>
      <c r="W335">
        <v>179</v>
      </c>
      <c r="X335">
        <v>167.5</v>
      </c>
      <c r="Y335">
        <v>175.3</v>
      </c>
      <c r="Z335">
        <v>168.9</v>
      </c>
      <c r="AA335">
        <v>177.7</v>
      </c>
      <c r="AB335">
        <v>167.1</v>
      </c>
      <c r="AC335">
        <v>167.6</v>
      </c>
      <c r="AD335">
        <v>171.8</v>
      </c>
      <c r="AE335">
        <v>168.5</v>
      </c>
      <c r="AF335">
        <v>170.9</v>
      </c>
      <c r="AG335">
        <v>172.5</v>
      </c>
      <c r="AH335">
        <f t="shared" si="42"/>
        <v>2226.8000000000002</v>
      </c>
      <c r="AI335">
        <f t="shared" si="43"/>
        <v>175.3</v>
      </c>
      <c r="AJ335">
        <f t="shared" si="44"/>
        <v>167.1</v>
      </c>
      <c r="AK335">
        <f t="shared" si="45"/>
        <v>171.8</v>
      </c>
      <c r="AL335">
        <f t="shared" si="46"/>
        <v>1749.5000000000002</v>
      </c>
      <c r="AM335" t="str">
        <f t="shared" si="47"/>
        <v>Yes</v>
      </c>
    </row>
    <row r="336" spans="1:39" x14ac:dyDescent="0.3">
      <c r="A336" t="s">
        <v>32</v>
      </c>
      <c r="B336" s="28">
        <f t="shared" si="40"/>
        <v>44682</v>
      </c>
      <c r="C336">
        <v>2022</v>
      </c>
      <c r="D336" t="s">
        <v>37</v>
      </c>
      <c r="E336" t="str">
        <f t="shared" si="41"/>
        <v>May-22</v>
      </c>
      <c r="F336">
        <f>VLOOKUP(D336,'Problem Statement 4'!$G$2:$H$13,2,0)</f>
        <v>5</v>
      </c>
      <c r="G336">
        <v>156.69999999999999</v>
      </c>
      <c r="H336">
        <v>221.2</v>
      </c>
      <c r="I336">
        <v>164.1</v>
      </c>
      <c r="J336">
        <v>165.4</v>
      </c>
      <c r="K336">
        <v>189.5</v>
      </c>
      <c r="L336">
        <v>174.5</v>
      </c>
      <c r="M336">
        <v>203.2</v>
      </c>
      <c r="N336">
        <v>164.1</v>
      </c>
      <c r="O336">
        <v>121.2</v>
      </c>
      <c r="P336">
        <v>181.4</v>
      </c>
      <c r="Q336">
        <v>158.5</v>
      </c>
      <c r="R336">
        <v>184.9</v>
      </c>
      <c r="S336">
        <v>177.5</v>
      </c>
      <c r="T336">
        <v>197.5</v>
      </c>
      <c r="U336">
        <v>170</v>
      </c>
      <c r="V336">
        <v>155.9</v>
      </c>
      <c r="W336">
        <v>167.8</v>
      </c>
      <c r="X336">
        <v>167.5</v>
      </c>
      <c r="Y336">
        <v>173.5</v>
      </c>
      <c r="Z336">
        <v>161.1</v>
      </c>
      <c r="AA336">
        <v>170.1</v>
      </c>
      <c r="AB336">
        <v>159.4</v>
      </c>
      <c r="AC336">
        <v>163.19999999999999</v>
      </c>
      <c r="AD336">
        <v>165.2</v>
      </c>
      <c r="AE336">
        <v>168.2</v>
      </c>
      <c r="AF336">
        <v>163.80000000000001</v>
      </c>
      <c r="AG336">
        <v>170.8</v>
      </c>
      <c r="AH336">
        <f t="shared" si="42"/>
        <v>2262.2000000000003</v>
      </c>
      <c r="AI336">
        <f t="shared" si="43"/>
        <v>173.5</v>
      </c>
      <c r="AJ336">
        <f t="shared" si="44"/>
        <v>159.4</v>
      </c>
      <c r="AK336">
        <f t="shared" si="45"/>
        <v>165.2</v>
      </c>
      <c r="AL336">
        <f t="shared" si="46"/>
        <v>1685.1000000000001</v>
      </c>
      <c r="AM336" t="str">
        <f t="shared" si="47"/>
        <v>Yes</v>
      </c>
    </row>
    <row r="337" spans="1:39" x14ac:dyDescent="0.3">
      <c r="A337" t="s">
        <v>33</v>
      </c>
      <c r="B337" s="28">
        <f t="shared" si="40"/>
        <v>44682</v>
      </c>
      <c r="C337">
        <v>2022</v>
      </c>
      <c r="D337" t="s">
        <v>37</v>
      </c>
      <c r="E337" t="str">
        <f t="shared" si="41"/>
        <v>May-22</v>
      </c>
      <c r="F337">
        <f>VLOOKUP(D337,'Problem Statement 4'!$G$2:$H$13,2,0)</f>
        <v>5</v>
      </c>
      <c r="G337">
        <v>154.1</v>
      </c>
      <c r="H337">
        <v>217</v>
      </c>
      <c r="I337">
        <v>162.4</v>
      </c>
      <c r="J337">
        <v>164.9</v>
      </c>
      <c r="K337">
        <v>202.4</v>
      </c>
      <c r="L337">
        <v>171</v>
      </c>
      <c r="M337">
        <v>174.9</v>
      </c>
      <c r="N337">
        <v>164.7</v>
      </c>
      <c r="O337">
        <v>119.7</v>
      </c>
      <c r="P337">
        <v>184.9</v>
      </c>
      <c r="Q337">
        <v>167.1</v>
      </c>
      <c r="R337">
        <v>182.5</v>
      </c>
      <c r="S337">
        <v>173.3</v>
      </c>
      <c r="T337">
        <v>194.1</v>
      </c>
      <c r="U337">
        <v>175.6</v>
      </c>
      <c r="V337">
        <v>168.4</v>
      </c>
      <c r="W337">
        <v>174.6</v>
      </c>
      <c r="X337">
        <v>167.5</v>
      </c>
      <c r="Y337">
        <v>174.6</v>
      </c>
      <c r="Z337">
        <v>165.2</v>
      </c>
      <c r="AA337">
        <v>174.8</v>
      </c>
      <c r="AB337">
        <v>163</v>
      </c>
      <c r="AC337">
        <v>165.1</v>
      </c>
      <c r="AD337">
        <v>167.9</v>
      </c>
      <c r="AE337">
        <v>168.4</v>
      </c>
      <c r="AF337">
        <v>167.5</v>
      </c>
      <c r="AG337">
        <v>171.7</v>
      </c>
      <c r="AH337">
        <f t="shared" si="42"/>
        <v>2238.9000000000005</v>
      </c>
      <c r="AI337">
        <f t="shared" si="43"/>
        <v>174.6</v>
      </c>
      <c r="AJ337">
        <f t="shared" si="44"/>
        <v>163</v>
      </c>
      <c r="AK337">
        <f t="shared" si="45"/>
        <v>167.9</v>
      </c>
      <c r="AL337">
        <f t="shared" si="46"/>
        <v>1721.2</v>
      </c>
      <c r="AM337" t="str">
        <f t="shared" si="47"/>
        <v>Yes</v>
      </c>
    </row>
    <row r="338" spans="1:39" x14ac:dyDescent="0.3">
      <c r="A338" t="s">
        <v>30</v>
      </c>
      <c r="B338" s="28">
        <f t="shared" si="40"/>
        <v>44713</v>
      </c>
      <c r="C338">
        <v>2022</v>
      </c>
      <c r="D338" t="s">
        <v>38</v>
      </c>
      <c r="E338" t="str">
        <f t="shared" si="41"/>
        <v>Jun-22</v>
      </c>
      <c r="F338">
        <f>VLOOKUP(D338,'Problem Statement 4'!$G$2:$H$13,2,0)</f>
        <v>6</v>
      </c>
      <c r="G338">
        <v>153.80000000000001</v>
      </c>
      <c r="H338">
        <v>217.2</v>
      </c>
      <c r="I338">
        <v>169.6</v>
      </c>
      <c r="J338">
        <v>165.4</v>
      </c>
      <c r="K338">
        <v>208.1</v>
      </c>
      <c r="L338">
        <v>165.8</v>
      </c>
      <c r="M338">
        <v>167.3</v>
      </c>
      <c r="N338">
        <v>164.6</v>
      </c>
      <c r="O338">
        <v>119.1</v>
      </c>
      <c r="P338">
        <v>188.9</v>
      </c>
      <c r="Q338">
        <v>174.2</v>
      </c>
      <c r="R338">
        <v>181.9</v>
      </c>
      <c r="S338">
        <v>172.4</v>
      </c>
      <c r="T338">
        <v>192.9</v>
      </c>
      <c r="U338">
        <v>180.7</v>
      </c>
      <c r="V338">
        <v>178.7</v>
      </c>
      <c r="W338">
        <v>180.4</v>
      </c>
      <c r="X338">
        <v>166.8</v>
      </c>
      <c r="Y338">
        <v>176.7</v>
      </c>
      <c r="Z338">
        <v>170.3</v>
      </c>
      <c r="AA338">
        <v>178.2</v>
      </c>
      <c r="AB338">
        <v>165.5</v>
      </c>
      <c r="AC338">
        <v>168</v>
      </c>
      <c r="AD338">
        <v>172.6</v>
      </c>
      <c r="AE338">
        <v>169.5</v>
      </c>
      <c r="AF338">
        <v>171</v>
      </c>
      <c r="AG338">
        <v>173.6</v>
      </c>
      <c r="AH338">
        <f t="shared" si="42"/>
        <v>2248.3000000000002</v>
      </c>
      <c r="AI338">
        <f t="shared" si="43"/>
        <v>176.7</v>
      </c>
      <c r="AJ338">
        <f t="shared" si="44"/>
        <v>165.5</v>
      </c>
      <c r="AK338">
        <f t="shared" si="45"/>
        <v>172.6</v>
      </c>
      <c r="AL338">
        <f t="shared" si="46"/>
        <v>1756.5</v>
      </c>
      <c r="AM338" t="str">
        <f t="shared" si="47"/>
        <v>Yes</v>
      </c>
    </row>
    <row r="339" spans="1:39" x14ac:dyDescent="0.3">
      <c r="A339" t="s">
        <v>32</v>
      </c>
      <c r="B339" s="28">
        <f t="shared" si="40"/>
        <v>44713</v>
      </c>
      <c r="C339">
        <v>2022</v>
      </c>
      <c r="D339" t="s">
        <v>38</v>
      </c>
      <c r="E339" t="str">
        <f t="shared" si="41"/>
        <v>Jun-22</v>
      </c>
      <c r="F339">
        <f>VLOOKUP(D339,'Problem Statement 4'!$G$2:$H$13,2,0)</f>
        <v>6</v>
      </c>
      <c r="G339">
        <v>157.5</v>
      </c>
      <c r="H339">
        <v>223.4</v>
      </c>
      <c r="I339">
        <v>172.8</v>
      </c>
      <c r="J339">
        <v>166.4</v>
      </c>
      <c r="K339">
        <v>188.6</v>
      </c>
      <c r="L339">
        <v>174.1</v>
      </c>
      <c r="M339">
        <v>211.5</v>
      </c>
      <c r="N339">
        <v>163.6</v>
      </c>
      <c r="O339">
        <v>121.4</v>
      </c>
      <c r="P339">
        <v>183.5</v>
      </c>
      <c r="Q339">
        <v>159.1</v>
      </c>
      <c r="R339">
        <v>186.3</v>
      </c>
      <c r="S339">
        <v>179.3</v>
      </c>
      <c r="T339">
        <v>198.3</v>
      </c>
      <c r="U339">
        <v>171.6</v>
      </c>
      <c r="V339">
        <v>157.4</v>
      </c>
      <c r="W339">
        <v>169.4</v>
      </c>
      <c r="X339">
        <v>166.8</v>
      </c>
      <c r="Y339">
        <v>174.9</v>
      </c>
      <c r="Z339">
        <v>162.1</v>
      </c>
      <c r="AA339">
        <v>170.9</v>
      </c>
      <c r="AB339">
        <v>157.19999999999999</v>
      </c>
      <c r="AC339">
        <v>164.1</v>
      </c>
      <c r="AD339">
        <v>166.5</v>
      </c>
      <c r="AE339">
        <v>169.2</v>
      </c>
      <c r="AF339">
        <v>163.80000000000001</v>
      </c>
      <c r="AG339">
        <v>171.4</v>
      </c>
      <c r="AH339">
        <f t="shared" si="42"/>
        <v>2287.5</v>
      </c>
      <c r="AI339">
        <f t="shared" si="43"/>
        <v>174.9</v>
      </c>
      <c r="AJ339">
        <f t="shared" si="44"/>
        <v>157.19999999999999</v>
      </c>
      <c r="AK339">
        <f t="shared" si="45"/>
        <v>166.5</v>
      </c>
      <c r="AL339">
        <f t="shared" si="46"/>
        <v>1693.6</v>
      </c>
      <c r="AM339" t="str">
        <f t="shared" si="47"/>
        <v>Yes</v>
      </c>
    </row>
    <row r="340" spans="1:39" x14ac:dyDescent="0.3">
      <c r="A340" t="s">
        <v>33</v>
      </c>
      <c r="B340" s="28">
        <f t="shared" si="40"/>
        <v>44713</v>
      </c>
      <c r="C340">
        <v>2022</v>
      </c>
      <c r="D340" t="s">
        <v>38</v>
      </c>
      <c r="E340" t="str">
        <f t="shared" si="41"/>
        <v>Jun-22</v>
      </c>
      <c r="F340">
        <f>VLOOKUP(D340,'Problem Statement 4'!$G$2:$H$13,2,0)</f>
        <v>6</v>
      </c>
      <c r="G340">
        <v>155</v>
      </c>
      <c r="H340">
        <v>219.4</v>
      </c>
      <c r="I340">
        <v>170.8</v>
      </c>
      <c r="J340">
        <v>165.8</v>
      </c>
      <c r="K340">
        <v>200.9</v>
      </c>
      <c r="L340">
        <v>169.7</v>
      </c>
      <c r="M340">
        <v>182.3</v>
      </c>
      <c r="N340">
        <v>164.3</v>
      </c>
      <c r="O340">
        <v>119.9</v>
      </c>
      <c r="P340">
        <v>187.1</v>
      </c>
      <c r="Q340">
        <v>167.9</v>
      </c>
      <c r="R340">
        <v>183.9</v>
      </c>
      <c r="S340">
        <v>174.9</v>
      </c>
      <c r="T340">
        <v>194.3</v>
      </c>
      <c r="U340">
        <v>177.1</v>
      </c>
      <c r="V340">
        <v>169.9</v>
      </c>
      <c r="W340">
        <v>176</v>
      </c>
      <c r="X340">
        <v>166.8</v>
      </c>
      <c r="Y340">
        <v>176</v>
      </c>
      <c r="Z340">
        <v>166.4</v>
      </c>
      <c r="AA340">
        <v>175.4</v>
      </c>
      <c r="AB340">
        <v>161.1</v>
      </c>
      <c r="AC340">
        <v>165.8</v>
      </c>
      <c r="AD340">
        <v>169</v>
      </c>
      <c r="AE340">
        <v>169.4</v>
      </c>
      <c r="AF340">
        <v>167.5</v>
      </c>
      <c r="AG340">
        <v>172.6</v>
      </c>
      <c r="AH340">
        <f t="shared" si="42"/>
        <v>2261.9</v>
      </c>
      <c r="AI340">
        <f t="shared" si="43"/>
        <v>176</v>
      </c>
      <c r="AJ340">
        <f t="shared" si="44"/>
        <v>161.1</v>
      </c>
      <c r="AK340">
        <f t="shared" si="45"/>
        <v>169</v>
      </c>
      <c r="AL340">
        <f t="shared" si="46"/>
        <v>1728.6000000000001</v>
      </c>
      <c r="AM340" t="str">
        <f t="shared" si="47"/>
        <v>Yes</v>
      </c>
    </row>
    <row r="341" spans="1:39" x14ac:dyDescent="0.3">
      <c r="A341" t="s">
        <v>30</v>
      </c>
      <c r="B341" s="28">
        <f t="shared" si="40"/>
        <v>44743</v>
      </c>
      <c r="C341">
        <v>2022</v>
      </c>
      <c r="D341" t="s">
        <v>39</v>
      </c>
      <c r="E341" t="str">
        <f t="shared" si="41"/>
        <v>Jul-22</v>
      </c>
      <c r="F341">
        <f>VLOOKUP(D341,'Problem Statement 4'!$G$2:$H$13,2,0)</f>
        <v>7</v>
      </c>
      <c r="G341">
        <v>155.19999999999999</v>
      </c>
      <c r="H341">
        <v>210.8</v>
      </c>
      <c r="I341">
        <v>174.3</v>
      </c>
      <c r="J341">
        <v>166.3</v>
      </c>
      <c r="K341">
        <v>202.2</v>
      </c>
      <c r="L341">
        <v>169.6</v>
      </c>
      <c r="M341">
        <v>168.6</v>
      </c>
      <c r="N341">
        <v>164.4</v>
      </c>
      <c r="O341">
        <v>119.2</v>
      </c>
      <c r="P341">
        <v>191.8</v>
      </c>
      <c r="Q341">
        <v>174.5</v>
      </c>
      <c r="R341">
        <v>183.1</v>
      </c>
      <c r="S341">
        <v>172.5</v>
      </c>
      <c r="T341">
        <v>193.2</v>
      </c>
      <c r="U341">
        <v>182</v>
      </c>
      <c r="V341">
        <v>180.3</v>
      </c>
      <c r="W341">
        <v>181.7</v>
      </c>
      <c r="X341">
        <v>167.8</v>
      </c>
      <c r="Y341">
        <v>179.6</v>
      </c>
      <c r="Z341">
        <v>171.3</v>
      </c>
      <c r="AA341">
        <v>178.8</v>
      </c>
      <c r="AB341">
        <v>166.3</v>
      </c>
      <c r="AC341">
        <v>168.6</v>
      </c>
      <c r="AD341">
        <v>174.7</v>
      </c>
      <c r="AE341">
        <v>169.7</v>
      </c>
      <c r="AF341">
        <v>171.8</v>
      </c>
      <c r="AG341">
        <v>174.3</v>
      </c>
      <c r="AH341">
        <f t="shared" si="42"/>
        <v>2252.5</v>
      </c>
      <c r="AI341">
        <f t="shared" si="43"/>
        <v>179.6</v>
      </c>
      <c r="AJ341">
        <f t="shared" si="44"/>
        <v>166.3</v>
      </c>
      <c r="AK341">
        <f t="shared" si="45"/>
        <v>174.7</v>
      </c>
      <c r="AL341">
        <f t="shared" si="46"/>
        <v>1765.1999999999998</v>
      </c>
      <c r="AM341" t="str">
        <f t="shared" si="47"/>
        <v>Yes</v>
      </c>
    </row>
    <row r="342" spans="1:39" x14ac:dyDescent="0.3">
      <c r="A342" t="s">
        <v>32</v>
      </c>
      <c r="B342" s="28">
        <f t="shared" si="40"/>
        <v>44743</v>
      </c>
      <c r="C342">
        <v>2022</v>
      </c>
      <c r="D342" t="s">
        <v>39</v>
      </c>
      <c r="E342" t="str">
        <f t="shared" si="41"/>
        <v>Jul-22</v>
      </c>
      <c r="F342">
        <f>VLOOKUP(D342,'Problem Statement 4'!$G$2:$H$13,2,0)</f>
        <v>7</v>
      </c>
      <c r="G342">
        <v>159.30000000000001</v>
      </c>
      <c r="H342">
        <v>217.1</v>
      </c>
      <c r="I342">
        <v>176.6</v>
      </c>
      <c r="J342">
        <v>167.1</v>
      </c>
      <c r="K342">
        <v>184.8</v>
      </c>
      <c r="L342">
        <v>179.5</v>
      </c>
      <c r="M342">
        <v>208.5</v>
      </c>
      <c r="N342">
        <v>164</v>
      </c>
      <c r="O342">
        <v>121.5</v>
      </c>
      <c r="P342">
        <v>186.3</v>
      </c>
      <c r="Q342">
        <v>159.80000000000001</v>
      </c>
      <c r="R342">
        <v>187.7</v>
      </c>
      <c r="S342">
        <v>179.4</v>
      </c>
      <c r="T342">
        <v>198.6</v>
      </c>
      <c r="U342">
        <v>172.7</v>
      </c>
      <c r="V342">
        <v>158.69999999999999</v>
      </c>
      <c r="W342">
        <v>170.6</v>
      </c>
      <c r="X342">
        <v>167.8</v>
      </c>
      <c r="Y342">
        <v>179.5</v>
      </c>
      <c r="Z342">
        <v>163.1</v>
      </c>
      <c r="AA342">
        <v>171.7</v>
      </c>
      <c r="AB342">
        <v>157.4</v>
      </c>
      <c r="AC342">
        <v>164.6</v>
      </c>
      <c r="AD342">
        <v>169.1</v>
      </c>
      <c r="AE342">
        <v>169.8</v>
      </c>
      <c r="AF342">
        <v>164.7</v>
      </c>
      <c r="AG342">
        <v>172.3</v>
      </c>
      <c r="AH342">
        <f t="shared" si="42"/>
        <v>2291.6</v>
      </c>
      <c r="AI342">
        <f t="shared" si="43"/>
        <v>179.5</v>
      </c>
      <c r="AJ342">
        <f t="shared" si="44"/>
        <v>157.4</v>
      </c>
      <c r="AK342">
        <f t="shared" si="45"/>
        <v>169.1</v>
      </c>
      <c r="AL342">
        <f t="shared" si="46"/>
        <v>1702.3</v>
      </c>
      <c r="AM342" t="str">
        <f t="shared" si="47"/>
        <v>Yes</v>
      </c>
    </row>
    <row r="343" spans="1:39" x14ac:dyDescent="0.3">
      <c r="A343" t="s">
        <v>33</v>
      </c>
      <c r="B343" s="28">
        <f t="shared" si="40"/>
        <v>44743</v>
      </c>
      <c r="C343">
        <v>2022</v>
      </c>
      <c r="D343" t="s">
        <v>39</v>
      </c>
      <c r="E343" t="str">
        <f t="shared" si="41"/>
        <v>Jul-22</v>
      </c>
      <c r="F343">
        <f>VLOOKUP(D343,'Problem Statement 4'!$G$2:$H$13,2,0)</f>
        <v>7</v>
      </c>
      <c r="G343">
        <v>156.5</v>
      </c>
      <c r="H343">
        <v>213</v>
      </c>
      <c r="I343">
        <v>175.2</v>
      </c>
      <c r="J343">
        <v>166.6</v>
      </c>
      <c r="K343">
        <v>195.8</v>
      </c>
      <c r="L343">
        <v>174.2</v>
      </c>
      <c r="M343">
        <v>182.1</v>
      </c>
      <c r="N343">
        <v>164.3</v>
      </c>
      <c r="O343">
        <v>120</v>
      </c>
      <c r="P343">
        <v>190</v>
      </c>
      <c r="Q343">
        <v>168.4</v>
      </c>
      <c r="R343">
        <v>185.2</v>
      </c>
      <c r="S343">
        <v>175</v>
      </c>
      <c r="T343">
        <v>194.6</v>
      </c>
      <c r="U343">
        <v>178.3</v>
      </c>
      <c r="V343">
        <v>171.3</v>
      </c>
      <c r="W343">
        <v>177.3</v>
      </c>
      <c r="X343">
        <v>167.8</v>
      </c>
      <c r="Y343">
        <v>179.6</v>
      </c>
      <c r="Z343">
        <v>167.4</v>
      </c>
      <c r="AA343">
        <v>176.1</v>
      </c>
      <c r="AB343">
        <v>161.6</v>
      </c>
      <c r="AC343">
        <v>166.3</v>
      </c>
      <c r="AD343">
        <v>171.4</v>
      </c>
      <c r="AE343">
        <v>169.7</v>
      </c>
      <c r="AF343">
        <v>168.4</v>
      </c>
      <c r="AG343">
        <v>173.4</v>
      </c>
      <c r="AH343">
        <f t="shared" si="42"/>
        <v>2266.3000000000002</v>
      </c>
      <c r="AI343">
        <f t="shared" si="43"/>
        <v>179.6</v>
      </c>
      <c r="AJ343">
        <f t="shared" si="44"/>
        <v>161.6</v>
      </c>
      <c r="AK343">
        <f t="shared" si="45"/>
        <v>171.4</v>
      </c>
      <c r="AL343">
        <f t="shared" si="46"/>
        <v>1737.2</v>
      </c>
      <c r="AM343" t="str">
        <f t="shared" si="47"/>
        <v>Yes</v>
      </c>
    </row>
    <row r="344" spans="1:39" x14ac:dyDescent="0.3">
      <c r="A344" t="s">
        <v>30</v>
      </c>
      <c r="B344" s="28">
        <f t="shared" si="40"/>
        <v>44774</v>
      </c>
      <c r="C344">
        <v>2022</v>
      </c>
      <c r="D344" t="s">
        <v>40</v>
      </c>
      <c r="E344" t="str">
        <f t="shared" si="41"/>
        <v>Aug-22</v>
      </c>
      <c r="F344">
        <f>VLOOKUP(D344,'Problem Statement 4'!$G$2:$H$13,2,0)</f>
        <v>8</v>
      </c>
      <c r="G344">
        <v>159.5</v>
      </c>
      <c r="H344">
        <v>204.1</v>
      </c>
      <c r="I344">
        <v>168.3</v>
      </c>
      <c r="J344">
        <v>167.9</v>
      </c>
      <c r="K344">
        <v>198.1</v>
      </c>
      <c r="L344">
        <v>169.2</v>
      </c>
      <c r="M344">
        <v>173.1</v>
      </c>
      <c r="N344">
        <v>167.1</v>
      </c>
      <c r="O344">
        <v>120.2</v>
      </c>
      <c r="P344">
        <v>195.6</v>
      </c>
      <c r="Q344">
        <v>174.8</v>
      </c>
      <c r="R344">
        <v>184</v>
      </c>
      <c r="S344">
        <v>173.9</v>
      </c>
      <c r="T344">
        <v>193.7</v>
      </c>
      <c r="U344">
        <v>183.2</v>
      </c>
      <c r="V344">
        <v>181.7</v>
      </c>
      <c r="W344">
        <v>183</v>
      </c>
      <c r="X344">
        <v>169</v>
      </c>
      <c r="Y344">
        <v>179.1</v>
      </c>
      <c r="Z344">
        <v>172.3</v>
      </c>
      <c r="AA344">
        <v>179.4</v>
      </c>
      <c r="AB344">
        <v>166.6</v>
      </c>
      <c r="AC344">
        <v>169.3</v>
      </c>
      <c r="AD344">
        <v>175.7</v>
      </c>
      <c r="AE344">
        <v>171.1</v>
      </c>
      <c r="AF344">
        <v>172.6</v>
      </c>
      <c r="AG344">
        <v>175.3</v>
      </c>
      <c r="AH344">
        <f t="shared" si="42"/>
        <v>2255.7999999999997</v>
      </c>
      <c r="AI344">
        <f t="shared" si="43"/>
        <v>179.1</v>
      </c>
      <c r="AJ344">
        <f t="shared" si="44"/>
        <v>166.6</v>
      </c>
      <c r="AK344">
        <f t="shared" si="45"/>
        <v>175.7</v>
      </c>
      <c r="AL344">
        <f t="shared" si="46"/>
        <v>1775.2999999999997</v>
      </c>
      <c r="AM344" t="str">
        <f t="shared" si="47"/>
        <v>Yes</v>
      </c>
    </row>
    <row r="345" spans="1:39" x14ac:dyDescent="0.3">
      <c r="A345" t="s">
        <v>32</v>
      </c>
      <c r="B345" s="28">
        <f t="shared" si="40"/>
        <v>44774</v>
      </c>
      <c r="C345">
        <v>2022</v>
      </c>
      <c r="D345" t="s">
        <v>40</v>
      </c>
      <c r="E345" t="str">
        <f t="shared" si="41"/>
        <v>Aug-22</v>
      </c>
      <c r="F345">
        <f>VLOOKUP(D345,'Problem Statement 4'!$G$2:$H$13,2,0)</f>
        <v>8</v>
      </c>
      <c r="G345">
        <v>162.1</v>
      </c>
      <c r="H345">
        <v>210.9</v>
      </c>
      <c r="I345">
        <v>170.6</v>
      </c>
      <c r="J345">
        <v>168.4</v>
      </c>
      <c r="K345">
        <v>182.5</v>
      </c>
      <c r="L345">
        <v>177.1</v>
      </c>
      <c r="M345">
        <v>213.1</v>
      </c>
      <c r="N345">
        <v>167.3</v>
      </c>
      <c r="O345">
        <v>122.2</v>
      </c>
      <c r="P345">
        <v>189.7</v>
      </c>
      <c r="Q345">
        <v>160.5</v>
      </c>
      <c r="R345">
        <v>188.9</v>
      </c>
      <c r="S345">
        <v>180.4</v>
      </c>
      <c r="T345">
        <v>198.7</v>
      </c>
      <c r="U345">
        <v>173.7</v>
      </c>
      <c r="V345">
        <v>160</v>
      </c>
      <c r="W345">
        <v>171.6</v>
      </c>
      <c r="X345">
        <v>169</v>
      </c>
      <c r="Y345">
        <v>178.4</v>
      </c>
      <c r="Z345">
        <v>164.2</v>
      </c>
      <c r="AA345">
        <v>172.6</v>
      </c>
      <c r="AB345">
        <v>157.69999999999999</v>
      </c>
      <c r="AC345">
        <v>165.1</v>
      </c>
      <c r="AD345">
        <v>169.9</v>
      </c>
      <c r="AE345">
        <v>171.4</v>
      </c>
      <c r="AF345">
        <v>165.4</v>
      </c>
      <c r="AG345">
        <v>173.1</v>
      </c>
      <c r="AH345">
        <f t="shared" si="42"/>
        <v>2293.6999999999998</v>
      </c>
      <c r="AI345">
        <f t="shared" si="43"/>
        <v>178.4</v>
      </c>
      <c r="AJ345">
        <f t="shared" si="44"/>
        <v>157.69999999999999</v>
      </c>
      <c r="AK345">
        <f t="shared" si="45"/>
        <v>169.9</v>
      </c>
      <c r="AL345">
        <f t="shared" si="46"/>
        <v>1711.7</v>
      </c>
      <c r="AM345" t="str">
        <f t="shared" si="47"/>
        <v>Yes</v>
      </c>
    </row>
    <row r="346" spans="1:39" x14ac:dyDescent="0.3">
      <c r="A346" t="s">
        <v>33</v>
      </c>
      <c r="B346" s="28">
        <f t="shared" si="40"/>
        <v>44774</v>
      </c>
      <c r="C346">
        <v>2022</v>
      </c>
      <c r="D346" t="s">
        <v>40</v>
      </c>
      <c r="E346" t="str">
        <f t="shared" si="41"/>
        <v>Aug-22</v>
      </c>
      <c r="F346">
        <f>VLOOKUP(D346,'Problem Statement 4'!$G$2:$H$13,2,0)</f>
        <v>8</v>
      </c>
      <c r="G346">
        <v>160.30000000000001</v>
      </c>
      <c r="H346">
        <v>206.5</v>
      </c>
      <c r="I346">
        <v>169.2</v>
      </c>
      <c r="J346">
        <v>168.1</v>
      </c>
      <c r="K346">
        <v>192.4</v>
      </c>
      <c r="L346">
        <v>172.9</v>
      </c>
      <c r="M346">
        <v>186.7</v>
      </c>
      <c r="N346">
        <v>167.2</v>
      </c>
      <c r="O346">
        <v>120.9</v>
      </c>
      <c r="P346">
        <v>193.6</v>
      </c>
      <c r="Q346">
        <v>168.8</v>
      </c>
      <c r="R346">
        <v>186.3</v>
      </c>
      <c r="S346">
        <v>176.3</v>
      </c>
      <c r="T346">
        <v>195</v>
      </c>
      <c r="U346">
        <v>179.5</v>
      </c>
      <c r="V346">
        <v>172.7</v>
      </c>
      <c r="W346">
        <v>178.5</v>
      </c>
      <c r="X346">
        <v>169</v>
      </c>
      <c r="Y346">
        <v>178.8</v>
      </c>
      <c r="Z346">
        <v>168.5</v>
      </c>
      <c r="AA346">
        <v>176.8</v>
      </c>
      <c r="AB346">
        <v>161.9</v>
      </c>
      <c r="AC346">
        <v>166.9</v>
      </c>
      <c r="AD346">
        <v>172.3</v>
      </c>
      <c r="AE346">
        <v>171.2</v>
      </c>
      <c r="AF346">
        <v>169.1</v>
      </c>
      <c r="AG346">
        <v>174.3</v>
      </c>
      <c r="AH346">
        <f t="shared" si="42"/>
        <v>2269.2000000000003</v>
      </c>
      <c r="AI346">
        <f t="shared" si="43"/>
        <v>178.8</v>
      </c>
      <c r="AJ346">
        <f t="shared" si="44"/>
        <v>161.9</v>
      </c>
      <c r="AK346">
        <f t="shared" si="45"/>
        <v>172.3</v>
      </c>
      <c r="AL346">
        <f t="shared" si="46"/>
        <v>1747.2</v>
      </c>
      <c r="AM346" t="str">
        <f t="shared" si="47"/>
        <v>Yes</v>
      </c>
    </row>
    <row r="347" spans="1:39" x14ac:dyDescent="0.3">
      <c r="A347" t="s">
        <v>30</v>
      </c>
      <c r="B347" s="28">
        <f t="shared" si="40"/>
        <v>44805</v>
      </c>
      <c r="C347">
        <v>2022</v>
      </c>
      <c r="D347" t="s">
        <v>41</v>
      </c>
      <c r="E347" t="str">
        <f t="shared" si="41"/>
        <v>Sep-22</v>
      </c>
      <c r="F347">
        <f>VLOOKUP(D347,'Problem Statement 4'!$G$2:$H$13,2,0)</f>
        <v>9</v>
      </c>
      <c r="G347">
        <v>162.9</v>
      </c>
      <c r="H347">
        <v>206.7</v>
      </c>
      <c r="I347">
        <v>169</v>
      </c>
      <c r="J347">
        <v>169.5</v>
      </c>
      <c r="K347">
        <v>194.1</v>
      </c>
      <c r="L347">
        <v>164.1</v>
      </c>
      <c r="M347">
        <v>176.9</v>
      </c>
      <c r="N347">
        <v>169</v>
      </c>
      <c r="O347">
        <v>120.8</v>
      </c>
      <c r="P347">
        <v>199.1</v>
      </c>
      <c r="Q347">
        <v>175.4</v>
      </c>
      <c r="R347">
        <v>184.8</v>
      </c>
      <c r="S347">
        <v>175.5</v>
      </c>
      <c r="T347">
        <v>194.5</v>
      </c>
      <c r="U347">
        <v>184.7</v>
      </c>
      <c r="V347">
        <v>183.3</v>
      </c>
      <c r="W347">
        <v>184.5</v>
      </c>
      <c r="X347">
        <v>169.5</v>
      </c>
      <c r="Y347">
        <v>179.7</v>
      </c>
      <c r="Z347">
        <v>173.6</v>
      </c>
      <c r="AA347">
        <v>180.2</v>
      </c>
      <c r="AB347">
        <v>166.9</v>
      </c>
      <c r="AC347">
        <v>170</v>
      </c>
      <c r="AD347">
        <v>176.2</v>
      </c>
      <c r="AE347">
        <v>170.8</v>
      </c>
      <c r="AF347">
        <v>173.1</v>
      </c>
      <c r="AG347">
        <v>176.4</v>
      </c>
      <c r="AH347">
        <f t="shared" si="42"/>
        <v>2267.8000000000002</v>
      </c>
      <c r="AI347">
        <f t="shared" si="43"/>
        <v>179.7</v>
      </c>
      <c r="AJ347">
        <f t="shared" si="44"/>
        <v>166.9</v>
      </c>
      <c r="AK347">
        <f t="shared" si="45"/>
        <v>176.2</v>
      </c>
      <c r="AL347">
        <f t="shared" si="46"/>
        <v>1784.1999999999998</v>
      </c>
      <c r="AM347" t="str">
        <f t="shared" si="47"/>
        <v>Yes</v>
      </c>
    </row>
    <row r="348" spans="1:39" x14ac:dyDescent="0.3">
      <c r="A348" t="s">
        <v>32</v>
      </c>
      <c r="B348" s="28">
        <f t="shared" si="40"/>
        <v>44805</v>
      </c>
      <c r="C348">
        <v>2022</v>
      </c>
      <c r="D348" t="s">
        <v>41</v>
      </c>
      <c r="E348" t="str">
        <f t="shared" si="41"/>
        <v>Sep-22</v>
      </c>
      <c r="F348">
        <f>VLOOKUP(D348,'Problem Statement 4'!$G$2:$H$13,2,0)</f>
        <v>9</v>
      </c>
      <c r="G348">
        <v>164.9</v>
      </c>
      <c r="H348">
        <v>213.7</v>
      </c>
      <c r="I348">
        <v>170.9</v>
      </c>
      <c r="J348">
        <v>170.1</v>
      </c>
      <c r="K348">
        <v>179.3</v>
      </c>
      <c r="L348">
        <v>167.5</v>
      </c>
      <c r="M348">
        <v>220.8</v>
      </c>
      <c r="N348">
        <v>169.2</v>
      </c>
      <c r="O348">
        <v>123.1</v>
      </c>
      <c r="P348">
        <v>193.6</v>
      </c>
      <c r="Q348">
        <v>161.1</v>
      </c>
      <c r="R348">
        <v>190.4</v>
      </c>
      <c r="S348">
        <v>181.8</v>
      </c>
      <c r="T348">
        <v>199.7</v>
      </c>
      <c r="U348">
        <v>175</v>
      </c>
      <c r="V348">
        <v>161.69999999999999</v>
      </c>
      <c r="W348">
        <v>173</v>
      </c>
      <c r="X348">
        <v>169.5</v>
      </c>
      <c r="Y348">
        <v>179.2</v>
      </c>
      <c r="Z348">
        <v>165</v>
      </c>
      <c r="AA348">
        <v>173.8</v>
      </c>
      <c r="AB348">
        <v>158.19999999999999</v>
      </c>
      <c r="AC348">
        <v>165.8</v>
      </c>
      <c r="AD348">
        <v>170.9</v>
      </c>
      <c r="AE348">
        <v>171.1</v>
      </c>
      <c r="AF348">
        <v>166.1</v>
      </c>
      <c r="AG348">
        <v>174.1</v>
      </c>
      <c r="AH348">
        <f t="shared" si="42"/>
        <v>2306.4</v>
      </c>
      <c r="AI348">
        <f t="shared" si="43"/>
        <v>179.2</v>
      </c>
      <c r="AJ348">
        <f t="shared" si="44"/>
        <v>158.19999999999999</v>
      </c>
      <c r="AK348">
        <f t="shared" si="45"/>
        <v>170.9</v>
      </c>
      <c r="AL348">
        <f t="shared" si="46"/>
        <v>1720.6999999999998</v>
      </c>
      <c r="AM348" t="str">
        <f t="shared" si="47"/>
        <v>Yes</v>
      </c>
    </row>
    <row r="349" spans="1:39" x14ac:dyDescent="0.3">
      <c r="A349" t="s">
        <v>33</v>
      </c>
      <c r="B349" s="28">
        <f t="shared" si="40"/>
        <v>44805</v>
      </c>
      <c r="C349">
        <v>2022</v>
      </c>
      <c r="D349" t="s">
        <v>41</v>
      </c>
      <c r="E349" t="str">
        <f t="shared" si="41"/>
        <v>Sep-22</v>
      </c>
      <c r="F349">
        <f>VLOOKUP(D349,'Problem Statement 4'!$G$2:$H$13,2,0)</f>
        <v>9</v>
      </c>
      <c r="G349">
        <v>163.5</v>
      </c>
      <c r="H349">
        <v>209.2</v>
      </c>
      <c r="I349">
        <v>169.7</v>
      </c>
      <c r="J349">
        <v>169.7</v>
      </c>
      <c r="K349">
        <v>188.7</v>
      </c>
      <c r="L349">
        <v>165.7</v>
      </c>
      <c r="M349">
        <v>191.8</v>
      </c>
      <c r="N349">
        <v>169.1</v>
      </c>
      <c r="O349">
        <v>121.6</v>
      </c>
      <c r="P349">
        <v>197.3</v>
      </c>
      <c r="Q349">
        <v>169.4</v>
      </c>
      <c r="R349">
        <v>187.4</v>
      </c>
      <c r="S349">
        <v>177.8</v>
      </c>
      <c r="T349">
        <v>195.9</v>
      </c>
      <c r="U349">
        <v>180.9</v>
      </c>
      <c r="V349">
        <v>174.3</v>
      </c>
      <c r="W349">
        <v>179.9</v>
      </c>
      <c r="X349">
        <v>169.5</v>
      </c>
      <c r="Y349">
        <v>179.5</v>
      </c>
      <c r="Z349">
        <v>169.5</v>
      </c>
      <c r="AA349">
        <v>177.8</v>
      </c>
      <c r="AB349">
        <v>162.30000000000001</v>
      </c>
      <c r="AC349">
        <v>167.6</v>
      </c>
      <c r="AD349">
        <v>173.1</v>
      </c>
      <c r="AE349">
        <v>170.9</v>
      </c>
      <c r="AF349">
        <v>169.7</v>
      </c>
      <c r="AG349">
        <v>175.3</v>
      </c>
      <c r="AH349">
        <f t="shared" si="42"/>
        <v>2280.9</v>
      </c>
      <c r="AI349">
        <f t="shared" si="43"/>
        <v>179.5</v>
      </c>
      <c r="AJ349">
        <f t="shared" si="44"/>
        <v>162.30000000000001</v>
      </c>
      <c r="AK349">
        <f t="shared" si="45"/>
        <v>173.1</v>
      </c>
      <c r="AL349">
        <f t="shared" si="46"/>
        <v>1756</v>
      </c>
      <c r="AM349" t="str">
        <f t="shared" si="47"/>
        <v>Yes</v>
      </c>
    </row>
    <row r="350" spans="1:39" x14ac:dyDescent="0.3">
      <c r="A350" t="s">
        <v>30</v>
      </c>
      <c r="B350" s="28">
        <f t="shared" si="40"/>
        <v>44835</v>
      </c>
      <c r="C350">
        <v>2022</v>
      </c>
      <c r="D350" t="s">
        <v>42</v>
      </c>
      <c r="E350" t="str">
        <f t="shared" si="41"/>
        <v>Oct-22</v>
      </c>
      <c r="F350">
        <f>VLOOKUP(D350,'Problem Statement 4'!$G$2:$H$13,2,0)</f>
        <v>10</v>
      </c>
      <c r="G350">
        <v>164.7</v>
      </c>
      <c r="H350">
        <v>208.8</v>
      </c>
      <c r="I350">
        <v>170.3</v>
      </c>
      <c r="J350">
        <v>170.9</v>
      </c>
      <c r="K350">
        <v>191.6</v>
      </c>
      <c r="L350">
        <v>162.19999999999999</v>
      </c>
      <c r="M350">
        <v>184.8</v>
      </c>
      <c r="N350">
        <v>169.7</v>
      </c>
      <c r="O350">
        <v>121.1</v>
      </c>
      <c r="P350">
        <v>201.6</v>
      </c>
      <c r="Q350">
        <v>175.8</v>
      </c>
      <c r="R350">
        <v>185.6</v>
      </c>
      <c r="S350">
        <v>177.4</v>
      </c>
      <c r="T350">
        <v>194.9</v>
      </c>
      <c r="U350">
        <v>186.1</v>
      </c>
      <c r="V350">
        <v>184.4</v>
      </c>
      <c r="W350">
        <v>185.9</v>
      </c>
      <c r="X350">
        <v>171.2</v>
      </c>
      <c r="Y350">
        <v>180.8</v>
      </c>
      <c r="Z350">
        <v>174.4</v>
      </c>
      <c r="AA350">
        <v>181.2</v>
      </c>
      <c r="AB350">
        <v>167.4</v>
      </c>
      <c r="AC350">
        <v>170.6</v>
      </c>
      <c r="AD350">
        <v>176.5</v>
      </c>
      <c r="AE350">
        <v>172</v>
      </c>
      <c r="AF350">
        <v>173.9</v>
      </c>
      <c r="AG350">
        <v>177.9</v>
      </c>
      <c r="AH350">
        <f t="shared" si="42"/>
        <v>2284.5</v>
      </c>
      <c r="AI350">
        <f t="shared" si="43"/>
        <v>180.8</v>
      </c>
      <c r="AJ350">
        <f t="shared" si="44"/>
        <v>167.4</v>
      </c>
      <c r="AK350">
        <f t="shared" si="45"/>
        <v>176.5</v>
      </c>
      <c r="AL350">
        <f t="shared" si="46"/>
        <v>1794.6000000000001</v>
      </c>
      <c r="AM350" t="str">
        <f t="shared" si="47"/>
        <v>Yes</v>
      </c>
    </row>
    <row r="351" spans="1:39" x14ac:dyDescent="0.3">
      <c r="A351" t="s">
        <v>32</v>
      </c>
      <c r="B351" s="28">
        <f t="shared" si="40"/>
        <v>44835</v>
      </c>
      <c r="C351">
        <v>2022</v>
      </c>
      <c r="D351" t="s">
        <v>42</v>
      </c>
      <c r="E351" t="str">
        <f t="shared" si="41"/>
        <v>Oct-22</v>
      </c>
      <c r="F351">
        <f>VLOOKUP(D351,'Problem Statement 4'!$G$2:$H$13,2,0)</f>
        <v>10</v>
      </c>
      <c r="G351">
        <v>166.4</v>
      </c>
      <c r="H351">
        <v>214.9</v>
      </c>
      <c r="I351">
        <v>171.9</v>
      </c>
      <c r="J351">
        <v>171</v>
      </c>
      <c r="K351">
        <v>177.7</v>
      </c>
      <c r="L351">
        <v>165.7</v>
      </c>
      <c r="M351">
        <v>228.6</v>
      </c>
      <c r="N351">
        <v>169.9</v>
      </c>
      <c r="O351">
        <v>123.4</v>
      </c>
      <c r="P351">
        <v>196.4</v>
      </c>
      <c r="Q351">
        <v>161.6</v>
      </c>
      <c r="R351">
        <v>191.5</v>
      </c>
      <c r="S351">
        <v>183.3</v>
      </c>
      <c r="T351">
        <v>200.1</v>
      </c>
      <c r="U351">
        <v>175.5</v>
      </c>
      <c r="V351">
        <v>162.6</v>
      </c>
      <c r="W351">
        <v>173.6</v>
      </c>
      <c r="X351">
        <v>171.2</v>
      </c>
      <c r="Y351">
        <v>180</v>
      </c>
      <c r="Z351">
        <v>166</v>
      </c>
      <c r="AA351">
        <v>174.7</v>
      </c>
      <c r="AB351">
        <v>158.80000000000001</v>
      </c>
      <c r="AC351">
        <v>166.3</v>
      </c>
      <c r="AD351">
        <v>171.2</v>
      </c>
      <c r="AE351">
        <v>172.3</v>
      </c>
      <c r="AF351">
        <v>166.8</v>
      </c>
      <c r="AG351">
        <v>175.3</v>
      </c>
      <c r="AH351">
        <f t="shared" si="42"/>
        <v>2322.3000000000002</v>
      </c>
      <c r="AI351">
        <f t="shared" si="43"/>
        <v>180</v>
      </c>
      <c r="AJ351">
        <f t="shared" si="44"/>
        <v>158.80000000000001</v>
      </c>
      <c r="AK351">
        <f t="shared" si="45"/>
        <v>171.2</v>
      </c>
      <c r="AL351">
        <f t="shared" si="46"/>
        <v>1729.1</v>
      </c>
      <c r="AM351" t="str">
        <f t="shared" si="47"/>
        <v>Yes</v>
      </c>
    </row>
    <row r="352" spans="1:39" x14ac:dyDescent="0.3">
      <c r="A352" t="s">
        <v>33</v>
      </c>
      <c r="B352" s="28">
        <f t="shared" si="40"/>
        <v>44835</v>
      </c>
      <c r="C352">
        <v>2022</v>
      </c>
      <c r="D352" t="s">
        <v>42</v>
      </c>
      <c r="E352" t="str">
        <f t="shared" si="41"/>
        <v>Oct-22</v>
      </c>
      <c r="F352">
        <f>VLOOKUP(D352,'Problem Statement 4'!$G$2:$H$13,2,0)</f>
        <v>10</v>
      </c>
      <c r="G352">
        <v>165.2</v>
      </c>
      <c r="H352">
        <v>210.9</v>
      </c>
      <c r="I352">
        <v>170.9</v>
      </c>
      <c r="J352">
        <v>170.9</v>
      </c>
      <c r="K352">
        <v>186.5</v>
      </c>
      <c r="L352">
        <v>163.80000000000001</v>
      </c>
      <c r="M352">
        <v>199.7</v>
      </c>
      <c r="N352">
        <v>169.8</v>
      </c>
      <c r="O352">
        <v>121.9</v>
      </c>
      <c r="P352">
        <v>199.9</v>
      </c>
      <c r="Q352">
        <v>169.9</v>
      </c>
      <c r="R352">
        <v>188.3</v>
      </c>
      <c r="S352">
        <v>179.6</v>
      </c>
      <c r="T352">
        <v>196.3</v>
      </c>
      <c r="U352">
        <v>181.9</v>
      </c>
      <c r="V352">
        <v>175.3</v>
      </c>
      <c r="W352">
        <v>181</v>
      </c>
      <c r="X352">
        <v>171.2</v>
      </c>
      <c r="Y352">
        <v>180.5</v>
      </c>
      <c r="Z352">
        <v>170.4</v>
      </c>
      <c r="AA352">
        <v>178.7</v>
      </c>
      <c r="AB352">
        <v>162.9</v>
      </c>
      <c r="AC352">
        <v>168.2</v>
      </c>
      <c r="AD352">
        <v>173.4</v>
      </c>
      <c r="AE352">
        <v>172.1</v>
      </c>
      <c r="AF352">
        <v>170.5</v>
      </c>
      <c r="AG352">
        <v>176.7</v>
      </c>
      <c r="AH352">
        <f t="shared" si="42"/>
        <v>2297.3000000000002</v>
      </c>
      <c r="AI352">
        <f t="shared" si="43"/>
        <v>180.5</v>
      </c>
      <c r="AJ352">
        <f t="shared" si="44"/>
        <v>162.9</v>
      </c>
      <c r="AK352">
        <f t="shared" si="45"/>
        <v>173.4</v>
      </c>
      <c r="AL352">
        <f t="shared" si="46"/>
        <v>1765.6000000000001</v>
      </c>
      <c r="AM352" t="str">
        <f t="shared" si="47"/>
        <v>Yes</v>
      </c>
    </row>
    <row r="353" spans="1:39" x14ac:dyDescent="0.3">
      <c r="A353" t="s">
        <v>30</v>
      </c>
      <c r="B353" s="28">
        <f t="shared" si="40"/>
        <v>44866</v>
      </c>
      <c r="C353">
        <v>2022</v>
      </c>
      <c r="D353" t="s">
        <v>44</v>
      </c>
      <c r="E353" t="str">
        <f t="shared" si="41"/>
        <v>Nov-22</v>
      </c>
      <c r="F353">
        <f>VLOOKUP(D353,'Problem Statement 4'!$G$2:$H$13,2,0)</f>
        <v>11</v>
      </c>
      <c r="G353">
        <v>166.9</v>
      </c>
      <c r="H353">
        <v>207.2</v>
      </c>
      <c r="I353">
        <v>180.2</v>
      </c>
      <c r="J353">
        <v>172.3</v>
      </c>
      <c r="K353">
        <v>194</v>
      </c>
      <c r="L353">
        <v>159.1</v>
      </c>
      <c r="M353">
        <v>171.6</v>
      </c>
      <c r="N353">
        <v>170.2</v>
      </c>
      <c r="O353">
        <v>121.5</v>
      </c>
      <c r="P353">
        <v>204.8</v>
      </c>
      <c r="Q353">
        <v>176.4</v>
      </c>
      <c r="R353">
        <v>186.9</v>
      </c>
      <c r="S353">
        <v>176.6</v>
      </c>
      <c r="T353">
        <v>195.5</v>
      </c>
      <c r="U353">
        <v>187.2</v>
      </c>
      <c r="V353">
        <v>185.2</v>
      </c>
      <c r="W353">
        <v>186.9</v>
      </c>
      <c r="X353">
        <v>171.8</v>
      </c>
      <c r="Y353">
        <v>181.9</v>
      </c>
      <c r="Z353">
        <v>175.5</v>
      </c>
      <c r="AA353">
        <v>182.3</v>
      </c>
      <c r="AB353">
        <v>167.5</v>
      </c>
      <c r="AC353">
        <v>170.8</v>
      </c>
      <c r="AD353">
        <v>176.9</v>
      </c>
      <c r="AE353">
        <v>173.4</v>
      </c>
      <c r="AF353">
        <v>174.6</v>
      </c>
      <c r="AG353">
        <v>177.8</v>
      </c>
      <c r="AH353">
        <f t="shared" si="42"/>
        <v>2287.6999999999998</v>
      </c>
      <c r="AI353">
        <f t="shared" si="43"/>
        <v>181.9</v>
      </c>
      <c r="AJ353">
        <f t="shared" si="44"/>
        <v>167.5</v>
      </c>
      <c r="AK353">
        <f t="shared" si="45"/>
        <v>176.9</v>
      </c>
      <c r="AL353">
        <f t="shared" si="46"/>
        <v>1803.1999999999998</v>
      </c>
      <c r="AM353" t="str">
        <f t="shared" si="47"/>
        <v>Yes</v>
      </c>
    </row>
    <row r="354" spans="1:39" x14ac:dyDescent="0.3">
      <c r="A354" t="s">
        <v>32</v>
      </c>
      <c r="B354" s="28">
        <f t="shared" si="40"/>
        <v>44866</v>
      </c>
      <c r="C354">
        <v>2022</v>
      </c>
      <c r="D354" t="s">
        <v>44</v>
      </c>
      <c r="E354" t="str">
        <f t="shared" si="41"/>
        <v>Nov-22</v>
      </c>
      <c r="F354">
        <f>VLOOKUP(D354,'Problem Statement 4'!$G$2:$H$13,2,0)</f>
        <v>11</v>
      </c>
      <c r="G354">
        <v>168.4</v>
      </c>
      <c r="H354">
        <v>213.4</v>
      </c>
      <c r="I354">
        <v>183.2</v>
      </c>
      <c r="J354">
        <v>172.3</v>
      </c>
      <c r="K354">
        <v>180</v>
      </c>
      <c r="L354">
        <v>162.6</v>
      </c>
      <c r="M354">
        <v>205.5</v>
      </c>
      <c r="N354">
        <v>171</v>
      </c>
      <c r="O354">
        <v>123.4</v>
      </c>
      <c r="P354">
        <v>198.8</v>
      </c>
      <c r="Q354">
        <v>162.1</v>
      </c>
      <c r="R354">
        <v>192.4</v>
      </c>
      <c r="S354">
        <v>181.3</v>
      </c>
      <c r="T354">
        <v>200.6</v>
      </c>
      <c r="U354">
        <v>176.7</v>
      </c>
      <c r="V354">
        <v>163.5</v>
      </c>
      <c r="W354">
        <v>174.7</v>
      </c>
      <c r="X354">
        <v>171.8</v>
      </c>
      <c r="Y354">
        <v>180.3</v>
      </c>
      <c r="Z354">
        <v>166.9</v>
      </c>
      <c r="AA354">
        <v>175.8</v>
      </c>
      <c r="AB354">
        <v>158.9</v>
      </c>
      <c r="AC354">
        <v>166.7</v>
      </c>
      <c r="AD354">
        <v>171.5</v>
      </c>
      <c r="AE354">
        <v>173.8</v>
      </c>
      <c r="AF354">
        <v>167.4</v>
      </c>
      <c r="AG354">
        <v>174.1</v>
      </c>
      <c r="AH354">
        <f t="shared" si="42"/>
        <v>2314.4</v>
      </c>
      <c r="AI354">
        <f t="shared" si="43"/>
        <v>180.3</v>
      </c>
      <c r="AJ354">
        <f t="shared" si="44"/>
        <v>158.9</v>
      </c>
      <c r="AK354">
        <f t="shared" si="45"/>
        <v>171.5</v>
      </c>
      <c r="AL354">
        <f t="shared" si="46"/>
        <v>1737.9</v>
      </c>
      <c r="AM354" t="str">
        <f t="shared" si="47"/>
        <v>Yes</v>
      </c>
    </row>
    <row r="355" spans="1:39" x14ac:dyDescent="0.3">
      <c r="A355" t="s">
        <v>33</v>
      </c>
      <c r="B355" s="28">
        <f t="shared" si="40"/>
        <v>44866</v>
      </c>
      <c r="C355">
        <v>2022</v>
      </c>
      <c r="D355" t="s">
        <v>44</v>
      </c>
      <c r="E355" t="str">
        <f t="shared" si="41"/>
        <v>Nov-22</v>
      </c>
      <c r="F355">
        <f>VLOOKUP(D355,'Problem Statement 4'!$G$2:$H$13,2,0)</f>
        <v>11</v>
      </c>
      <c r="G355">
        <v>167.4</v>
      </c>
      <c r="H355">
        <v>209.4</v>
      </c>
      <c r="I355">
        <v>181.4</v>
      </c>
      <c r="J355">
        <v>172.3</v>
      </c>
      <c r="K355">
        <v>188.9</v>
      </c>
      <c r="L355">
        <v>160.69999999999999</v>
      </c>
      <c r="M355">
        <v>183.1</v>
      </c>
      <c r="N355">
        <v>170.5</v>
      </c>
      <c r="O355">
        <v>122.1</v>
      </c>
      <c r="P355">
        <v>202.8</v>
      </c>
      <c r="Q355">
        <v>170.4</v>
      </c>
      <c r="R355">
        <v>189.5</v>
      </c>
      <c r="S355">
        <v>178.3</v>
      </c>
      <c r="T355">
        <v>196.9</v>
      </c>
      <c r="U355">
        <v>183.1</v>
      </c>
      <c r="V355">
        <v>176.2</v>
      </c>
      <c r="W355">
        <v>182.1</v>
      </c>
      <c r="X355">
        <v>171.8</v>
      </c>
      <c r="Y355">
        <v>181.3</v>
      </c>
      <c r="Z355">
        <v>171.4</v>
      </c>
      <c r="AA355">
        <v>179.8</v>
      </c>
      <c r="AB355">
        <v>163</v>
      </c>
      <c r="AC355">
        <v>168.5</v>
      </c>
      <c r="AD355">
        <v>173.7</v>
      </c>
      <c r="AE355">
        <v>173.6</v>
      </c>
      <c r="AF355">
        <v>171.1</v>
      </c>
      <c r="AG355">
        <v>176.5</v>
      </c>
      <c r="AH355">
        <f t="shared" si="42"/>
        <v>2296.8000000000002</v>
      </c>
      <c r="AI355">
        <f t="shared" si="43"/>
        <v>181.3</v>
      </c>
      <c r="AJ355">
        <f t="shared" si="44"/>
        <v>163</v>
      </c>
      <c r="AK355">
        <f t="shared" si="45"/>
        <v>173.7</v>
      </c>
      <c r="AL355">
        <f t="shared" si="46"/>
        <v>1774.5</v>
      </c>
      <c r="AM355" t="str">
        <f t="shared" si="47"/>
        <v>Yes</v>
      </c>
    </row>
    <row r="356" spans="1:39" x14ac:dyDescent="0.3">
      <c r="A356" t="s">
        <v>30</v>
      </c>
      <c r="B356" s="28">
        <f t="shared" si="40"/>
        <v>44896</v>
      </c>
      <c r="C356">
        <v>2022</v>
      </c>
      <c r="D356" t="s">
        <v>45</v>
      </c>
      <c r="E356" t="str">
        <f t="shared" si="41"/>
        <v>Dec-22</v>
      </c>
      <c r="F356">
        <f>VLOOKUP(D356,'Problem Statement 4'!$G$2:$H$13,2,0)</f>
        <v>12</v>
      </c>
      <c r="G356">
        <v>168.8</v>
      </c>
      <c r="H356">
        <v>206.9</v>
      </c>
      <c r="I356">
        <v>189.1</v>
      </c>
      <c r="J356">
        <v>173.4</v>
      </c>
      <c r="K356">
        <v>193.9</v>
      </c>
      <c r="L356">
        <v>156.69999999999999</v>
      </c>
      <c r="M356">
        <v>150.19999999999999</v>
      </c>
      <c r="N356">
        <v>170.5</v>
      </c>
      <c r="O356">
        <v>121.2</v>
      </c>
      <c r="P356">
        <v>207.5</v>
      </c>
      <c r="Q356">
        <v>176.8</v>
      </c>
      <c r="R356">
        <v>187.7</v>
      </c>
      <c r="S356">
        <v>174.4</v>
      </c>
      <c r="T356">
        <v>195.9</v>
      </c>
      <c r="U356">
        <v>188.1</v>
      </c>
      <c r="V356">
        <v>185.9</v>
      </c>
      <c r="W356">
        <v>187.8</v>
      </c>
      <c r="X356">
        <v>170.7</v>
      </c>
      <c r="Y356">
        <v>182.8</v>
      </c>
      <c r="Z356">
        <v>176.4</v>
      </c>
      <c r="AA356">
        <v>183.5</v>
      </c>
      <c r="AB356">
        <v>167.8</v>
      </c>
      <c r="AC356">
        <v>171.2</v>
      </c>
      <c r="AD356">
        <v>177.3</v>
      </c>
      <c r="AE356">
        <v>175.7</v>
      </c>
      <c r="AF356">
        <v>175.5</v>
      </c>
      <c r="AG356">
        <v>177.1</v>
      </c>
      <c r="AH356">
        <f t="shared" si="42"/>
        <v>2277.1</v>
      </c>
      <c r="AI356">
        <f t="shared" si="43"/>
        <v>182.8</v>
      </c>
      <c r="AJ356">
        <f t="shared" si="44"/>
        <v>167.8</v>
      </c>
      <c r="AK356">
        <f t="shared" si="45"/>
        <v>177.3</v>
      </c>
      <c r="AL356">
        <f t="shared" si="46"/>
        <v>1810.7000000000003</v>
      </c>
      <c r="AM356" t="str">
        <f t="shared" si="47"/>
        <v>Yes</v>
      </c>
    </row>
    <row r="357" spans="1:39" x14ac:dyDescent="0.3">
      <c r="A357" t="s">
        <v>32</v>
      </c>
      <c r="B357" s="28">
        <f t="shared" si="40"/>
        <v>44896</v>
      </c>
      <c r="C357">
        <v>2022</v>
      </c>
      <c r="D357" t="s">
        <v>45</v>
      </c>
      <c r="E357" t="str">
        <f t="shared" si="41"/>
        <v>Dec-22</v>
      </c>
      <c r="F357">
        <f>VLOOKUP(D357,'Problem Statement 4'!$G$2:$H$13,2,0)</f>
        <v>12</v>
      </c>
      <c r="G357">
        <v>170.2</v>
      </c>
      <c r="H357">
        <v>212.9</v>
      </c>
      <c r="I357">
        <v>191.9</v>
      </c>
      <c r="J357">
        <v>173.9</v>
      </c>
      <c r="K357">
        <v>179.1</v>
      </c>
      <c r="L357">
        <v>159.5</v>
      </c>
      <c r="M357">
        <v>178.7</v>
      </c>
      <c r="N357">
        <v>171.3</v>
      </c>
      <c r="O357">
        <v>123.1</v>
      </c>
      <c r="P357">
        <v>200.5</v>
      </c>
      <c r="Q357">
        <v>162.80000000000001</v>
      </c>
      <c r="R357">
        <v>193.3</v>
      </c>
      <c r="S357">
        <v>178.6</v>
      </c>
      <c r="T357">
        <v>201.1</v>
      </c>
      <c r="U357">
        <v>177.7</v>
      </c>
      <c r="V357">
        <v>164.5</v>
      </c>
      <c r="W357">
        <v>175.7</v>
      </c>
      <c r="X357">
        <v>170.7</v>
      </c>
      <c r="Y357">
        <v>180.6</v>
      </c>
      <c r="Z357">
        <v>167.3</v>
      </c>
      <c r="AA357">
        <v>177.2</v>
      </c>
      <c r="AB357">
        <v>159.4</v>
      </c>
      <c r="AC357">
        <v>167.1</v>
      </c>
      <c r="AD357">
        <v>171.8</v>
      </c>
      <c r="AE357">
        <v>176</v>
      </c>
      <c r="AF357">
        <v>168.2</v>
      </c>
      <c r="AG357">
        <v>174.1</v>
      </c>
      <c r="AH357">
        <f t="shared" si="42"/>
        <v>2295.7999999999997</v>
      </c>
      <c r="AI357">
        <f t="shared" si="43"/>
        <v>180.6</v>
      </c>
      <c r="AJ357">
        <f t="shared" si="44"/>
        <v>159.4</v>
      </c>
      <c r="AK357">
        <f t="shared" si="45"/>
        <v>171.8</v>
      </c>
      <c r="AL357">
        <f t="shared" si="46"/>
        <v>1745.5</v>
      </c>
      <c r="AM357" t="str">
        <f t="shared" si="47"/>
        <v>Yes</v>
      </c>
    </row>
    <row r="358" spans="1:39" x14ac:dyDescent="0.3">
      <c r="A358" t="s">
        <v>33</v>
      </c>
      <c r="B358" s="28">
        <f t="shared" si="40"/>
        <v>44896</v>
      </c>
      <c r="C358">
        <v>2022</v>
      </c>
      <c r="D358" t="s">
        <v>45</v>
      </c>
      <c r="E358" t="str">
        <f t="shared" si="41"/>
        <v>Dec-22</v>
      </c>
      <c r="F358">
        <f>VLOOKUP(D358,'Problem Statement 4'!$G$2:$H$13,2,0)</f>
        <v>12</v>
      </c>
      <c r="G358">
        <v>169.2</v>
      </c>
      <c r="H358">
        <v>209</v>
      </c>
      <c r="I358">
        <v>190.2</v>
      </c>
      <c r="J358">
        <v>173.6</v>
      </c>
      <c r="K358">
        <v>188.5</v>
      </c>
      <c r="L358">
        <v>158</v>
      </c>
      <c r="M358">
        <v>159.9</v>
      </c>
      <c r="N358">
        <v>170.8</v>
      </c>
      <c r="O358">
        <v>121.8</v>
      </c>
      <c r="P358">
        <v>205.2</v>
      </c>
      <c r="Q358">
        <v>171</v>
      </c>
      <c r="R358">
        <v>190.3</v>
      </c>
      <c r="S358">
        <v>175.9</v>
      </c>
      <c r="T358">
        <v>197.3</v>
      </c>
      <c r="U358">
        <v>184</v>
      </c>
      <c r="V358">
        <v>177</v>
      </c>
      <c r="W358">
        <v>183</v>
      </c>
      <c r="X358">
        <v>170.7</v>
      </c>
      <c r="Y358">
        <v>182</v>
      </c>
      <c r="Z358">
        <v>172.1</v>
      </c>
      <c r="AA358">
        <v>181.1</v>
      </c>
      <c r="AB358">
        <v>163.4</v>
      </c>
      <c r="AC358">
        <v>168.9</v>
      </c>
      <c r="AD358">
        <v>174.1</v>
      </c>
      <c r="AE358">
        <v>175.8</v>
      </c>
      <c r="AF358">
        <v>172</v>
      </c>
      <c r="AG358">
        <v>175.7</v>
      </c>
      <c r="AH358">
        <f t="shared" si="42"/>
        <v>2283.4</v>
      </c>
      <c r="AI358">
        <f t="shared" si="43"/>
        <v>182</v>
      </c>
      <c r="AJ358">
        <f t="shared" si="44"/>
        <v>163.4</v>
      </c>
      <c r="AK358">
        <f t="shared" si="45"/>
        <v>174.1</v>
      </c>
      <c r="AL358">
        <f t="shared" si="46"/>
        <v>1781.8999999999999</v>
      </c>
      <c r="AM358" t="str">
        <f t="shared" si="47"/>
        <v>Yes</v>
      </c>
    </row>
    <row r="359" spans="1:39" x14ac:dyDescent="0.3">
      <c r="A359" t="s">
        <v>30</v>
      </c>
      <c r="B359" s="28">
        <f t="shared" si="40"/>
        <v>44927</v>
      </c>
      <c r="C359">
        <v>2023</v>
      </c>
      <c r="D359" t="s">
        <v>31</v>
      </c>
      <c r="E359" t="str">
        <f t="shared" si="41"/>
        <v>Jan-23</v>
      </c>
      <c r="F359">
        <f>VLOOKUP(D359,'Problem Statement 4'!$G$2:$H$13,2,0)</f>
        <v>1</v>
      </c>
      <c r="G359">
        <v>174</v>
      </c>
      <c r="H359">
        <v>208.3</v>
      </c>
      <c r="I359">
        <v>192.9</v>
      </c>
      <c r="J359">
        <v>174.3</v>
      </c>
      <c r="K359">
        <v>192.6</v>
      </c>
      <c r="L359">
        <v>156.30000000000001</v>
      </c>
      <c r="M359">
        <v>142.9</v>
      </c>
      <c r="N359">
        <v>170.7</v>
      </c>
      <c r="O359">
        <v>120.3</v>
      </c>
      <c r="P359">
        <v>210.5</v>
      </c>
      <c r="Q359">
        <v>176.9</v>
      </c>
      <c r="R359">
        <v>188.5</v>
      </c>
      <c r="S359">
        <v>175</v>
      </c>
      <c r="T359">
        <v>196.9</v>
      </c>
      <c r="U359">
        <v>189</v>
      </c>
      <c r="V359">
        <v>186.3</v>
      </c>
      <c r="W359">
        <v>188.6</v>
      </c>
      <c r="X359">
        <v>172.1</v>
      </c>
      <c r="Y359">
        <v>183.2</v>
      </c>
      <c r="Z359">
        <v>177.2</v>
      </c>
      <c r="AA359">
        <v>184.7</v>
      </c>
      <c r="AB359">
        <v>168.2</v>
      </c>
      <c r="AC359">
        <v>171.8</v>
      </c>
      <c r="AD359">
        <v>177.8</v>
      </c>
      <c r="AE359">
        <v>178.4</v>
      </c>
      <c r="AF359">
        <v>176.5</v>
      </c>
      <c r="AG359">
        <v>177.8</v>
      </c>
      <c r="AH359">
        <f t="shared" si="42"/>
        <v>2283.2000000000003</v>
      </c>
      <c r="AI359">
        <f t="shared" si="43"/>
        <v>183.2</v>
      </c>
      <c r="AJ359">
        <f t="shared" si="44"/>
        <v>168.2</v>
      </c>
      <c r="AK359">
        <f t="shared" si="45"/>
        <v>177.8</v>
      </c>
      <c r="AL359">
        <f t="shared" si="46"/>
        <v>1821.5000000000002</v>
      </c>
      <c r="AM359" t="str">
        <f t="shared" si="47"/>
        <v>No</v>
      </c>
    </row>
    <row r="360" spans="1:39" x14ac:dyDescent="0.3">
      <c r="A360" t="s">
        <v>32</v>
      </c>
      <c r="B360" s="28">
        <f t="shared" si="40"/>
        <v>44927</v>
      </c>
      <c r="C360">
        <v>2023</v>
      </c>
      <c r="D360" t="s">
        <v>31</v>
      </c>
      <c r="E360" t="str">
        <f t="shared" si="41"/>
        <v>Jan-23</v>
      </c>
      <c r="F360">
        <f>VLOOKUP(D360,'Problem Statement 4'!$G$2:$H$13,2,0)</f>
        <v>1</v>
      </c>
      <c r="G360">
        <v>173.3</v>
      </c>
      <c r="H360">
        <v>215.2</v>
      </c>
      <c r="I360">
        <v>197</v>
      </c>
      <c r="J360">
        <v>175.2</v>
      </c>
      <c r="K360">
        <v>178</v>
      </c>
      <c r="L360">
        <v>160.5</v>
      </c>
      <c r="M360">
        <v>175.3</v>
      </c>
      <c r="N360">
        <v>171.2</v>
      </c>
      <c r="O360">
        <v>122.7</v>
      </c>
      <c r="P360">
        <v>204.3</v>
      </c>
      <c r="Q360">
        <v>163.69999999999999</v>
      </c>
      <c r="R360">
        <v>194.3</v>
      </c>
      <c r="S360">
        <v>179.5</v>
      </c>
      <c r="T360">
        <v>201.6</v>
      </c>
      <c r="U360">
        <v>178.7</v>
      </c>
      <c r="V360">
        <v>165.3</v>
      </c>
      <c r="W360">
        <v>176.6</v>
      </c>
      <c r="X360">
        <v>172.1</v>
      </c>
      <c r="Y360">
        <v>180.1</v>
      </c>
      <c r="Z360">
        <v>168</v>
      </c>
      <c r="AA360">
        <v>178.5</v>
      </c>
      <c r="AB360">
        <v>159.5</v>
      </c>
      <c r="AC360">
        <v>167.8</v>
      </c>
      <c r="AD360">
        <v>171.8</v>
      </c>
      <c r="AE360">
        <v>178.8</v>
      </c>
      <c r="AF360">
        <v>168.9</v>
      </c>
      <c r="AG360">
        <v>174.9</v>
      </c>
      <c r="AH360">
        <f t="shared" si="42"/>
        <v>2310.2000000000003</v>
      </c>
      <c r="AI360">
        <f t="shared" si="43"/>
        <v>180.1</v>
      </c>
      <c r="AJ360">
        <f t="shared" si="44"/>
        <v>159.5</v>
      </c>
      <c r="AK360">
        <f t="shared" si="45"/>
        <v>171.8</v>
      </c>
      <c r="AL360">
        <f t="shared" si="46"/>
        <v>1756.3</v>
      </c>
      <c r="AM360" t="str">
        <f t="shared" si="47"/>
        <v>Yes</v>
      </c>
    </row>
    <row r="361" spans="1:39" x14ac:dyDescent="0.3">
      <c r="A361" t="s">
        <v>33</v>
      </c>
      <c r="B361" s="28">
        <f t="shared" si="40"/>
        <v>44927</v>
      </c>
      <c r="C361">
        <v>2023</v>
      </c>
      <c r="D361" t="s">
        <v>31</v>
      </c>
      <c r="E361" t="str">
        <f t="shared" si="41"/>
        <v>Jan-23</v>
      </c>
      <c r="F361">
        <f>VLOOKUP(D361,'Problem Statement 4'!$G$2:$H$13,2,0)</f>
        <v>1</v>
      </c>
      <c r="G361">
        <v>173.8</v>
      </c>
      <c r="H361">
        <v>210.7</v>
      </c>
      <c r="I361">
        <v>194.5</v>
      </c>
      <c r="J361">
        <v>174.6</v>
      </c>
      <c r="K361">
        <v>187.2</v>
      </c>
      <c r="L361">
        <v>158.30000000000001</v>
      </c>
      <c r="M361">
        <v>153.9</v>
      </c>
      <c r="N361">
        <v>170.9</v>
      </c>
      <c r="O361">
        <v>121.1</v>
      </c>
      <c r="P361">
        <v>208.4</v>
      </c>
      <c r="Q361">
        <v>171.4</v>
      </c>
      <c r="R361">
        <v>191.2</v>
      </c>
      <c r="S361">
        <v>176.7</v>
      </c>
      <c r="T361">
        <v>198.2</v>
      </c>
      <c r="U361">
        <v>184.9</v>
      </c>
      <c r="V361">
        <v>177.6</v>
      </c>
      <c r="W361">
        <v>183.8</v>
      </c>
      <c r="X361">
        <v>172.1</v>
      </c>
      <c r="Y361">
        <v>182</v>
      </c>
      <c r="Z361">
        <v>172.9</v>
      </c>
      <c r="AA361">
        <v>182.3</v>
      </c>
      <c r="AB361">
        <v>163.6</v>
      </c>
      <c r="AC361">
        <v>169.5</v>
      </c>
      <c r="AD361">
        <v>174.3</v>
      </c>
      <c r="AE361">
        <v>178.6</v>
      </c>
      <c r="AF361">
        <v>172.8</v>
      </c>
      <c r="AG361">
        <v>176.5</v>
      </c>
      <c r="AH361">
        <f t="shared" si="42"/>
        <v>2292.6999999999998</v>
      </c>
      <c r="AI361">
        <f t="shared" si="43"/>
        <v>182</v>
      </c>
      <c r="AJ361">
        <f t="shared" si="44"/>
        <v>163.6</v>
      </c>
      <c r="AK361">
        <f t="shared" si="45"/>
        <v>174.3</v>
      </c>
      <c r="AL361">
        <f t="shared" si="46"/>
        <v>1792.6999999999998</v>
      </c>
      <c r="AM361" t="str">
        <f t="shared" si="47"/>
        <v>Yes</v>
      </c>
    </row>
    <row r="362" spans="1:39" x14ac:dyDescent="0.3">
      <c r="A362" t="s">
        <v>30</v>
      </c>
      <c r="B362" s="28">
        <f t="shared" si="40"/>
        <v>44958</v>
      </c>
      <c r="C362">
        <v>2023</v>
      </c>
      <c r="D362" t="s">
        <v>34</v>
      </c>
      <c r="E362" t="str">
        <f t="shared" si="41"/>
        <v>Feb-23</v>
      </c>
      <c r="F362">
        <f>VLOOKUP(D362,'Problem Statement 4'!$G$2:$H$13,2,0)</f>
        <v>2</v>
      </c>
      <c r="G362">
        <v>174.2</v>
      </c>
      <c r="H362">
        <v>205.2</v>
      </c>
      <c r="I362">
        <v>173.9</v>
      </c>
      <c r="J362">
        <v>177</v>
      </c>
      <c r="K362">
        <v>183.4</v>
      </c>
      <c r="L362">
        <v>167.2</v>
      </c>
      <c r="M362">
        <v>140.9</v>
      </c>
      <c r="N362">
        <v>170.4</v>
      </c>
      <c r="O362">
        <v>119.1</v>
      </c>
      <c r="P362">
        <v>212.1</v>
      </c>
      <c r="Q362">
        <v>177.6</v>
      </c>
      <c r="R362">
        <v>189.9</v>
      </c>
      <c r="S362">
        <v>174.8</v>
      </c>
      <c r="T362">
        <v>198.3</v>
      </c>
      <c r="U362">
        <v>190</v>
      </c>
      <c r="V362">
        <v>187</v>
      </c>
      <c r="W362">
        <v>189.6</v>
      </c>
      <c r="X362">
        <v>173.5</v>
      </c>
      <c r="Y362">
        <v>181.6</v>
      </c>
      <c r="Z362">
        <v>178.6</v>
      </c>
      <c r="AA362">
        <v>186.6</v>
      </c>
      <c r="AB362">
        <v>169</v>
      </c>
      <c r="AC362">
        <v>172.8</v>
      </c>
      <c r="AD362">
        <v>178.5</v>
      </c>
      <c r="AE362">
        <v>180.7</v>
      </c>
      <c r="AF362">
        <v>177.9</v>
      </c>
      <c r="AG362">
        <v>178</v>
      </c>
      <c r="AH362">
        <f t="shared" si="42"/>
        <v>2265.6999999999998</v>
      </c>
      <c r="AI362">
        <f t="shared" si="43"/>
        <v>181.6</v>
      </c>
      <c r="AJ362">
        <f t="shared" si="44"/>
        <v>169</v>
      </c>
      <c r="AK362">
        <f t="shared" si="45"/>
        <v>178.5</v>
      </c>
      <c r="AL362">
        <f t="shared" si="46"/>
        <v>1835</v>
      </c>
      <c r="AM362" t="str">
        <f t="shared" si="47"/>
        <v>No</v>
      </c>
    </row>
    <row r="363" spans="1:39" x14ac:dyDescent="0.3">
      <c r="A363" t="s">
        <v>32</v>
      </c>
      <c r="B363" s="28">
        <f t="shared" si="40"/>
        <v>44958</v>
      </c>
      <c r="C363">
        <v>2023</v>
      </c>
      <c r="D363" t="s">
        <v>34</v>
      </c>
      <c r="E363" t="str">
        <f t="shared" si="41"/>
        <v>Feb-23</v>
      </c>
      <c r="F363">
        <f>VLOOKUP(D363,'Problem Statement 4'!$G$2:$H$13,2,0)</f>
        <v>2</v>
      </c>
      <c r="G363">
        <v>174.7</v>
      </c>
      <c r="H363">
        <v>212.2</v>
      </c>
      <c r="I363">
        <v>177.2</v>
      </c>
      <c r="J363">
        <v>177.9</v>
      </c>
      <c r="K363">
        <v>172.2</v>
      </c>
      <c r="L363">
        <v>172.1</v>
      </c>
      <c r="M363">
        <v>175.8</v>
      </c>
      <c r="N363">
        <v>172.2</v>
      </c>
      <c r="O363">
        <v>121.9</v>
      </c>
      <c r="P363">
        <v>204.8</v>
      </c>
      <c r="Q363">
        <v>164.9</v>
      </c>
      <c r="R363">
        <v>196.6</v>
      </c>
      <c r="S363">
        <v>180.7</v>
      </c>
      <c r="T363">
        <v>202.7</v>
      </c>
      <c r="U363">
        <v>180.3</v>
      </c>
      <c r="V363">
        <v>167</v>
      </c>
      <c r="W363">
        <v>178.2</v>
      </c>
      <c r="X363">
        <v>173.5</v>
      </c>
      <c r="Y363">
        <v>182.8</v>
      </c>
      <c r="Z363">
        <v>169.2</v>
      </c>
      <c r="AA363">
        <v>180.8</v>
      </c>
      <c r="AB363">
        <v>159.80000000000001</v>
      </c>
      <c r="AC363">
        <v>168.4</v>
      </c>
      <c r="AD363">
        <v>172.5</v>
      </c>
      <c r="AE363">
        <v>181.4</v>
      </c>
      <c r="AF363">
        <v>170</v>
      </c>
      <c r="AG363">
        <v>176.3</v>
      </c>
      <c r="AH363">
        <f t="shared" si="42"/>
        <v>2303.1999999999998</v>
      </c>
      <c r="AI363">
        <f t="shared" si="43"/>
        <v>182.8</v>
      </c>
      <c r="AJ363">
        <f t="shared" si="44"/>
        <v>159.80000000000001</v>
      </c>
      <c r="AK363">
        <f t="shared" si="45"/>
        <v>172.5</v>
      </c>
      <c r="AL363">
        <f t="shared" si="46"/>
        <v>1771.5000000000002</v>
      </c>
      <c r="AM363" t="str">
        <f t="shared" si="47"/>
        <v>Yes</v>
      </c>
    </row>
    <row r="364" spans="1:39" x14ac:dyDescent="0.3">
      <c r="A364" t="s">
        <v>33</v>
      </c>
      <c r="B364" s="28">
        <f t="shared" si="40"/>
        <v>44958</v>
      </c>
      <c r="C364">
        <v>2023</v>
      </c>
      <c r="D364" t="s">
        <v>34</v>
      </c>
      <c r="E364" t="str">
        <f t="shared" si="41"/>
        <v>Feb-23</v>
      </c>
      <c r="F364">
        <f>VLOOKUP(D364,'Problem Statement 4'!$G$2:$H$13,2,0)</f>
        <v>2</v>
      </c>
      <c r="G364">
        <v>174.4</v>
      </c>
      <c r="H364">
        <v>207.7</v>
      </c>
      <c r="I364">
        <v>175.2</v>
      </c>
      <c r="J364">
        <v>177.3</v>
      </c>
      <c r="K364">
        <v>179.3</v>
      </c>
      <c r="L364">
        <v>169.5</v>
      </c>
      <c r="M364">
        <v>152.69999999999999</v>
      </c>
      <c r="N364">
        <v>171</v>
      </c>
      <c r="O364">
        <v>120</v>
      </c>
      <c r="P364">
        <v>209.7</v>
      </c>
      <c r="Q364">
        <v>172.3</v>
      </c>
      <c r="R364">
        <v>193</v>
      </c>
      <c r="S364">
        <v>177</v>
      </c>
      <c r="T364">
        <v>199.5</v>
      </c>
      <c r="U364">
        <v>186.2</v>
      </c>
      <c r="V364">
        <v>178.7</v>
      </c>
      <c r="W364">
        <v>185.1</v>
      </c>
      <c r="X364">
        <v>173.5</v>
      </c>
      <c r="Y364">
        <v>182.1</v>
      </c>
      <c r="Z364">
        <v>174.2</v>
      </c>
      <c r="AA364">
        <v>184.4</v>
      </c>
      <c r="AB364">
        <v>164.2</v>
      </c>
      <c r="AC364">
        <v>170.3</v>
      </c>
      <c r="AD364">
        <v>175</v>
      </c>
      <c r="AE364">
        <v>181</v>
      </c>
      <c r="AF364">
        <v>174.1</v>
      </c>
      <c r="AG364">
        <v>177.2</v>
      </c>
      <c r="AH364">
        <f t="shared" si="42"/>
        <v>2279.1</v>
      </c>
      <c r="AI364">
        <f t="shared" si="43"/>
        <v>182.1</v>
      </c>
      <c r="AJ364">
        <f t="shared" si="44"/>
        <v>164.2</v>
      </c>
      <c r="AK364">
        <f t="shared" si="45"/>
        <v>175</v>
      </c>
      <c r="AL364">
        <f t="shared" si="46"/>
        <v>1807</v>
      </c>
      <c r="AM364" t="str">
        <f t="shared" si="47"/>
        <v>Yes</v>
      </c>
    </row>
    <row r="365" spans="1:39" x14ac:dyDescent="0.3">
      <c r="A365" t="s">
        <v>30</v>
      </c>
      <c r="B365" s="28">
        <f t="shared" si="40"/>
        <v>44986</v>
      </c>
      <c r="C365">
        <v>2023</v>
      </c>
      <c r="D365" t="s">
        <v>35</v>
      </c>
      <c r="E365" t="str">
        <f t="shared" si="41"/>
        <v>Mar-23</v>
      </c>
      <c r="F365">
        <f>VLOOKUP(D365,'Problem Statement 4'!$G$2:$H$13,2,0)</f>
        <v>3</v>
      </c>
      <c r="G365">
        <v>174.3</v>
      </c>
      <c r="H365">
        <v>205.2</v>
      </c>
      <c r="I365">
        <v>173.9</v>
      </c>
      <c r="J365">
        <v>177</v>
      </c>
      <c r="K365">
        <v>183.3</v>
      </c>
      <c r="L365">
        <v>167.2</v>
      </c>
      <c r="M365">
        <v>140.9</v>
      </c>
      <c r="N365">
        <v>170.5</v>
      </c>
      <c r="O365">
        <v>119.1</v>
      </c>
      <c r="P365">
        <v>212.1</v>
      </c>
      <c r="Q365">
        <v>177.6</v>
      </c>
      <c r="R365">
        <v>189.9</v>
      </c>
      <c r="S365">
        <v>174.8</v>
      </c>
      <c r="T365">
        <v>198.4</v>
      </c>
      <c r="U365">
        <v>190</v>
      </c>
      <c r="V365">
        <v>187</v>
      </c>
      <c r="W365">
        <v>189.6</v>
      </c>
      <c r="X365">
        <v>173.5</v>
      </c>
      <c r="Y365">
        <v>181.4</v>
      </c>
      <c r="Z365">
        <v>178.6</v>
      </c>
      <c r="AA365">
        <v>186.6</v>
      </c>
      <c r="AB365">
        <v>169</v>
      </c>
      <c r="AC365">
        <v>172.8</v>
      </c>
      <c r="AD365">
        <v>178.5</v>
      </c>
      <c r="AE365">
        <v>180.7</v>
      </c>
      <c r="AF365">
        <v>177.9</v>
      </c>
      <c r="AG365">
        <v>178</v>
      </c>
      <c r="AH365">
        <f t="shared" si="42"/>
        <v>2265.8000000000002</v>
      </c>
      <c r="AI365">
        <f t="shared" si="43"/>
        <v>181.4</v>
      </c>
      <c r="AJ365">
        <f t="shared" si="44"/>
        <v>169</v>
      </c>
      <c r="AK365">
        <f t="shared" si="45"/>
        <v>178.5</v>
      </c>
      <c r="AL365">
        <f t="shared" si="46"/>
        <v>1835.1</v>
      </c>
      <c r="AM365" t="str">
        <f t="shared" si="47"/>
        <v>No</v>
      </c>
    </row>
    <row r="366" spans="1:39" x14ac:dyDescent="0.3">
      <c r="A366" t="s">
        <v>32</v>
      </c>
      <c r="B366" s="28">
        <f t="shared" si="40"/>
        <v>44986</v>
      </c>
      <c r="C366">
        <v>2023</v>
      </c>
      <c r="D366" t="s">
        <v>35</v>
      </c>
      <c r="E366" t="str">
        <f t="shared" si="41"/>
        <v>Mar-23</v>
      </c>
      <c r="F366">
        <f>VLOOKUP(D366,'Problem Statement 4'!$G$2:$H$13,2,0)</f>
        <v>3</v>
      </c>
      <c r="G366">
        <v>174.7</v>
      </c>
      <c r="H366">
        <v>212.2</v>
      </c>
      <c r="I366">
        <v>177.2</v>
      </c>
      <c r="J366">
        <v>177.9</v>
      </c>
      <c r="K366">
        <v>172.2</v>
      </c>
      <c r="L366">
        <v>172.1</v>
      </c>
      <c r="M366">
        <v>175.9</v>
      </c>
      <c r="N366">
        <v>172.2</v>
      </c>
      <c r="O366">
        <v>121.9</v>
      </c>
      <c r="P366">
        <v>204.8</v>
      </c>
      <c r="Q366">
        <v>164.9</v>
      </c>
      <c r="R366">
        <v>196.6</v>
      </c>
      <c r="S366">
        <v>180.8</v>
      </c>
      <c r="T366">
        <v>202.7</v>
      </c>
      <c r="U366">
        <v>180.2</v>
      </c>
      <c r="V366">
        <v>167</v>
      </c>
      <c r="W366">
        <v>178.2</v>
      </c>
      <c r="X366">
        <v>173.5</v>
      </c>
      <c r="Y366">
        <v>182.6</v>
      </c>
      <c r="Z366">
        <v>169.2</v>
      </c>
      <c r="AA366">
        <v>180.8</v>
      </c>
      <c r="AB366">
        <v>159.80000000000001</v>
      </c>
      <c r="AC366">
        <v>168.4</v>
      </c>
      <c r="AD366">
        <v>172.5</v>
      </c>
      <c r="AE366">
        <v>181.5</v>
      </c>
      <c r="AF366">
        <v>170</v>
      </c>
      <c r="AG366">
        <v>176.3</v>
      </c>
      <c r="AH366">
        <f t="shared" si="42"/>
        <v>2303.4</v>
      </c>
      <c r="AI366">
        <f t="shared" si="43"/>
        <v>182.6</v>
      </c>
      <c r="AJ366">
        <f t="shared" si="44"/>
        <v>159.80000000000001</v>
      </c>
      <c r="AK366">
        <f t="shared" si="45"/>
        <v>172.5</v>
      </c>
      <c r="AL366">
        <f t="shared" si="46"/>
        <v>1771.5</v>
      </c>
      <c r="AM366" t="str">
        <f t="shared" si="47"/>
        <v>Yes</v>
      </c>
    </row>
    <row r="367" spans="1:39" x14ac:dyDescent="0.3">
      <c r="A367" t="s">
        <v>33</v>
      </c>
      <c r="B367" s="28">
        <f t="shared" si="40"/>
        <v>44986</v>
      </c>
      <c r="C367">
        <v>2023</v>
      </c>
      <c r="D367" t="s">
        <v>35</v>
      </c>
      <c r="E367" t="str">
        <f t="shared" si="41"/>
        <v>Mar-23</v>
      </c>
      <c r="F367">
        <f>VLOOKUP(D367,'Problem Statement 4'!$G$2:$H$13,2,0)</f>
        <v>3</v>
      </c>
      <c r="G367">
        <v>174.4</v>
      </c>
      <c r="H367">
        <v>207.7</v>
      </c>
      <c r="I367">
        <v>175.2</v>
      </c>
      <c r="J367">
        <v>177.3</v>
      </c>
      <c r="K367">
        <v>179.2</v>
      </c>
      <c r="L367">
        <v>169.5</v>
      </c>
      <c r="M367">
        <v>152.80000000000001</v>
      </c>
      <c r="N367">
        <v>171.1</v>
      </c>
      <c r="O367">
        <v>120</v>
      </c>
      <c r="P367">
        <v>209.7</v>
      </c>
      <c r="Q367">
        <v>172.3</v>
      </c>
      <c r="R367">
        <v>193</v>
      </c>
      <c r="S367">
        <v>177</v>
      </c>
      <c r="T367">
        <v>199.5</v>
      </c>
      <c r="U367">
        <v>186.1</v>
      </c>
      <c r="V367">
        <v>178.7</v>
      </c>
      <c r="W367">
        <v>185.1</v>
      </c>
      <c r="X367">
        <v>173.5</v>
      </c>
      <c r="Y367">
        <v>181.9</v>
      </c>
      <c r="Z367">
        <v>174.2</v>
      </c>
      <c r="AA367">
        <v>184.4</v>
      </c>
      <c r="AB367">
        <v>164.2</v>
      </c>
      <c r="AC367">
        <v>170.3</v>
      </c>
      <c r="AD367">
        <v>175</v>
      </c>
      <c r="AE367">
        <v>181</v>
      </c>
      <c r="AF367">
        <v>174.1</v>
      </c>
      <c r="AG367">
        <v>177.2</v>
      </c>
      <c r="AH367">
        <f t="shared" si="42"/>
        <v>2279.1999999999998</v>
      </c>
      <c r="AI367">
        <f t="shared" si="43"/>
        <v>181.9</v>
      </c>
      <c r="AJ367">
        <f t="shared" si="44"/>
        <v>164.2</v>
      </c>
      <c r="AK367">
        <f t="shared" si="45"/>
        <v>175</v>
      </c>
      <c r="AL367">
        <f t="shared" si="46"/>
        <v>1806.8999999999999</v>
      </c>
      <c r="AM367" t="str">
        <f t="shared" si="47"/>
        <v>Yes</v>
      </c>
    </row>
    <row r="368" spans="1:39" x14ac:dyDescent="0.3">
      <c r="A368" t="s">
        <v>30</v>
      </c>
      <c r="B368" s="28">
        <f t="shared" si="40"/>
        <v>45017</v>
      </c>
      <c r="C368">
        <v>2023</v>
      </c>
      <c r="D368" t="s">
        <v>36</v>
      </c>
      <c r="E368" t="str">
        <f t="shared" si="41"/>
        <v>Apr-23</v>
      </c>
      <c r="F368">
        <f>VLOOKUP(D368,'Problem Statement 4'!$G$2:$H$13,2,0)</f>
        <v>4</v>
      </c>
      <c r="G368">
        <v>173.3</v>
      </c>
      <c r="H368">
        <v>206.9</v>
      </c>
      <c r="I368">
        <v>167.9</v>
      </c>
      <c r="J368">
        <v>178.2</v>
      </c>
      <c r="K368">
        <v>178.5</v>
      </c>
      <c r="L368">
        <v>173.7</v>
      </c>
      <c r="M368">
        <v>142.80000000000001</v>
      </c>
      <c r="N368">
        <v>172.8</v>
      </c>
      <c r="O368">
        <v>120.4</v>
      </c>
      <c r="P368">
        <v>215.5</v>
      </c>
      <c r="Q368">
        <v>178.2</v>
      </c>
      <c r="R368">
        <v>190.5</v>
      </c>
      <c r="S368">
        <v>175.5</v>
      </c>
      <c r="T368">
        <v>199.5</v>
      </c>
      <c r="U368">
        <v>190.7</v>
      </c>
      <c r="V368">
        <v>187.3</v>
      </c>
      <c r="W368">
        <v>190.2</v>
      </c>
      <c r="X368">
        <v>175.2</v>
      </c>
      <c r="Y368">
        <v>181.5</v>
      </c>
      <c r="Z368">
        <v>179.1</v>
      </c>
      <c r="AA368">
        <v>187.2</v>
      </c>
      <c r="AB368">
        <v>169.4</v>
      </c>
      <c r="AC368">
        <v>173.2</v>
      </c>
      <c r="AD368">
        <v>179.4</v>
      </c>
      <c r="AE368">
        <v>183.8</v>
      </c>
      <c r="AF368">
        <v>178.9</v>
      </c>
      <c r="AG368">
        <v>178.8</v>
      </c>
      <c r="AH368">
        <f t="shared" si="42"/>
        <v>2274.1999999999998</v>
      </c>
      <c r="AI368">
        <f t="shared" si="43"/>
        <v>181.5</v>
      </c>
      <c r="AJ368">
        <f t="shared" si="44"/>
        <v>169.4</v>
      </c>
      <c r="AK368">
        <f t="shared" si="45"/>
        <v>179.4</v>
      </c>
      <c r="AL368">
        <f t="shared" si="46"/>
        <v>1845.1000000000001</v>
      </c>
      <c r="AM368" t="str">
        <f t="shared" si="47"/>
        <v>No</v>
      </c>
    </row>
    <row r="369" spans="1:39" x14ac:dyDescent="0.3">
      <c r="A369" t="s">
        <v>32</v>
      </c>
      <c r="B369" s="28">
        <f t="shared" si="40"/>
        <v>45017</v>
      </c>
      <c r="C369">
        <v>2023</v>
      </c>
      <c r="D369" t="s">
        <v>36</v>
      </c>
      <c r="E369" t="str">
        <f t="shared" si="41"/>
        <v>Apr-23</v>
      </c>
      <c r="F369">
        <f>VLOOKUP(D369,'Problem Statement 4'!$G$2:$H$13,2,0)</f>
        <v>4</v>
      </c>
      <c r="G369">
        <v>174.8</v>
      </c>
      <c r="H369">
        <v>213.7</v>
      </c>
      <c r="I369">
        <v>172.4</v>
      </c>
      <c r="J369">
        <v>178.8</v>
      </c>
      <c r="K369">
        <v>168.7</v>
      </c>
      <c r="L369">
        <v>179.2</v>
      </c>
      <c r="M369">
        <v>179.9</v>
      </c>
      <c r="N369">
        <v>174.7</v>
      </c>
      <c r="O369">
        <v>123.1</v>
      </c>
      <c r="P369">
        <v>207.8</v>
      </c>
      <c r="Q369">
        <v>165.5</v>
      </c>
      <c r="R369">
        <v>197</v>
      </c>
      <c r="S369">
        <v>182.1</v>
      </c>
      <c r="T369">
        <v>203.5</v>
      </c>
      <c r="U369">
        <v>181</v>
      </c>
      <c r="V369">
        <v>167.7</v>
      </c>
      <c r="W369">
        <v>178.9</v>
      </c>
      <c r="X369">
        <v>175.2</v>
      </c>
      <c r="Y369">
        <v>182.1</v>
      </c>
      <c r="Z369">
        <v>169.6</v>
      </c>
      <c r="AA369">
        <v>181.5</v>
      </c>
      <c r="AB369">
        <v>160.1</v>
      </c>
      <c r="AC369">
        <v>168.8</v>
      </c>
      <c r="AD369">
        <v>174.2</v>
      </c>
      <c r="AE369">
        <v>184.4</v>
      </c>
      <c r="AF369">
        <v>170.9</v>
      </c>
      <c r="AG369">
        <v>177.4</v>
      </c>
      <c r="AH369">
        <f t="shared" si="42"/>
        <v>2317.7000000000003</v>
      </c>
      <c r="AI369">
        <f t="shared" si="43"/>
        <v>182.1</v>
      </c>
      <c r="AJ369">
        <f t="shared" si="44"/>
        <v>160.1</v>
      </c>
      <c r="AK369">
        <f t="shared" si="45"/>
        <v>174.2</v>
      </c>
      <c r="AL369">
        <f t="shared" si="46"/>
        <v>1781.5</v>
      </c>
      <c r="AM369" t="str">
        <f t="shared" si="47"/>
        <v>Yes</v>
      </c>
    </row>
    <row r="370" spans="1:39" x14ac:dyDescent="0.3">
      <c r="A370" t="s">
        <v>33</v>
      </c>
      <c r="B370" s="28">
        <f t="shared" si="40"/>
        <v>45017</v>
      </c>
      <c r="C370">
        <v>2023</v>
      </c>
      <c r="D370" t="s">
        <v>36</v>
      </c>
      <c r="E370" t="str">
        <f t="shared" si="41"/>
        <v>Apr-23</v>
      </c>
      <c r="F370">
        <f>VLOOKUP(D370,'Problem Statement 4'!$G$2:$H$13,2,0)</f>
        <v>4</v>
      </c>
      <c r="G370">
        <v>173.8</v>
      </c>
      <c r="H370">
        <v>209.3</v>
      </c>
      <c r="I370">
        <v>169.6</v>
      </c>
      <c r="J370">
        <v>178.4</v>
      </c>
      <c r="K370">
        <v>174.9</v>
      </c>
      <c r="L370">
        <v>176.3</v>
      </c>
      <c r="M370">
        <v>155.4</v>
      </c>
      <c r="N370">
        <v>173.4</v>
      </c>
      <c r="O370">
        <v>121.3</v>
      </c>
      <c r="P370">
        <v>212.9</v>
      </c>
      <c r="Q370">
        <v>172.9</v>
      </c>
      <c r="R370">
        <v>193.5</v>
      </c>
      <c r="S370">
        <v>177.9</v>
      </c>
      <c r="T370">
        <v>200.6</v>
      </c>
      <c r="U370">
        <v>186.9</v>
      </c>
      <c r="V370">
        <v>179.2</v>
      </c>
      <c r="W370">
        <v>185.7</v>
      </c>
      <c r="X370">
        <v>175.2</v>
      </c>
      <c r="Y370">
        <v>181.7</v>
      </c>
      <c r="Z370">
        <v>174.6</v>
      </c>
      <c r="AA370">
        <v>185</v>
      </c>
      <c r="AB370">
        <v>164.5</v>
      </c>
      <c r="AC370">
        <v>170.7</v>
      </c>
      <c r="AD370">
        <v>176.4</v>
      </c>
      <c r="AE370">
        <v>184</v>
      </c>
      <c r="AF370">
        <v>175</v>
      </c>
      <c r="AG370">
        <v>178.1</v>
      </c>
      <c r="AH370">
        <f t="shared" si="42"/>
        <v>2289.6000000000004</v>
      </c>
      <c r="AI370">
        <f t="shared" si="43"/>
        <v>181.7</v>
      </c>
      <c r="AJ370">
        <f t="shared" si="44"/>
        <v>164.5</v>
      </c>
      <c r="AK370">
        <f t="shared" si="45"/>
        <v>176.4</v>
      </c>
      <c r="AL370">
        <f t="shared" si="46"/>
        <v>1816.9</v>
      </c>
      <c r="AM370" t="str">
        <f t="shared" si="47"/>
        <v>Yes</v>
      </c>
    </row>
    <row r="371" spans="1:39" x14ac:dyDescent="0.3">
      <c r="A371" t="s">
        <v>30</v>
      </c>
      <c r="B371" s="28">
        <f t="shared" si="40"/>
        <v>45047</v>
      </c>
      <c r="C371">
        <v>2023</v>
      </c>
      <c r="D371" t="s">
        <v>37</v>
      </c>
      <c r="E371" t="str">
        <f t="shared" si="41"/>
        <v>May-23</v>
      </c>
      <c r="F371">
        <f>VLOOKUP(D371,'Problem Statement 4'!$G$2:$H$13,2,0)</f>
        <v>5</v>
      </c>
      <c r="G371">
        <v>173.2</v>
      </c>
      <c r="H371">
        <v>211.5</v>
      </c>
      <c r="I371">
        <v>171</v>
      </c>
      <c r="J371">
        <v>179.6</v>
      </c>
      <c r="K371">
        <v>173.3</v>
      </c>
      <c r="L371">
        <v>169</v>
      </c>
      <c r="M371">
        <v>148.69999999999999</v>
      </c>
      <c r="N371">
        <v>174.9</v>
      </c>
      <c r="O371">
        <v>121.9</v>
      </c>
      <c r="P371">
        <v>221</v>
      </c>
      <c r="Q371">
        <v>178.7</v>
      </c>
      <c r="R371">
        <v>191.1</v>
      </c>
      <c r="S371">
        <v>176.8</v>
      </c>
      <c r="T371">
        <v>199.9</v>
      </c>
      <c r="U371">
        <v>191.2</v>
      </c>
      <c r="V371">
        <v>187.9</v>
      </c>
      <c r="W371">
        <v>190.8</v>
      </c>
      <c r="X371">
        <v>175.6</v>
      </c>
      <c r="Y371">
        <v>182.5</v>
      </c>
      <c r="Z371">
        <v>179.8</v>
      </c>
      <c r="AA371">
        <v>187.8</v>
      </c>
      <c r="AB371">
        <v>169.7</v>
      </c>
      <c r="AC371">
        <v>173.8</v>
      </c>
      <c r="AD371">
        <v>180.3</v>
      </c>
      <c r="AE371">
        <v>184.9</v>
      </c>
      <c r="AF371">
        <v>179.5</v>
      </c>
      <c r="AG371">
        <v>179.8</v>
      </c>
      <c r="AH371">
        <f t="shared" si="42"/>
        <v>2290.7000000000007</v>
      </c>
      <c r="AI371">
        <f t="shared" si="43"/>
        <v>182.5</v>
      </c>
      <c r="AJ371">
        <f t="shared" si="44"/>
        <v>169.7</v>
      </c>
      <c r="AK371">
        <f t="shared" si="45"/>
        <v>180.3</v>
      </c>
      <c r="AL371">
        <f t="shared" si="46"/>
        <v>1851.2</v>
      </c>
      <c r="AM371" t="str">
        <f t="shared" si="47"/>
        <v>No</v>
      </c>
    </row>
    <row r="372" spans="1:39" x14ac:dyDescent="0.3">
      <c r="A372" t="s">
        <v>32</v>
      </c>
      <c r="B372" s="28">
        <f t="shared" si="40"/>
        <v>45047</v>
      </c>
      <c r="C372">
        <v>2023</v>
      </c>
      <c r="D372" t="s">
        <v>37</v>
      </c>
      <c r="E372" t="str">
        <f t="shared" si="41"/>
        <v>May-23</v>
      </c>
      <c r="F372">
        <f>VLOOKUP(D372,'Problem Statement 4'!$G$2:$H$13,2,0)</f>
        <v>5</v>
      </c>
      <c r="G372">
        <v>174.7</v>
      </c>
      <c r="H372">
        <v>219.4</v>
      </c>
      <c r="I372">
        <v>176.7</v>
      </c>
      <c r="J372">
        <v>179.4</v>
      </c>
      <c r="K372">
        <v>164.4</v>
      </c>
      <c r="L372">
        <v>175.8</v>
      </c>
      <c r="M372">
        <v>185</v>
      </c>
      <c r="N372">
        <v>176.9</v>
      </c>
      <c r="O372">
        <v>124.2</v>
      </c>
      <c r="P372">
        <v>211.9</v>
      </c>
      <c r="Q372">
        <v>165.9</v>
      </c>
      <c r="R372">
        <v>197.7</v>
      </c>
      <c r="S372">
        <v>183.1</v>
      </c>
      <c r="T372">
        <v>204.2</v>
      </c>
      <c r="U372">
        <v>181.3</v>
      </c>
      <c r="V372">
        <v>168.1</v>
      </c>
      <c r="W372">
        <v>179.3</v>
      </c>
      <c r="X372">
        <v>175.6</v>
      </c>
      <c r="Y372">
        <v>183.4</v>
      </c>
      <c r="Z372">
        <v>170.1</v>
      </c>
      <c r="AA372">
        <v>182.2</v>
      </c>
      <c r="AB372">
        <v>160.4</v>
      </c>
      <c r="AC372">
        <v>169.2</v>
      </c>
      <c r="AD372">
        <v>174.8</v>
      </c>
      <c r="AE372">
        <v>185.6</v>
      </c>
      <c r="AF372">
        <v>171.6</v>
      </c>
      <c r="AG372">
        <v>178.2</v>
      </c>
      <c r="AH372">
        <f t="shared" si="42"/>
        <v>2335.1</v>
      </c>
      <c r="AI372">
        <f t="shared" si="43"/>
        <v>183.4</v>
      </c>
      <c r="AJ372">
        <f t="shared" si="44"/>
        <v>160.4</v>
      </c>
      <c r="AK372">
        <f t="shared" si="45"/>
        <v>174.8</v>
      </c>
      <c r="AL372">
        <f t="shared" si="46"/>
        <v>1787.2</v>
      </c>
      <c r="AM372" t="str">
        <f t="shared" si="47"/>
        <v>Yes</v>
      </c>
    </row>
    <row r="373" spans="1:39" x14ac:dyDescent="0.3">
      <c r="A373" t="s">
        <v>33</v>
      </c>
      <c r="B373" s="28">
        <f t="shared" si="40"/>
        <v>45047</v>
      </c>
      <c r="C373">
        <v>2023</v>
      </c>
      <c r="D373" t="s">
        <v>37</v>
      </c>
      <c r="E373" t="str">
        <f t="shared" si="41"/>
        <v>May-23</v>
      </c>
      <c r="F373">
        <f>VLOOKUP(D373,'Problem Statement 4'!$G$2:$H$13,2,0)</f>
        <v>5</v>
      </c>
      <c r="G373">
        <v>173.7</v>
      </c>
      <c r="H373">
        <v>214.3</v>
      </c>
      <c r="I373">
        <v>173.2</v>
      </c>
      <c r="J373">
        <v>179.5</v>
      </c>
      <c r="K373">
        <v>170</v>
      </c>
      <c r="L373">
        <v>172.2</v>
      </c>
      <c r="M373">
        <v>161</v>
      </c>
      <c r="N373">
        <v>175.6</v>
      </c>
      <c r="O373">
        <v>122.7</v>
      </c>
      <c r="P373">
        <v>218</v>
      </c>
      <c r="Q373">
        <v>173.4</v>
      </c>
      <c r="R373">
        <v>194.2</v>
      </c>
      <c r="S373">
        <v>179.1</v>
      </c>
      <c r="T373">
        <v>201</v>
      </c>
      <c r="U373">
        <v>187.3</v>
      </c>
      <c r="V373">
        <v>179.7</v>
      </c>
      <c r="W373">
        <v>186.2</v>
      </c>
      <c r="X373">
        <v>175.6</v>
      </c>
      <c r="Y373">
        <v>182.8</v>
      </c>
      <c r="Z373">
        <v>175.2</v>
      </c>
      <c r="AA373">
        <v>185.7</v>
      </c>
      <c r="AB373">
        <v>164.8</v>
      </c>
      <c r="AC373">
        <v>171.2</v>
      </c>
      <c r="AD373">
        <v>177.1</v>
      </c>
      <c r="AE373">
        <v>185.2</v>
      </c>
      <c r="AF373">
        <v>175.7</v>
      </c>
      <c r="AG373">
        <v>179.1</v>
      </c>
      <c r="AH373">
        <f t="shared" si="42"/>
        <v>2306.9</v>
      </c>
      <c r="AI373">
        <f t="shared" si="43"/>
        <v>182.8</v>
      </c>
      <c r="AJ373">
        <f t="shared" si="44"/>
        <v>164.8</v>
      </c>
      <c r="AK373">
        <f t="shared" si="45"/>
        <v>177.1</v>
      </c>
      <c r="AL373">
        <f t="shared" si="46"/>
        <v>1822.8000000000002</v>
      </c>
      <c r="AM373" t="str">
        <f t="shared" si="47"/>
        <v>Yes</v>
      </c>
    </row>
    <row r="375" spans="1:39" x14ac:dyDescent="0.3">
      <c r="D375" s="1"/>
    </row>
    <row r="378" spans="1:39" x14ac:dyDescent="0.3">
      <c r="P378">
        <f>SUMIFS(P1:P373,A1:A373,"Urban",D1:D373,"December")</f>
        <v>1481.2</v>
      </c>
    </row>
  </sheetData>
  <autoFilter ref="A1:AM373" xr:uid="{C46453B9-6E58-410D-9854-7F42C4B94DC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99132-920F-4489-9425-871706CB7D74}">
  <dimension ref="A1:AL375"/>
  <sheetViews>
    <sheetView workbookViewId="0">
      <selection activeCell="H3" sqref="H3"/>
    </sheetView>
  </sheetViews>
  <sheetFormatPr defaultRowHeight="14.4" x14ac:dyDescent="0.3"/>
  <cols>
    <col min="2" max="2" width="10.33203125" bestFit="1" customWidth="1"/>
    <col min="5" max="5" width="11.21875" bestFit="1" customWidth="1"/>
  </cols>
  <sheetData>
    <row r="1" spans="1:38" x14ac:dyDescent="0.3">
      <c r="A1" t="s">
        <v>0</v>
      </c>
      <c r="B1" t="s">
        <v>107</v>
      </c>
      <c r="C1" t="s">
        <v>1</v>
      </c>
      <c r="D1" t="s">
        <v>2</v>
      </c>
      <c r="F1" t="s">
        <v>108</v>
      </c>
      <c r="G1" s="1" t="s">
        <v>3</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t="s">
        <v>20</v>
      </c>
      <c r="Y1" t="s">
        <v>21</v>
      </c>
      <c r="Z1" t="s">
        <v>22</v>
      </c>
      <c r="AA1" t="s">
        <v>23</v>
      </c>
      <c r="AB1" t="s">
        <v>24</v>
      </c>
      <c r="AC1" t="s">
        <v>25</v>
      </c>
      <c r="AD1" t="s">
        <v>26</v>
      </c>
      <c r="AE1" t="s">
        <v>27</v>
      </c>
      <c r="AF1" t="s">
        <v>28</v>
      </c>
      <c r="AG1" t="s">
        <v>29</v>
      </c>
      <c r="AH1" t="s">
        <v>47</v>
      </c>
      <c r="AI1" t="s">
        <v>53</v>
      </c>
      <c r="AJ1" t="s">
        <v>54</v>
      </c>
      <c r="AK1" t="s">
        <v>26</v>
      </c>
      <c r="AL1" t="s">
        <v>55</v>
      </c>
    </row>
    <row r="2" spans="1:38" x14ac:dyDescent="0.3">
      <c r="A2" t="s">
        <v>30</v>
      </c>
      <c r="B2" s="28">
        <f>DATE(C2,F2,1)</f>
        <v>41275</v>
      </c>
      <c r="C2">
        <v>2013</v>
      </c>
      <c r="D2" t="s">
        <v>31</v>
      </c>
      <c r="E2" t="str">
        <f>_xlfn.CONCAT(TEXT(B2,"mmm"),,"-",RIGHT(C2,2))</f>
        <v>Jan-13</v>
      </c>
      <c r="F2">
        <f>VLOOKUP(D2,'Problem Statement 4'!$G$2:$H$13,2,0)</f>
        <v>1</v>
      </c>
      <c r="G2">
        <v>107.5</v>
      </c>
      <c r="H2">
        <v>106.3</v>
      </c>
      <c r="I2">
        <v>108.1</v>
      </c>
      <c r="J2">
        <v>104.9</v>
      </c>
      <c r="K2">
        <v>106.1</v>
      </c>
      <c r="L2">
        <v>103.9</v>
      </c>
      <c r="M2">
        <v>101.9</v>
      </c>
      <c r="N2">
        <v>106.1</v>
      </c>
      <c r="O2">
        <v>106.8</v>
      </c>
      <c r="P2">
        <v>103.1</v>
      </c>
      <c r="Q2">
        <v>104.8</v>
      </c>
      <c r="R2">
        <v>106.7</v>
      </c>
      <c r="S2">
        <v>105.5</v>
      </c>
      <c r="T2">
        <v>105.1</v>
      </c>
      <c r="U2">
        <v>106.5</v>
      </c>
      <c r="V2">
        <v>105.8</v>
      </c>
      <c r="W2">
        <v>106.4</v>
      </c>
      <c r="X2">
        <v>100.3</v>
      </c>
      <c r="Y2">
        <v>105.5</v>
      </c>
      <c r="Z2">
        <v>104.8</v>
      </c>
      <c r="AA2">
        <v>104</v>
      </c>
      <c r="AB2">
        <v>103.3</v>
      </c>
      <c r="AC2">
        <v>103.4</v>
      </c>
      <c r="AD2">
        <v>103.8</v>
      </c>
      <c r="AE2">
        <v>104.7</v>
      </c>
      <c r="AF2">
        <v>104</v>
      </c>
      <c r="AG2">
        <v>105.1</v>
      </c>
      <c r="AH2">
        <f>SUM(G2:S2)</f>
        <v>1371.6999999999998</v>
      </c>
      <c r="AI2">
        <f>SUM(Y2)</f>
        <v>105.5</v>
      </c>
      <c r="AJ2">
        <f>SUM(AB2)</f>
        <v>103.3</v>
      </c>
      <c r="AK2">
        <f>SUM(AD2)</f>
        <v>103.8</v>
      </c>
      <c r="AL2">
        <f>SUM(T2:X2,Z2:AA2,AC2,AE2:AF2)</f>
        <v>1045</v>
      </c>
    </row>
    <row r="3" spans="1:38" x14ac:dyDescent="0.3">
      <c r="A3" t="s">
        <v>32</v>
      </c>
      <c r="B3" s="28">
        <f t="shared" ref="B3:B66" si="0">DATE(C3,F3,1)</f>
        <v>41275</v>
      </c>
      <c r="C3">
        <v>2013</v>
      </c>
      <c r="D3" t="s">
        <v>31</v>
      </c>
      <c r="E3" t="str">
        <f t="shared" ref="E3:E66" si="1">_xlfn.CONCAT(TEXT(B3,"mmm"),,"-",RIGHT(C3,2))</f>
        <v>Jan-13</v>
      </c>
      <c r="F3">
        <f>VLOOKUP(D3,'Problem Statement 4'!$G$2:$H$13,2,0)</f>
        <v>1</v>
      </c>
      <c r="G3">
        <v>110.5</v>
      </c>
      <c r="H3">
        <v>109.1</v>
      </c>
      <c r="I3">
        <v>113</v>
      </c>
      <c r="J3">
        <v>103.6</v>
      </c>
      <c r="K3">
        <v>103.4</v>
      </c>
      <c r="L3">
        <v>102.3</v>
      </c>
      <c r="M3">
        <v>102.9</v>
      </c>
      <c r="N3">
        <v>105.8</v>
      </c>
      <c r="O3">
        <v>105.1</v>
      </c>
      <c r="P3">
        <v>101.8</v>
      </c>
      <c r="Q3">
        <v>105.1</v>
      </c>
      <c r="R3">
        <v>107.9</v>
      </c>
      <c r="S3">
        <v>105.9</v>
      </c>
      <c r="T3">
        <v>105.2</v>
      </c>
      <c r="U3">
        <v>105.9</v>
      </c>
      <c r="V3">
        <v>105</v>
      </c>
      <c r="W3">
        <v>105.8</v>
      </c>
      <c r="X3">
        <v>100.3</v>
      </c>
      <c r="Y3">
        <v>105.4</v>
      </c>
      <c r="Z3">
        <v>104.8</v>
      </c>
      <c r="AA3">
        <v>104.1</v>
      </c>
      <c r="AB3">
        <v>103.2</v>
      </c>
      <c r="AC3">
        <v>102.9</v>
      </c>
      <c r="AD3">
        <v>103.5</v>
      </c>
      <c r="AE3">
        <v>104.3</v>
      </c>
      <c r="AF3">
        <v>103.7</v>
      </c>
      <c r="AG3">
        <v>104</v>
      </c>
      <c r="AH3">
        <f t="shared" ref="AH3:AH66" si="2">SUM(G3:S3)</f>
        <v>1376.4</v>
      </c>
      <c r="AI3">
        <f t="shared" ref="AI3:AI66" si="3">SUM(Y3)</f>
        <v>105.4</v>
      </c>
      <c r="AJ3">
        <f t="shared" ref="AJ3:AJ66" si="4">SUM(AB3)</f>
        <v>103.2</v>
      </c>
      <c r="AK3">
        <f t="shared" ref="AK3:AK66" si="5">SUM(AD3)</f>
        <v>103.5</v>
      </c>
      <c r="AL3">
        <f t="shared" ref="AL3:AL66" si="6">SUM(T3:X3,Z3:AA3,AC3,AE3:AF3)</f>
        <v>1042</v>
      </c>
    </row>
    <row r="4" spans="1:38" x14ac:dyDescent="0.3">
      <c r="A4" t="s">
        <v>33</v>
      </c>
      <c r="B4" s="28">
        <f t="shared" si="0"/>
        <v>41275</v>
      </c>
      <c r="C4">
        <v>2013</v>
      </c>
      <c r="D4" t="s">
        <v>31</v>
      </c>
      <c r="E4" t="str">
        <f t="shared" si="1"/>
        <v>Jan-13</v>
      </c>
      <c r="F4">
        <f>VLOOKUP(D4,'Problem Statement 4'!$G$2:$H$13,2,0)</f>
        <v>1</v>
      </c>
      <c r="G4">
        <v>108.4</v>
      </c>
      <c r="H4">
        <v>107.3</v>
      </c>
      <c r="I4">
        <v>110</v>
      </c>
      <c r="J4">
        <v>104.4</v>
      </c>
      <c r="K4">
        <v>105.1</v>
      </c>
      <c r="L4">
        <v>103.2</v>
      </c>
      <c r="M4">
        <v>102.2</v>
      </c>
      <c r="N4">
        <v>106</v>
      </c>
      <c r="O4">
        <v>106.2</v>
      </c>
      <c r="P4">
        <v>102.7</v>
      </c>
      <c r="Q4">
        <v>104.9</v>
      </c>
      <c r="R4">
        <v>107.3</v>
      </c>
      <c r="S4">
        <v>105.6</v>
      </c>
      <c r="T4">
        <v>105.1</v>
      </c>
      <c r="U4">
        <v>106.3</v>
      </c>
      <c r="V4">
        <v>105.5</v>
      </c>
      <c r="W4">
        <v>106.2</v>
      </c>
      <c r="X4">
        <v>100.3</v>
      </c>
      <c r="Y4">
        <v>105.5</v>
      </c>
      <c r="Z4">
        <v>104.8</v>
      </c>
      <c r="AA4">
        <v>104</v>
      </c>
      <c r="AB4">
        <v>103.2</v>
      </c>
      <c r="AC4">
        <v>103.1</v>
      </c>
      <c r="AD4">
        <v>103.6</v>
      </c>
      <c r="AE4">
        <v>104.5</v>
      </c>
      <c r="AF4">
        <v>103.9</v>
      </c>
      <c r="AG4">
        <v>104.6</v>
      </c>
      <c r="AH4">
        <f t="shared" si="2"/>
        <v>1373.3000000000002</v>
      </c>
      <c r="AI4">
        <f t="shared" si="3"/>
        <v>105.5</v>
      </c>
      <c r="AJ4">
        <f t="shared" si="4"/>
        <v>103.2</v>
      </c>
      <c r="AK4">
        <f t="shared" si="5"/>
        <v>103.6</v>
      </c>
      <c r="AL4">
        <f t="shared" si="6"/>
        <v>1043.7</v>
      </c>
    </row>
    <row r="5" spans="1:38" x14ac:dyDescent="0.3">
      <c r="A5" t="s">
        <v>30</v>
      </c>
      <c r="B5" s="28">
        <f t="shared" si="0"/>
        <v>41306</v>
      </c>
      <c r="C5">
        <v>2013</v>
      </c>
      <c r="D5" t="s">
        <v>34</v>
      </c>
      <c r="E5" t="str">
        <f t="shared" si="1"/>
        <v>Feb-13</v>
      </c>
      <c r="F5">
        <f>VLOOKUP(D5,'Problem Statement 4'!$G$2:$H$13,2,0)</f>
        <v>2</v>
      </c>
      <c r="G5">
        <v>109.2</v>
      </c>
      <c r="H5">
        <v>108.7</v>
      </c>
      <c r="I5">
        <v>110.2</v>
      </c>
      <c r="J5">
        <v>105.4</v>
      </c>
      <c r="K5">
        <v>106.7</v>
      </c>
      <c r="L5">
        <v>104</v>
      </c>
      <c r="M5">
        <v>102.4</v>
      </c>
      <c r="N5">
        <v>105.9</v>
      </c>
      <c r="O5">
        <v>105.7</v>
      </c>
      <c r="P5">
        <v>103.1</v>
      </c>
      <c r="Q5">
        <v>105.1</v>
      </c>
      <c r="R5">
        <v>107.7</v>
      </c>
      <c r="S5">
        <v>106.3</v>
      </c>
      <c r="T5">
        <v>105.6</v>
      </c>
      <c r="U5">
        <v>107.1</v>
      </c>
      <c r="V5">
        <v>106.3</v>
      </c>
      <c r="W5">
        <v>107</v>
      </c>
      <c r="X5">
        <v>100.4</v>
      </c>
      <c r="Y5">
        <v>106.2</v>
      </c>
      <c r="Z5">
        <v>105.2</v>
      </c>
      <c r="AA5">
        <v>104.4</v>
      </c>
      <c r="AB5">
        <v>103.9</v>
      </c>
      <c r="AC5">
        <v>104</v>
      </c>
      <c r="AD5">
        <v>104.1</v>
      </c>
      <c r="AE5">
        <v>104.6</v>
      </c>
      <c r="AF5">
        <v>104.4</v>
      </c>
      <c r="AG5">
        <v>105.8</v>
      </c>
      <c r="AH5">
        <f t="shared" si="2"/>
        <v>1380.3999999999999</v>
      </c>
      <c r="AI5">
        <f t="shared" si="3"/>
        <v>106.2</v>
      </c>
      <c r="AJ5">
        <f t="shared" si="4"/>
        <v>103.9</v>
      </c>
      <c r="AK5">
        <f t="shared" si="5"/>
        <v>104.1</v>
      </c>
      <c r="AL5">
        <f t="shared" si="6"/>
        <v>1049</v>
      </c>
    </row>
    <row r="6" spans="1:38" x14ac:dyDescent="0.3">
      <c r="A6" t="s">
        <v>32</v>
      </c>
      <c r="B6" s="28">
        <f t="shared" si="0"/>
        <v>41306</v>
      </c>
      <c r="C6">
        <v>2013</v>
      </c>
      <c r="D6" t="s">
        <v>34</v>
      </c>
      <c r="E6" t="str">
        <f t="shared" si="1"/>
        <v>Feb-13</v>
      </c>
      <c r="F6">
        <f>VLOOKUP(D6,'Problem Statement 4'!$G$2:$H$13,2,0)</f>
        <v>2</v>
      </c>
      <c r="G6">
        <v>112.9</v>
      </c>
      <c r="H6">
        <v>112.9</v>
      </c>
      <c r="I6">
        <v>116.9</v>
      </c>
      <c r="J6">
        <v>104</v>
      </c>
      <c r="K6">
        <v>103.5</v>
      </c>
      <c r="L6">
        <v>103.1</v>
      </c>
      <c r="M6">
        <v>104.9</v>
      </c>
      <c r="N6">
        <v>104.1</v>
      </c>
      <c r="O6">
        <v>103.8</v>
      </c>
      <c r="P6">
        <v>102.3</v>
      </c>
      <c r="Q6">
        <v>106</v>
      </c>
      <c r="R6">
        <v>109</v>
      </c>
      <c r="S6">
        <v>107.2</v>
      </c>
      <c r="T6">
        <v>106</v>
      </c>
      <c r="U6">
        <v>106.6</v>
      </c>
      <c r="V6">
        <v>105.5</v>
      </c>
      <c r="W6">
        <v>106.4</v>
      </c>
      <c r="X6">
        <v>100.4</v>
      </c>
      <c r="Y6">
        <v>105.7</v>
      </c>
      <c r="Z6">
        <v>105.2</v>
      </c>
      <c r="AA6">
        <v>104.7</v>
      </c>
      <c r="AB6">
        <v>104.4</v>
      </c>
      <c r="AC6">
        <v>103.3</v>
      </c>
      <c r="AD6">
        <v>103.7</v>
      </c>
      <c r="AE6">
        <v>104.3</v>
      </c>
      <c r="AF6">
        <v>104.3</v>
      </c>
      <c r="AG6">
        <v>104.7</v>
      </c>
      <c r="AH6">
        <f t="shared" si="2"/>
        <v>1390.6000000000001</v>
      </c>
      <c r="AI6">
        <f t="shared" si="3"/>
        <v>105.7</v>
      </c>
      <c r="AJ6">
        <f t="shared" si="4"/>
        <v>104.4</v>
      </c>
      <c r="AK6">
        <f t="shared" si="5"/>
        <v>103.7</v>
      </c>
      <c r="AL6">
        <f t="shared" si="6"/>
        <v>1046.7</v>
      </c>
    </row>
    <row r="7" spans="1:38" x14ac:dyDescent="0.3">
      <c r="A7" t="s">
        <v>33</v>
      </c>
      <c r="B7" s="28">
        <f t="shared" si="0"/>
        <v>41306</v>
      </c>
      <c r="C7">
        <v>2013</v>
      </c>
      <c r="D7" t="s">
        <v>34</v>
      </c>
      <c r="E7" t="str">
        <f t="shared" si="1"/>
        <v>Feb-13</v>
      </c>
      <c r="F7">
        <f>VLOOKUP(D7,'Problem Statement 4'!$G$2:$H$13,2,0)</f>
        <v>2</v>
      </c>
      <c r="G7">
        <v>110.4</v>
      </c>
      <c r="H7">
        <v>110.2</v>
      </c>
      <c r="I7">
        <v>112.8</v>
      </c>
      <c r="J7">
        <v>104.9</v>
      </c>
      <c r="K7">
        <v>105.5</v>
      </c>
      <c r="L7">
        <v>103.6</v>
      </c>
      <c r="M7">
        <v>103.2</v>
      </c>
      <c r="N7">
        <v>105.3</v>
      </c>
      <c r="O7">
        <v>105.1</v>
      </c>
      <c r="P7">
        <v>102.8</v>
      </c>
      <c r="Q7">
        <v>105.5</v>
      </c>
      <c r="R7">
        <v>108.3</v>
      </c>
      <c r="S7">
        <v>106.6</v>
      </c>
      <c r="T7">
        <v>105.7</v>
      </c>
      <c r="U7">
        <v>106.9</v>
      </c>
      <c r="V7">
        <v>106</v>
      </c>
      <c r="W7">
        <v>106.8</v>
      </c>
      <c r="X7">
        <v>100.4</v>
      </c>
      <c r="Y7">
        <v>106</v>
      </c>
      <c r="Z7">
        <v>105.2</v>
      </c>
      <c r="AA7">
        <v>104.5</v>
      </c>
      <c r="AB7">
        <v>104.2</v>
      </c>
      <c r="AC7">
        <v>103.6</v>
      </c>
      <c r="AD7">
        <v>103.9</v>
      </c>
      <c r="AE7">
        <v>104.5</v>
      </c>
      <c r="AF7">
        <v>104.4</v>
      </c>
      <c r="AG7">
        <v>105.3</v>
      </c>
      <c r="AH7">
        <f t="shared" si="2"/>
        <v>1384.2</v>
      </c>
      <c r="AI7">
        <f t="shared" si="3"/>
        <v>106</v>
      </c>
      <c r="AJ7">
        <f t="shared" si="4"/>
        <v>104.2</v>
      </c>
      <c r="AK7">
        <f t="shared" si="5"/>
        <v>103.9</v>
      </c>
      <c r="AL7">
        <f t="shared" si="6"/>
        <v>1048.0000000000002</v>
      </c>
    </row>
    <row r="8" spans="1:38" x14ac:dyDescent="0.3">
      <c r="A8" t="s">
        <v>30</v>
      </c>
      <c r="B8" s="28">
        <f t="shared" si="0"/>
        <v>41334</v>
      </c>
      <c r="C8">
        <v>2013</v>
      </c>
      <c r="D8" t="s">
        <v>35</v>
      </c>
      <c r="E8" t="str">
        <f t="shared" si="1"/>
        <v>Mar-13</v>
      </c>
      <c r="F8">
        <f>VLOOKUP(D8,'Problem Statement 4'!$G$2:$H$13,2,0)</f>
        <v>3</v>
      </c>
      <c r="G8">
        <v>110.2</v>
      </c>
      <c r="H8">
        <v>108.8</v>
      </c>
      <c r="I8">
        <v>109.9</v>
      </c>
      <c r="J8">
        <v>105.6</v>
      </c>
      <c r="K8">
        <v>106.2</v>
      </c>
      <c r="L8">
        <v>105.7</v>
      </c>
      <c r="M8">
        <v>101.4</v>
      </c>
      <c r="N8">
        <v>105.7</v>
      </c>
      <c r="O8">
        <v>105</v>
      </c>
      <c r="P8">
        <v>103.3</v>
      </c>
      <c r="Q8">
        <v>105.6</v>
      </c>
      <c r="R8">
        <v>108.2</v>
      </c>
      <c r="S8">
        <v>106.6</v>
      </c>
      <c r="T8">
        <v>106.5</v>
      </c>
      <c r="U8">
        <v>107.6</v>
      </c>
      <c r="V8">
        <v>106.8</v>
      </c>
      <c r="W8">
        <v>107.5</v>
      </c>
      <c r="X8">
        <v>100.4</v>
      </c>
      <c r="Y8">
        <v>106.1</v>
      </c>
      <c r="Z8">
        <v>105.6</v>
      </c>
      <c r="AA8">
        <v>104.7</v>
      </c>
      <c r="AB8">
        <v>104.6</v>
      </c>
      <c r="AC8">
        <v>104</v>
      </c>
      <c r="AD8">
        <v>104.3</v>
      </c>
      <c r="AE8">
        <v>104.3</v>
      </c>
      <c r="AF8">
        <v>104.6</v>
      </c>
      <c r="AG8">
        <v>106</v>
      </c>
      <c r="AH8">
        <f t="shared" si="2"/>
        <v>1382.2</v>
      </c>
      <c r="AI8">
        <f t="shared" si="3"/>
        <v>106.1</v>
      </c>
      <c r="AJ8">
        <f t="shared" si="4"/>
        <v>104.6</v>
      </c>
      <c r="AK8">
        <f t="shared" si="5"/>
        <v>104.3</v>
      </c>
      <c r="AL8">
        <f t="shared" si="6"/>
        <v>1052</v>
      </c>
    </row>
    <row r="9" spans="1:38" x14ac:dyDescent="0.3">
      <c r="A9" t="s">
        <v>32</v>
      </c>
      <c r="B9" s="28">
        <f t="shared" si="0"/>
        <v>41334</v>
      </c>
      <c r="C9">
        <v>2013</v>
      </c>
      <c r="D9" t="s">
        <v>35</v>
      </c>
      <c r="E9" t="str">
        <f t="shared" si="1"/>
        <v>Mar-13</v>
      </c>
      <c r="F9">
        <f>VLOOKUP(D9,'Problem Statement 4'!$G$2:$H$13,2,0)</f>
        <v>3</v>
      </c>
      <c r="G9">
        <v>113.9</v>
      </c>
      <c r="H9">
        <v>111.4</v>
      </c>
      <c r="I9">
        <v>113.2</v>
      </c>
      <c r="J9">
        <v>104.3</v>
      </c>
      <c r="K9">
        <v>102.7</v>
      </c>
      <c r="L9">
        <v>104.9</v>
      </c>
      <c r="M9">
        <v>103.8</v>
      </c>
      <c r="N9">
        <v>103.5</v>
      </c>
      <c r="O9">
        <v>102.6</v>
      </c>
      <c r="P9">
        <v>102.4</v>
      </c>
      <c r="Q9">
        <v>107</v>
      </c>
      <c r="R9">
        <v>109.8</v>
      </c>
      <c r="S9">
        <v>107.3</v>
      </c>
      <c r="T9">
        <v>106.8</v>
      </c>
      <c r="U9">
        <v>107.2</v>
      </c>
      <c r="V9">
        <v>106</v>
      </c>
      <c r="W9">
        <v>107</v>
      </c>
      <c r="X9">
        <v>100.4</v>
      </c>
      <c r="Y9">
        <v>106</v>
      </c>
      <c r="Z9">
        <v>105.7</v>
      </c>
      <c r="AA9">
        <v>105.2</v>
      </c>
      <c r="AB9">
        <v>105.5</v>
      </c>
      <c r="AC9">
        <v>103.5</v>
      </c>
      <c r="AD9">
        <v>103.8</v>
      </c>
      <c r="AE9">
        <v>104.2</v>
      </c>
      <c r="AF9">
        <v>104.9</v>
      </c>
      <c r="AG9">
        <v>105</v>
      </c>
      <c r="AH9">
        <f t="shared" si="2"/>
        <v>1386.8</v>
      </c>
      <c r="AI9">
        <f t="shared" si="3"/>
        <v>106</v>
      </c>
      <c r="AJ9">
        <f t="shared" si="4"/>
        <v>105.5</v>
      </c>
      <c r="AK9">
        <f t="shared" si="5"/>
        <v>103.8</v>
      </c>
      <c r="AL9">
        <f t="shared" si="6"/>
        <v>1050.9000000000001</v>
      </c>
    </row>
    <row r="10" spans="1:38" x14ac:dyDescent="0.3">
      <c r="A10" t="s">
        <v>33</v>
      </c>
      <c r="B10" s="28">
        <f t="shared" si="0"/>
        <v>41334</v>
      </c>
      <c r="C10">
        <v>2013</v>
      </c>
      <c r="D10" t="s">
        <v>35</v>
      </c>
      <c r="E10" t="str">
        <f t="shared" si="1"/>
        <v>Mar-13</v>
      </c>
      <c r="F10">
        <f>VLOOKUP(D10,'Problem Statement 4'!$G$2:$H$13,2,0)</f>
        <v>3</v>
      </c>
      <c r="G10">
        <v>111.4</v>
      </c>
      <c r="H10">
        <v>109.7</v>
      </c>
      <c r="I10">
        <v>111.2</v>
      </c>
      <c r="J10">
        <v>105.1</v>
      </c>
      <c r="K10">
        <v>104.9</v>
      </c>
      <c r="L10">
        <v>105.3</v>
      </c>
      <c r="M10">
        <v>102.2</v>
      </c>
      <c r="N10">
        <v>105</v>
      </c>
      <c r="O10">
        <v>104.2</v>
      </c>
      <c r="P10">
        <v>103</v>
      </c>
      <c r="Q10">
        <v>106.2</v>
      </c>
      <c r="R10">
        <v>108.9</v>
      </c>
      <c r="S10">
        <v>106.9</v>
      </c>
      <c r="T10">
        <v>106.6</v>
      </c>
      <c r="U10">
        <v>107.4</v>
      </c>
      <c r="V10">
        <v>106.5</v>
      </c>
      <c r="W10">
        <v>107.3</v>
      </c>
      <c r="X10">
        <v>100.4</v>
      </c>
      <c r="Y10">
        <v>106.1</v>
      </c>
      <c r="Z10">
        <v>105.6</v>
      </c>
      <c r="AA10">
        <v>104.9</v>
      </c>
      <c r="AB10">
        <v>105.1</v>
      </c>
      <c r="AC10">
        <v>103.7</v>
      </c>
      <c r="AD10">
        <v>104</v>
      </c>
      <c r="AE10">
        <v>104.3</v>
      </c>
      <c r="AF10">
        <v>104.7</v>
      </c>
      <c r="AG10">
        <v>105.5</v>
      </c>
      <c r="AH10">
        <f t="shared" si="2"/>
        <v>1384.0000000000002</v>
      </c>
      <c r="AI10">
        <f t="shared" si="3"/>
        <v>106.1</v>
      </c>
      <c r="AJ10">
        <f t="shared" si="4"/>
        <v>105.1</v>
      </c>
      <c r="AK10">
        <f t="shared" si="5"/>
        <v>104</v>
      </c>
      <c r="AL10">
        <f t="shared" si="6"/>
        <v>1051.4000000000001</v>
      </c>
    </row>
    <row r="11" spans="1:38" x14ac:dyDescent="0.3">
      <c r="A11" t="s">
        <v>30</v>
      </c>
      <c r="B11" s="28">
        <f t="shared" si="0"/>
        <v>41365</v>
      </c>
      <c r="C11">
        <v>2013</v>
      </c>
      <c r="D11" t="s">
        <v>36</v>
      </c>
      <c r="E11" t="str">
        <f t="shared" si="1"/>
        <v>Apr-13</v>
      </c>
      <c r="F11">
        <f>VLOOKUP(D11,'Problem Statement 4'!$G$2:$H$13,2,0)</f>
        <v>4</v>
      </c>
      <c r="G11">
        <v>110.2</v>
      </c>
      <c r="H11">
        <v>109.5</v>
      </c>
      <c r="I11">
        <v>106.9</v>
      </c>
      <c r="J11">
        <v>106.3</v>
      </c>
      <c r="K11">
        <v>105.7</v>
      </c>
      <c r="L11">
        <v>108.3</v>
      </c>
      <c r="M11">
        <v>103.4</v>
      </c>
      <c r="N11">
        <v>105.7</v>
      </c>
      <c r="O11">
        <v>104.2</v>
      </c>
      <c r="P11">
        <v>103.2</v>
      </c>
      <c r="Q11">
        <v>106.5</v>
      </c>
      <c r="R11">
        <v>108.8</v>
      </c>
      <c r="S11">
        <v>107.1</v>
      </c>
      <c r="T11">
        <v>107.1</v>
      </c>
      <c r="U11">
        <v>108.1</v>
      </c>
      <c r="V11">
        <v>107.4</v>
      </c>
      <c r="W11">
        <v>108</v>
      </c>
      <c r="X11">
        <v>100.5</v>
      </c>
      <c r="Y11">
        <v>106.5</v>
      </c>
      <c r="Z11">
        <v>106.1</v>
      </c>
      <c r="AA11">
        <v>105.1</v>
      </c>
      <c r="AB11">
        <v>104.4</v>
      </c>
      <c r="AC11">
        <v>104.5</v>
      </c>
      <c r="AD11">
        <v>104.8</v>
      </c>
      <c r="AE11">
        <v>102.7</v>
      </c>
      <c r="AF11">
        <v>104.6</v>
      </c>
      <c r="AG11">
        <v>106.4</v>
      </c>
      <c r="AH11">
        <f t="shared" si="2"/>
        <v>1385.8</v>
      </c>
      <c r="AI11">
        <f t="shared" si="3"/>
        <v>106.5</v>
      </c>
      <c r="AJ11">
        <f t="shared" si="4"/>
        <v>104.4</v>
      </c>
      <c r="AK11">
        <f t="shared" si="5"/>
        <v>104.8</v>
      </c>
      <c r="AL11">
        <f t="shared" si="6"/>
        <v>1054.1000000000001</v>
      </c>
    </row>
    <row r="12" spans="1:38" x14ac:dyDescent="0.3">
      <c r="A12" t="s">
        <v>32</v>
      </c>
      <c r="B12" s="28">
        <f t="shared" si="0"/>
        <v>41365</v>
      </c>
      <c r="C12">
        <v>2013</v>
      </c>
      <c r="D12" t="s">
        <v>36</v>
      </c>
      <c r="E12" t="str">
        <f t="shared" si="1"/>
        <v>Apr-13</v>
      </c>
      <c r="F12">
        <f>VLOOKUP(D12,'Problem Statement 4'!$G$2:$H$13,2,0)</f>
        <v>4</v>
      </c>
      <c r="G12">
        <v>114.6</v>
      </c>
      <c r="H12">
        <v>113.4</v>
      </c>
      <c r="I12">
        <v>106</v>
      </c>
      <c r="J12">
        <v>104.7</v>
      </c>
      <c r="K12">
        <v>102.1</v>
      </c>
      <c r="L12">
        <v>109.5</v>
      </c>
      <c r="M12">
        <v>109.7</v>
      </c>
      <c r="N12">
        <v>104.6</v>
      </c>
      <c r="O12">
        <v>102</v>
      </c>
      <c r="P12">
        <v>103.5</v>
      </c>
      <c r="Q12">
        <v>108.2</v>
      </c>
      <c r="R12">
        <v>110.6</v>
      </c>
      <c r="S12">
        <v>108.8</v>
      </c>
      <c r="T12">
        <v>108.5</v>
      </c>
      <c r="U12">
        <v>107.9</v>
      </c>
      <c r="V12">
        <v>106.4</v>
      </c>
      <c r="W12">
        <v>107.7</v>
      </c>
      <c r="X12">
        <v>100.5</v>
      </c>
      <c r="Y12">
        <v>106.4</v>
      </c>
      <c r="Z12">
        <v>106.5</v>
      </c>
      <c r="AA12">
        <v>105.7</v>
      </c>
      <c r="AB12">
        <v>105</v>
      </c>
      <c r="AC12">
        <v>104</v>
      </c>
      <c r="AD12">
        <v>105.2</v>
      </c>
      <c r="AE12">
        <v>103.2</v>
      </c>
      <c r="AF12">
        <v>105.1</v>
      </c>
      <c r="AG12">
        <v>105.7</v>
      </c>
      <c r="AH12">
        <f t="shared" si="2"/>
        <v>1397.6999999999998</v>
      </c>
      <c r="AI12">
        <f t="shared" si="3"/>
        <v>106.4</v>
      </c>
      <c r="AJ12">
        <f t="shared" si="4"/>
        <v>105</v>
      </c>
      <c r="AK12">
        <f t="shared" si="5"/>
        <v>105.2</v>
      </c>
      <c r="AL12">
        <f t="shared" si="6"/>
        <v>1055.5</v>
      </c>
    </row>
    <row r="13" spans="1:38" x14ac:dyDescent="0.3">
      <c r="A13" t="s">
        <v>33</v>
      </c>
      <c r="B13" s="28">
        <f t="shared" si="0"/>
        <v>41365</v>
      </c>
      <c r="C13">
        <v>2013</v>
      </c>
      <c r="D13" t="s">
        <v>36</v>
      </c>
      <c r="E13" t="str">
        <f t="shared" si="1"/>
        <v>Apr-13</v>
      </c>
      <c r="F13">
        <f>VLOOKUP(D13,'Problem Statement 4'!$G$2:$H$13,2,0)</f>
        <v>4</v>
      </c>
      <c r="G13">
        <v>111.6</v>
      </c>
      <c r="H13">
        <v>110.9</v>
      </c>
      <c r="I13">
        <v>106.6</v>
      </c>
      <c r="J13">
        <v>105.7</v>
      </c>
      <c r="K13">
        <v>104.4</v>
      </c>
      <c r="L13">
        <v>108.9</v>
      </c>
      <c r="M13">
        <v>105.5</v>
      </c>
      <c r="N13">
        <v>105.3</v>
      </c>
      <c r="O13">
        <v>103.5</v>
      </c>
      <c r="P13">
        <v>103.3</v>
      </c>
      <c r="Q13">
        <v>107.2</v>
      </c>
      <c r="R13">
        <v>109.6</v>
      </c>
      <c r="S13">
        <v>107.7</v>
      </c>
      <c r="T13">
        <v>107.5</v>
      </c>
      <c r="U13">
        <v>108</v>
      </c>
      <c r="V13">
        <v>107</v>
      </c>
      <c r="W13">
        <v>107.9</v>
      </c>
      <c r="X13">
        <v>100.5</v>
      </c>
      <c r="Y13">
        <v>106.5</v>
      </c>
      <c r="Z13">
        <v>106.3</v>
      </c>
      <c r="AA13">
        <v>105.3</v>
      </c>
      <c r="AB13">
        <v>104.7</v>
      </c>
      <c r="AC13">
        <v>104.2</v>
      </c>
      <c r="AD13">
        <v>105</v>
      </c>
      <c r="AE13">
        <v>102.9</v>
      </c>
      <c r="AF13">
        <v>104.8</v>
      </c>
      <c r="AG13">
        <v>106.1</v>
      </c>
      <c r="AH13">
        <f t="shared" si="2"/>
        <v>1390.2</v>
      </c>
      <c r="AI13">
        <f t="shared" si="3"/>
        <v>106.5</v>
      </c>
      <c r="AJ13">
        <f t="shared" si="4"/>
        <v>104.7</v>
      </c>
      <c r="AK13">
        <f t="shared" si="5"/>
        <v>105</v>
      </c>
      <c r="AL13">
        <f t="shared" si="6"/>
        <v>1054.3999999999999</v>
      </c>
    </row>
    <row r="14" spans="1:38" x14ac:dyDescent="0.3">
      <c r="A14" t="s">
        <v>30</v>
      </c>
      <c r="B14" s="28">
        <f t="shared" si="0"/>
        <v>41395</v>
      </c>
      <c r="C14">
        <v>2013</v>
      </c>
      <c r="D14" t="s">
        <v>37</v>
      </c>
      <c r="E14" t="str">
        <f t="shared" si="1"/>
        <v>May-13</v>
      </c>
      <c r="F14">
        <f>VLOOKUP(D14,'Problem Statement 4'!$G$2:$H$13,2,0)</f>
        <v>5</v>
      </c>
      <c r="G14">
        <v>110.9</v>
      </c>
      <c r="H14">
        <v>109.8</v>
      </c>
      <c r="I14">
        <v>105.9</v>
      </c>
      <c r="J14">
        <v>107.5</v>
      </c>
      <c r="K14">
        <v>105.3</v>
      </c>
      <c r="L14">
        <v>108.1</v>
      </c>
      <c r="M14">
        <v>107.3</v>
      </c>
      <c r="N14">
        <v>106.1</v>
      </c>
      <c r="O14">
        <v>103.7</v>
      </c>
      <c r="P14">
        <v>104</v>
      </c>
      <c r="Q14">
        <v>107.4</v>
      </c>
      <c r="R14">
        <v>109.9</v>
      </c>
      <c r="S14">
        <v>108.1</v>
      </c>
      <c r="T14">
        <v>108.1</v>
      </c>
      <c r="U14">
        <v>108.8</v>
      </c>
      <c r="V14">
        <v>107.9</v>
      </c>
      <c r="W14">
        <v>108.6</v>
      </c>
      <c r="X14">
        <v>100.5</v>
      </c>
      <c r="Y14">
        <v>107.5</v>
      </c>
      <c r="Z14">
        <v>106.8</v>
      </c>
      <c r="AA14">
        <v>105.7</v>
      </c>
      <c r="AB14">
        <v>104.1</v>
      </c>
      <c r="AC14">
        <v>105</v>
      </c>
      <c r="AD14">
        <v>105.5</v>
      </c>
      <c r="AE14">
        <v>102.1</v>
      </c>
      <c r="AF14">
        <v>104.8</v>
      </c>
      <c r="AG14">
        <v>107.2</v>
      </c>
      <c r="AH14">
        <f t="shared" si="2"/>
        <v>1394</v>
      </c>
      <c r="AI14">
        <f t="shared" si="3"/>
        <v>107.5</v>
      </c>
      <c r="AJ14">
        <f t="shared" si="4"/>
        <v>104.1</v>
      </c>
      <c r="AK14">
        <f t="shared" si="5"/>
        <v>105.5</v>
      </c>
      <c r="AL14">
        <f t="shared" si="6"/>
        <v>1058.3</v>
      </c>
    </row>
    <row r="15" spans="1:38" x14ac:dyDescent="0.3">
      <c r="A15" t="s">
        <v>32</v>
      </c>
      <c r="B15" s="28">
        <f t="shared" si="0"/>
        <v>41395</v>
      </c>
      <c r="C15">
        <v>2013</v>
      </c>
      <c r="D15" t="s">
        <v>37</v>
      </c>
      <c r="E15" t="str">
        <f t="shared" si="1"/>
        <v>May-13</v>
      </c>
      <c r="F15">
        <f>VLOOKUP(D15,'Problem Statement 4'!$G$2:$H$13,2,0)</f>
        <v>5</v>
      </c>
      <c r="G15">
        <v>115.4</v>
      </c>
      <c r="H15">
        <v>114.2</v>
      </c>
      <c r="I15">
        <v>102.7</v>
      </c>
      <c r="J15">
        <v>105.5</v>
      </c>
      <c r="K15">
        <v>101.5</v>
      </c>
      <c r="L15">
        <v>110.6</v>
      </c>
      <c r="M15">
        <v>123.7</v>
      </c>
      <c r="N15">
        <v>105.2</v>
      </c>
      <c r="O15">
        <v>101.9</v>
      </c>
      <c r="P15">
        <v>105</v>
      </c>
      <c r="Q15">
        <v>109.1</v>
      </c>
      <c r="R15">
        <v>111.3</v>
      </c>
      <c r="S15">
        <v>111.1</v>
      </c>
      <c r="T15">
        <v>109.8</v>
      </c>
      <c r="U15">
        <v>108.5</v>
      </c>
      <c r="V15">
        <v>106.7</v>
      </c>
      <c r="W15">
        <v>108.3</v>
      </c>
      <c r="X15">
        <v>100.5</v>
      </c>
      <c r="Y15">
        <v>107.2</v>
      </c>
      <c r="Z15">
        <v>107.1</v>
      </c>
      <c r="AA15">
        <v>106.2</v>
      </c>
      <c r="AB15">
        <v>103.9</v>
      </c>
      <c r="AC15">
        <v>104.6</v>
      </c>
      <c r="AD15">
        <v>105.7</v>
      </c>
      <c r="AE15">
        <v>102.6</v>
      </c>
      <c r="AF15">
        <v>104.9</v>
      </c>
      <c r="AG15">
        <v>106.6</v>
      </c>
      <c r="AH15">
        <f t="shared" si="2"/>
        <v>1417.1999999999998</v>
      </c>
      <c r="AI15">
        <f t="shared" si="3"/>
        <v>107.2</v>
      </c>
      <c r="AJ15">
        <f t="shared" si="4"/>
        <v>103.9</v>
      </c>
      <c r="AK15">
        <f t="shared" si="5"/>
        <v>105.7</v>
      </c>
      <c r="AL15">
        <f t="shared" si="6"/>
        <v>1059.2</v>
      </c>
    </row>
    <row r="16" spans="1:38" x14ac:dyDescent="0.3">
      <c r="A16" t="s">
        <v>33</v>
      </c>
      <c r="B16" s="28">
        <f t="shared" si="0"/>
        <v>41395</v>
      </c>
      <c r="C16">
        <v>2013</v>
      </c>
      <c r="D16" t="s">
        <v>37</v>
      </c>
      <c r="E16" t="str">
        <f t="shared" si="1"/>
        <v>May-13</v>
      </c>
      <c r="F16">
        <f>VLOOKUP(D16,'Problem Statement 4'!$G$2:$H$13,2,0)</f>
        <v>5</v>
      </c>
      <c r="G16">
        <v>112.3</v>
      </c>
      <c r="H16">
        <v>111.3</v>
      </c>
      <c r="I16">
        <v>104.7</v>
      </c>
      <c r="J16">
        <v>106.8</v>
      </c>
      <c r="K16">
        <v>103.9</v>
      </c>
      <c r="L16">
        <v>109.3</v>
      </c>
      <c r="M16">
        <v>112.9</v>
      </c>
      <c r="N16">
        <v>105.8</v>
      </c>
      <c r="O16">
        <v>103.1</v>
      </c>
      <c r="P16">
        <v>104.3</v>
      </c>
      <c r="Q16">
        <v>108.1</v>
      </c>
      <c r="R16">
        <v>110.5</v>
      </c>
      <c r="S16">
        <v>109.2</v>
      </c>
      <c r="T16">
        <v>108.6</v>
      </c>
      <c r="U16">
        <v>108.7</v>
      </c>
      <c r="V16">
        <v>107.4</v>
      </c>
      <c r="W16">
        <v>108.5</v>
      </c>
      <c r="X16">
        <v>100.5</v>
      </c>
      <c r="Y16">
        <v>107.4</v>
      </c>
      <c r="Z16">
        <v>106.9</v>
      </c>
      <c r="AA16">
        <v>105.9</v>
      </c>
      <c r="AB16">
        <v>104</v>
      </c>
      <c r="AC16">
        <v>104.8</v>
      </c>
      <c r="AD16">
        <v>105.6</v>
      </c>
      <c r="AE16">
        <v>102.3</v>
      </c>
      <c r="AF16">
        <v>104.8</v>
      </c>
      <c r="AG16">
        <v>106.9</v>
      </c>
      <c r="AH16">
        <f t="shared" si="2"/>
        <v>1402.1999999999998</v>
      </c>
      <c r="AI16">
        <f t="shared" si="3"/>
        <v>107.4</v>
      </c>
      <c r="AJ16">
        <f t="shared" si="4"/>
        <v>104</v>
      </c>
      <c r="AK16">
        <f t="shared" si="5"/>
        <v>105.6</v>
      </c>
      <c r="AL16">
        <f t="shared" si="6"/>
        <v>1058.3999999999999</v>
      </c>
    </row>
    <row r="17" spans="1:38" x14ac:dyDescent="0.3">
      <c r="A17" t="s">
        <v>30</v>
      </c>
      <c r="B17" s="28">
        <f t="shared" si="0"/>
        <v>41426</v>
      </c>
      <c r="C17">
        <v>2013</v>
      </c>
      <c r="D17" t="s">
        <v>38</v>
      </c>
      <c r="E17" t="str">
        <f t="shared" si="1"/>
        <v>Jun-13</v>
      </c>
      <c r="F17">
        <f>VLOOKUP(D17,'Problem Statement 4'!$G$2:$H$13,2,0)</f>
        <v>6</v>
      </c>
      <c r="G17">
        <v>112.3</v>
      </c>
      <c r="H17">
        <v>112.1</v>
      </c>
      <c r="I17">
        <v>108.1</v>
      </c>
      <c r="J17">
        <v>108.3</v>
      </c>
      <c r="K17">
        <v>105.9</v>
      </c>
      <c r="L17">
        <v>109.2</v>
      </c>
      <c r="M17">
        <v>118</v>
      </c>
      <c r="N17">
        <v>106.8</v>
      </c>
      <c r="O17">
        <v>104.1</v>
      </c>
      <c r="P17">
        <v>105.4</v>
      </c>
      <c r="Q17">
        <v>108.2</v>
      </c>
      <c r="R17">
        <v>111</v>
      </c>
      <c r="S17">
        <v>110.6</v>
      </c>
      <c r="T17">
        <v>109</v>
      </c>
      <c r="U17">
        <v>109.7</v>
      </c>
      <c r="V17">
        <v>108.8</v>
      </c>
      <c r="W17">
        <v>109.5</v>
      </c>
      <c r="X17">
        <v>106.6</v>
      </c>
      <c r="Y17">
        <v>108.5</v>
      </c>
      <c r="Z17">
        <v>107.5</v>
      </c>
      <c r="AA17">
        <v>106.3</v>
      </c>
      <c r="AB17">
        <v>105</v>
      </c>
      <c r="AC17">
        <v>105.6</v>
      </c>
      <c r="AD17">
        <v>106.5</v>
      </c>
      <c r="AE17">
        <v>102.5</v>
      </c>
      <c r="AF17">
        <v>105.5</v>
      </c>
      <c r="AG17">
        <v>108.9</v>
      </c>
      <c r="AH17">
        <f t="shared" si="2"/>
        <v>1420</v>
      </c>
      <c r="AI17">
        <f t="shared" si="3"/>
        <v>108.5</v>
      </c>
      <c r="AJ17">
        <f t="shared" si="4"/>
        <v>105</v>
      </c>
      <c r="AK17">
        <f t="shared" si="5"/>
        <v>106.5</v>
      </c>
      <c r="AL17">
        <f t="shared" si="6"/>
        <v>1071</v>
      </c>
    </row>
    <row r="18" spans="1:38" x14ac:dyDescent="0.3">
      <c r="A18" t="s">
        <v>32</v>
      </c>
      <c r="B18" s="28">
        <f t="shared" si="0"/>
        <v>41426</v>
      </c>
      <c r="C18">
        <v>2013</v>
      </c>
      <c r="D18" t="s">
        <v>38</v>
      </c>
      <c r="E18" t="str">
        <f t="shared" si="1"/>
        <v>Jun-13</v>
      </c>
      <c r="F18">
        <f>VLOOKUP(D18,'Problem Statement 4'!$G$2:$H$13,2,0)</f>
        <v>6</v>
      </c>
      <c r="G18">
        <v>117</v>
      </c>
      <c r="H18">
        <v>120.1</v>
      </c>
      <c r="I18">
        <v>112.5</v>
      </c>
      <c r="J18">
        <v>107.3</v>
      </c>
      <c r="K18">
        <v>101.3</v>
      </c>
      <c r="L18">
        <v>112.4</v>
      </c>
      <c r="M18">
        <v>143.6</v>
      </c>
      <c r="N18">
        <v>105.4</v>
      </c>
      <c r="O18">
        <v>101.4</v>
      </c>
      <c r="P18">
        <v>106.4</v>
      </c>
      <c r="Q18">
        <v>110</v>
      </c>
      <c r="R18">
        <v>112.2</v>
      </c>
      <c r="S18">
        <v>115</v>
      </c>
      <c r="T18">
        <v>110.9</v>
      </c>
      <c r="U18">
        <v>109.2</v>
      </c>
      <c r="V18">
        <v>107.2</v>
      </c>
      <c r="W18">
        <v>108.9</v>
      </c>
      <c r="X18">
        <v>106.6</v>
      </c>
      <c r="Y18">
        <v>108</v>
      </c>
      <c r="Z18">
        <v>107.7</v>
      </c>
      <c r="AA18">
        <v>106.5</v>
      </c>
      <c r="AB18">
        <v>105.2</v>
      </c>
      <c r="AC18">
        <v>105.2</v>
      </c>
      <c r="AD18">
        <v>108.1</v>
      </c>
      <c r="AE18">
        <v>103.3</v>
      </c>
      <c r="AF18">
        <v>106.1</v>
      </c>
      <c r="AG18">
        <v>109.7</v>
      </c>
      <c r="AH18">
        <f t="shared" si="2"/>
        <v>1464.6000000000001</v>
      </c>
      <c r="AI18">
        <f t="shared" si="3"/>
        <v>108</v>
      </c>
      <c r="AJ18">
        <f t="shared" si="4"/>
        <v>105.2</v>
      </c>
      <c r="AK18">
        <f t="shared" si="5"/>
        <v>108.1</v>
      </c>
      <c r="AL18">
        <f t="shared" si="6"/>
        <v>1071.6000000000001</v>
      </c>
    </row>
    <row r="19" spans="1:38" x14ac:dyDescent="0.3">
      <c r="A19" t="s">
        <v>33</v>
      </c>
      <c r="B19" s="28">
        <f t="shared" si="0"/>
        <v>41426</v>
      </c>
      <c r="C19">
        <v>2013</v>
      </c>
      <c r="D19" t="s">
        <v>38</v>
      </c>
      <c r="E19" t="str">
        <f t="shared" si="1"/>
        <v>Jun-13</v>
      </c>
      <c r="F19">
        <f>VLOOKUP(D19,'Problem Statement 4'!$G$2:$H$13,2,0)</f>
        <v>6</v>
      </c>
      <c r="G19">
        <v>113.8</v>
      </c>
      <c r="H19">
        <v>114.9</v>
      </c>
      <c r="I19">
        <v>109.8</v>
      </c>
      <c r="J19">
        <v>107.9</v>
      </c>
      <c r="K19">
        <v>104.2</v>
      </c>
      <c r="L19">
        <v>110.7</v>
      </c>
      <c r="M19">
        <v>126.7</v>
      </c>
      <c r="N19">
        <v>106.3</v>
      </c>
      <c r="O19">
        <v>103.2</v>
      </c>
      <c r="P19">
        <v>105.7</v>
      </c>
      <c r="Q19">
        <v>109</v>
      </c>
      <c r="R19">
        <v>111.6</v>
      </c>
      <c r="S19">
        <v>112.2</v>
      </c>
      <c r="T19">
        <v>109.5</v>
      </c>
      <c r="U19">
        <v>109.5</v>
      </c>
      <c r="V19">
        <v>108.1</v>
      </c>
      <c r="W19">
        <v>109.3</v>
      </c>
      <c r="X19">
        <v>106.6</v>
      </c>
      <c r="Y19">
        <v>108.3</v>
      </c>
      <c r="Z19">
        <v>107.6</v>
      </c>
      <c r="AA19">
        <v>106.4</v>
      </c>
      <c r="AB19">
        <v>105.1</v>
      </c>
      <c r="AC19">
        <v>105.4</v>
      </c>
      <c r="AD19">
        <v>107.4</v>
      </c>
      <c r="AE19">
        <v>102.8</v>
      </c>
      <c r="AF19">
        <v>105.8</v>
      </c>
      <c r="AG19">
        <v>109.3</v>
      </c>
      <c r="AH19">
        <f t="shared" si="2"/>
        <v>1436</v>
      </c>
      <c r="AI19">
        <f t="shared" si="3"/>
        <v>108.3</v>
      </c>
      <c r="AJ19">
        <f t="shared" si="4"/>
        <v>105.1</v>
      </c>
      <c r="AK19">
        <f t="shared" si="5"/>
        <v>107.4</v>
      </c>
      <c r="AL19">
        <f t="shared" si="6"/>
        <v>1071</v>
      </c>
    </row>
    <row r="20" spans="1:38" x14ac:dyDescent="0.3">
      <c r="A20" t="s">
        <v>30</v>
      </c>
      <c r="B20" s="28">
        <f t="shared" si="0"/>
        <v>41456</v>
      </c>
      <c r="C20">
        <v>2013</v>
      </c>
      <c r="D20" t="s">
        <v>39</v>
      </c>
      <c r="E20" t="str">
        <f t="shared" si="1"/>
        <v>Jul-13</v>
      </c>
      <c r="F20">
        <f>VLOOKUP(D20,'Problem Statement 4'!$G$2:$H$13,2,0)</f>
        <v>7</v>
      </c>
      <c r="G20">
        <v>113.4</v>
      </c>
      <c r="H20">
        <v>114.9</v>
      </c>
      <c r="I20">
        <v>110.5</v>
      </c>
      <c r="J20">
        <v>109.3</v>
      </c>
      <c r="K20">
        <v>106.2</v>
      </c>
      <c r="L20">
        <v>110.3</v>
      </c>
      <c r="M20">
        <v>129.19999999999999</v>
      </c>
      <c r="N20">
        <v>107.1</v>
      </c>
      <c r="O20">
        <v>104.3</v>
      </c>
      <c r="P20">
        <v>106.4</v>
      </c>
      <c r="Q20">
        <v>109.1</v>
      </c>
      <c r="R20">
        <v>112.1</v>
      </c>
      <c r="S20">
        <v>113.1</v>
      </c>
      <c r="T20">
        <v>109.8</v>
      </c>
      <c r="U20">
        <v>110.5</v>
      </c>
      <c r="V20">
        <v>109.5</v>
      </c>
      <c r="W20">
        <v>110.3</v>
      </c>
      <c r="X20">
        <v>107.7</v>
      </c>
      <c r="Y20">
        <v>109.5</v>
      </c>
      <c r="Z20">
        <v>108.3</v>
      </c>
      <c r="AA20">
        <v>106.9</v>
      </c>
      <c r="AB20">
        <v>106.8</v>
      </c>
      <c r="AC20">
        <v>106.4</v>
      </c>
      <c r="AD20">
        <v>107.8</v>
      </c>
      <c r="AE20">
        <v>102.5</v>
      </c>
      <c r="AF20">
        <v>106.5</v>
      </c>
      <c r="AG20">
        <v>110.7</v>
      </c>
      <c r="AH20">
        <f t="shared" si="2"/>
        <v>1445.8999999999996</v>
      </c>
      <c r="AI20">
        <f t="shared" si="3"/>
        <v>109.5</v>
      </c>
      <c r="AJ20">
        <f t="shared" si="4"/>
        <v>106.8</v>
      </c>
      <c r="AK20">
        <f t="shared" si="5"/>
        <v>107.8</v>
      </c>
      <c r="AL20">
        <f t="shared" si="6"/>
        <v>1078.4000000000001</v>
      </c>
    </row>
    <row r="21" spans="1:38" x14ac:dyDescent="0.3">
      <c r="A21" t="s">
        <v>32</v>
      </c>
      <c r="B21" s="28">
        <f t="shared" si="0"/>
        <v>41456</v>
      </c>
      <c r="C21">
        <v>2013</v>
      </c>
      <c r="D21" t="s">
        <v>39</v>
      </c>
      <c r="E21" t="str">
        <f t="shared" si="1"/>
        <v>Jul-13</v>
      </c>
      <c r="F21">
        <f>VLOOKUP(D21,'Problem Statement 4'!$G$2:$H$13,2,0)</f>
        <v>7</v>
      </c>
      <c r="G21">
        <v>117.8</v>
      </c>
      <c r="H21">
        <v>119.2</v>
      </c>
      <c r="I21">
        <v>114</v>
      </c>
      <c r="J21">
        <v>108.3</v>
      </c>
      <c r="K21">
        <v>101.1</v>
      </c>
      <c r="L21">
        <v>113.2</v>
      </c>
      <c r="M21">
        <v>160.9</v>
      </c>
      <c r="N21">
        <v>105.1</v>
      </c>
      <c r="O21">
        <v>101.3</v>
      </c>
      <c r="P21">
        <v>107.5</v>
      </c>
      <c r="Q21">
        <v>110.4</v>
      </c>
      <c r="R21">
        <v>113.1</v>
      </c>
      <c r="S21">
        <v>117.5</v>
      </c>
      <c r="T21">
        <v>111.7</v>
      </c>
      <c r="U21">
        <v>109.8</v>
      </c>
      <c r="V21">
        <v>107.8</v>
      </c>
      <c r="W21">
        <v>109.5</v>
      </c>
      <c r="X21">
        <v>107.7</v>
      </c>
      <c r="Y21">
        <v>108.6</v>
      </c>
      <c r="Z21">
        <v>108.1</v>
      </c>
      <c r="AA21">
        <v>107.1</v>
      </c>
      <c r="AB21">
        <v>107.3</v>
      </c>
      <c r="AC21">
        <v>105.9</v>
      </c>
      <c r="AD21">
        <v>110.1</v>
      </c>
      <c r="AE21">
        <v>103.2</v>
      </c>
      <c r="AF21">
        <v>107.3</v>
      </c>
      <c r="AG21">
        <v>111.4</v>
      </c>
      <c r="AH21">
        <f t="shared" si="2"/>
        <v>1489.4</v>
      </c>
      <c r="AI21">
        <f t="shared" si="3"/>
        <v>108.6</v>
      </c>
      <c r="AJ21">
        <f t="shared" si="4"/>
        <v>107.3</v>
      </c>
      <c r="AK21">
        <f t="shared" si="5"/>
        <v>110.1</v>
      </c>
      <c r="AL21">
        <f t="shared" si="6"/>
        <v>1078.1000000000001</v>
      </c>
    </row>
    <row r="22" spans="1:38" x14ac:dyDescent="0.3">
      <c r="A22" t="s">
        <v>33</v>
      </c>
      <c r="B22" s="28">
        <f t="shared" si="0"/>
        <v>41456</v>
      </c>
      <c r="C22">
        <v>2013</v>
      </c>
      <c r="D22" t="s">
        <v>39</v>
      </c>
      <c r="E22" t="str">
        <f t="shared" si="1"/>
        <v>Jul-13</v>
      </c>
      <c r="F22">
        <f>VLOOKUP(D22,'Problem Statement 4'!$G$2:$H$13,2,0)</f>
        <v>7</v>
      </c>
      <c r="G22">
        <v>114.8</v>
      </c>
      <c r="H22">
        <v>116.4</v>
      </c>
      <c r="I22">
        <v>111.9</v>
      </c>
      <c r="J22">
        <v>108.9</v>
      </c>
      <c r="K22">
        <v>104.3</v>
      </c>
      <c r="L22">
        <v>111.7</v>
      </c>
      <c r="M22">
        <v>140</v>
      </c>
      <c r="N22">
        <v>106.4</v>
      </c>
      <c r="O22">
        <v>103.3</v>
      </c>
      <c r="P22">
        <v>106.8</v>
      </c>
      <c r="Q22">
        <v>109.6</v>
      </c>
      <c r="R22">
        <v>112.6</v>
      </c>
      <c r="S22">
        <v>114.7</v>
      </c>
      <c r="T22">
        <v>110.3</v>
      </c>
      <c r="U22">
        <v>110.2</v>
      </c>
      <c r="V22">
        <v>108.8</v>
      </c>
      <c r="W22">
        <v>110</v>
      </c>
      <c r="X22">
        <v>107.7</v>
      </c>
      <c r="Y22">
        <v>109.2</v>
      </c>
      <c r="Z22">
        <v>108.2</v>
      </c>
      <c r="AA22">
        <v>107</v>
      </c>
      <c r="AB22">
        <v>107.1</v>
      </c>
      <c r="AC22">
        <v>106.1</v>
      </c>
      <c r="AD22">
        <v>109.1</v>
      </c>
      <c r="AE22">
        <v>102.8</v>
      </c>
      <c r="AF22">
        <v>106.9</v>
      </c>
      <c r="AG22">
        <v>111</v>
      </c>
      <c r="AH22">
        <f t="shared" si="2"/>
        <v>1461.3999999999999</v>
      </c>
      <c r="AI22">
        <f t="shared" si="3"/>
        <v>109.2</v>
      </c>
      <c r="AJ22">
        <f t="shared" si="4"/>
        <v>107.1</v>
      </c>
      <c r="AK22">
        <f t="shared" si="5"/>
        <v>109.1</v>
      </c>
      <c r="AL22">
        <f t="shared" si="6"/>
        <v>1078</v>
      </c>
    </row>
    <row r="23" spans="1:38" x14ac:dyDescent="0.3">
      <c r="A23" t="s">
        <v>30</v>
      </c>
      <c r="B23" s="28">
        <f t="shared" si="0"/>
        <v>41487</v>
      </c>
      <c r="C23">
        <v>2013</v>
      </c>
      <c r="D23" t="s">
        <v>40</v>
      </c>
      <c r="E23" t="str">
        <f t="shared" si="1"/>
        <v>Aug-13</v>
      </c>
      <c r="F23">
        <f>VLOOKUP(D23,'Problem Statement 4'!$G$2:$H$13,2,0)</f>
        <v>8</v>
      </c>
      <c r="G23">
        <v>114.3</v>
      </c>
      <c r="H23">
        <v>115.4</v>
      </c>
      <c r="I23">
        <v>111.1</v>
      </c>
      <c r="J23">
        <v>110</v>
      </c>
      <c r="K23">
        <v>106.4</v>
      </c>
      <c r="L23">
        <v>110.8</v>
      </c>
      <c r="M23">
        <v>138.9</v>
      </c>
      <c r="N23">
        <v>107.4</v>
      </c>
      <c r="O23">
        <v>104.1</v>
      </c>
      <c r="P23">
        <v>106.9</v>
      </c>
      <c r="Q23">
        <v>109.7</v>
      </c>
      <c r="R23">
        <v>112.6</v>
      </c>
      <c r="S23">
        <v>114.9</v>
      </c>
      <c r="T23">
        <v>110.7</v>
      </c>
      <c r="U23">
        <v>111.3</v>
      </c>
      <c r="V23">
        <v>110.2</v>
      </c>
      <c r="W23">
        <v>111.1</v>
      </c>
      <c r="X23">
        <v>108.9</v>
      </c>
      <c r="Y23">
        <v>109.9</v>
      </c>
      <c r="Z23">
        <v>108.7</v>
      </c>
      <c r="AA23">
        <v>107.5</v>
      </c>
      <c r="AB23">
        <v>107.8</v>
      </c>
      <c r="AC23">
        <v>106.8</v>
      </c>
      <c r="AD23">
        <v>108.7</v>
      </c>
      <c r="AE23">
        <v>105</v>
      </c>
      <c r="AF23">
        <v>107.5</v>
      </c>
      <c r="AG23">
        <v>112.1</v>
      </c>
      <c r="AH23">
        <f t="shared" si="2"/>
        <v>1462.5</v>
      </c>
      <c r="AI23">
        <f t="shared" si="3"/>
        <v>109.9</v>
      </c>
      <c r="AJ23">
        <f t="shared" si="4"/>
        <v>107.8</v>
      </c>
      <c r="AK23">
        <f t="shared" si="5"/>
        <v>108.7</v>
      </c>
      <c r="AL23">
        <f t="shared" si="6"/>
        <v>1087.6999999999998</v>
      </c>
    </row>
    <row r="24" spans="1:38" x14ac:dyDescent="0.3">
      <c r="A24" t="s">
        <v>32</v>
      </c>
      <c r="B24" s="28">
        <f t="shared" si="0"/>
        <v>41487</v>
      </c>
      <c r="C24">
        <v>2013</v>
      </c>
      <c r="D24" t="s">
        <v>40</v>
      </c>
      <c r="E24" t="str">
        <f t="shared" si="1"/>
        <v>Aug-13</v>
      </c>
      <c r="F24">
        <f>VLOOKUP(D24,'Problem Statement 4'!$G$2:$H$13,2,0)</f>
        <v>8</v>
      </c>
      <c r="G24">
        <v>118.3</v>
      </c>
      <c r="H24">
        <v>120.4</v>
      </c>
      <c r="I24">
        <v>112.7</v>
      </c>
      <c r="J24">
        <v>108.9</v>
      </c>
      <c r="K24">
        <v>101.1</v>
      </c>
      <c r="L24">
        <v>108.7</v>
      </c>
      <c r="M24">
        <v>177</v>
      </c>
      <c r="N24">
        <v>104.7</v>
      </c>
      <c r="O24">
        <v>101</v>
      </c>
      <c r="P24">
        <v>108.5</v>
      </c>
      <c r="Q24">
        <v>110.9</v>
      </c>
      <c r="R24">
        <v>114.3</v>
      </c>
      <c r="S24">
        <v>119.6</v>
      </c>
      <c r="T24">
        <v>112.4</v>
      </c>
      <c r="U24">
        <v>110.6</v>
      </c>
      <c r="V24">
        <v>108.3</v>
      </c>
      <c r="W24">
        <v>110.2</v>
      </c>
      <c r="X24">
        <v>108.9</v>
      </c>
      <c r="Y24">
        <v>109.3</v>
      </c>
      <c r="Z24">
        <v>108.7</v>
      </c>
      <c r="AA24">
        <v>107.6</v>
      </c>
      <c r="AB24">
        <v>108.1</v>
      </c>
      <c r="AC24">
        <v>106.5</v>
      </c>
      <c r="AD24">
        <v>110.8</v>
      </c>
      <c r="AE24">
        <v>106</v>
      </c>
      <c r="AF24">
        <v>108.3</v>
      </c>
      <c r="AG24">
        <v>112.7</v>
      </c>
      <c r="AH24">
        <f t="shared" si="2"/>
        <v>1506.1000000000001</v>
      </c>
      <c r="AI24">
        <f t="shared" si="3"/>
        <v>109.3</v>
      </c>
      <c r="AJ24">
        <f t="shared" si="4"/>
        <v>108.1</v>
      </c>
      <c r="AK24">
        <f t="shared" si="5"/>
        <v>110.8</v>
      </c>
      <c r="AL24">
        <f t="shared" si="6"/>
        <v>1087.5</v>
      </c>
    </row>
    <row r="25" spans="1:38" x14ac:dyDescent="0.3">
      <c r="A25" t="s">
        <v>33</v>
      </c>
      <c r="B25" s="28">
        <f t="shared" si="0"/>
        <v>41487</v>
      </c>
      <c r="C25">
        <v>2013</v>
      </c>
      <c r="D25" t="s">
        <v>40</v>
      </c>
      <c r="E25" t="str">
        <f t="shared" si="1"/>
        <v>Aug-13</v>
      </c>
      <c r="F25">
        <f>VLOOKUP(D25,'Problem Statement 4'!$G$2:$H$13,2,0)</f>
        <v>8</v>
      </c>
      <c r="G25">
        <v>115.6</v>
      </c>
      <c r="H25">
        <v>117.2</v>
      </c>
      <c r="I25">
        <v>111.7</v>
      </c>
      <c r="J25">
        <v>109.6</v>
      </c>
      <c r="K25">
        <v>104.5</v>
      </c>
      <c r="L25">
        <v>109.8</v>
      </c>
      <c r="M25">
        <v>151.80000000000001</v>
      </c>
      <c r="N25">
        <v>106.5</v>
      </c>
      <c r="O25">
        <v>103.1</v>
      </c>
      <c r="P25">
        <v>107.4</v>
      </c>
      <c r="Q25">
        <v>110.2</v>
      </c>
      <c r="R25">
        <v>113.4</v>
      </c>
      <c r="S25">
        <v>116.6</v>
      </c>
      <c r="T25">
        <v>111.2</v>
      </c>
      <c r="U25">
        <v>111</v>
      </c>
      <c r="V25">
        <v>109.4</v>
      </c>
      <c r="W25">
        <v>110.7</v>
      </c>
      <c r="X25">
        <v>108.9</v>
      </c>
      <c r="Y25">
        <v>109.7</v>
      </c>
      <c r="Z25">
        <v>108.7</v>
      </c>
      <c r="AA25">
        <v>107.5</v>
      </c>
      <c r="AB25">
        <v>108</v>
      </c>
      <c r="AC25">
        <v>106.6</v>
      </c>
      <c r="AD25">
        <v>109.9</v>
      </c>
      <c r="AE25">
        <v>105.4</v>
      </c>
      <c r="AF25">
        <v>107.9</v>
      </c>
      <c r="AG25">
        <v>112.4</v>
      </c>
      <c r="AH25">
        <f t="shared" si="2"/>
        <v>1477.4</v>
      </c>
      <c r="AI25">
        <f t="shared" si="3"/>
        <v>109.7</v>
      </c>
      <c r="AJ25">
        <f t="shared" si="4"/>
        <v>108</v>
      </c>
      <c r="AK25">
        <f t="shared" si="5"/>
        <v>109.9</v>
      </c>
      <c r="AL25">
        <f t="shared" si="6"/>
        <v>1087.3000000000002</v>
      </c>
    </row>
    <row r="26" spans="1:38" x14ac:dyDescent="0.3">
      <c r="A26" t="s">
        <v>30</v>
      </c>
      <c r="B26" s="28">
        <f t="shared" si="0"/>
        <v>41518</v>
      </c>
      <c r="C26">
        <v>2013</v>
      </c>
      <c r="D26" t="s">
        <v>41</v>
      </c>
      <c r="E26" t="str">
        <f t="shared" si="1"/>
        <v>Sep-13</v>
      </c>
      <c r="F26">
        <f>VLOOKUP(D26,'Problem Statement 4'!$G$2:$H$13,2,0)</f>
        <v>9</v>
      </c>
      <c r="G26">
        <v>115.4</v>
      </c>
      <c r="H26">
        <v>115.7</v>
      </c>
      <c r="I26">
        <v>111.7</v>
      </c>
      <c r="J26">
        <v>111</v>
      </c>
      <c r="K26">
        <v>107.4</v>
      </c>
      <c r="L26">
        <v>110.9</v>
      </c>
      <c r="M26">
        <v>154</v>
      </c>
      <c r="N26">
        <v>108.1</v>
      </c>
      <c r="O26">
        <v>104.2</v>
      </c>
      <c r="P26">
        <v>107.9</v>
      </c>
      <c r="Q26">
        <v>110.4</v>
      </c>
      <c r="R26">
        <v>114</v>
      </c>
      <c r="S26">
        <v>117.8</v>
      </c>
      <c r="T26">
        <v>111.7</v>
      </c>
      <c r="U26">
        <v>112.7</v>
      </c>
      <c r="V26">
        <v>111.4</v>
      </c>
      <c r="W26">
        <v>112.5</v>
      </c>
      <c r="X26">
        <v>109.7</v>
      </c>
      <c r="Y26">
        <v>111.1</v>
      </c>
      <c r="Z26">
        <v>109.6</v>
      </c>
      <c r="AA26">
        <v>108.3</v>
      </c>
      <c r="AB26">
        <v>109.3</v>
      </c>
      <c r="AC26">
        <v>107.7</v>
      </c>
      <c r="AD26">
        <v>109.8</v>
      </c>
      <c r="AE26">
        <v>106.7</v>
      </c>
      <c r="AF26">
        <v>108.7</v>
      </c>
      <c r="AG26">
        <v>114.2</v>
      </c>
      <c r="AH26">
        <f t="shared" si="2"/>
        <v>1488.5000000000002</v>
      </c>
      <c r="AI26">
        <f t="shared" si="3"/>
        <v>111.1</v>
      </c>
      <c r="AJ26">
        <f t="shared" si="4"/>
        <v>109.3</v>
      </c>
      <c r="AK26">
        <f t="shared" si="5"/>
        <v>109.8</v>
      </c>
      <c r="AL26">
        <f t="shared" si="6"/>
        <v>1099</v>
      </c>
    </row>
    <row r="27" spans="1:38" x14ac:dyDescent="0.3">
      <c r="A27" t="s">
        <v>32</v>
      </c>
      <c r="B27" s="28">
        <f t="shared" si="0"/>
        <v>41518</v>
      </c>
      <c r="C27">
        <v>2013</v>
      </c>
      <c r="D27" t="s">
        <v>41</v>
      </c>
      <c r="E27" t="str">
        <f t="shared" si="1"/>
        <v>Sep-13</v>
      </c>
      <c r="F27">
        <f>VLOOKUP(D27,'Problem Statement 4'!$G$2:$H$13,2,0)</f>
        <v>9</v>
      </c>
      <c r="G27">
        <v>118.6</v>
      </c>
      <c r="H27">
        <v>119.1</v>
      </c>
      <c r="I27">
        <v>113.2</v>
      </c>
      <c r="J27">
        <v>109.6</v>
      </c>
      <c r="K27">
        <v>101.7</v>
      </c>
      <c r="L27">
        <v>103.2</v>
      </c>
      <c r="M27">
        <v>174.3</v>
      </c>
      <c r="N27">
        <v>105.1</v>
      </c>
      <c r="O27">
        <v>100.8</v>
      </c>
      <c r="P27">
        <v>109.1</v>
      </c>
      <c r="Q27">
        <v>111.1</v>
      </c>
      <c r="R27">
        <v>115.4</v>
      </c>
      <c r="S27">
        <v>119.2</v>
      </c>
      <c r="T27">
        <v>112.9</v>
      </c>
      <c r="U27">
        <v>111.4</v>
      </c>
      <c r="V27">
        <v>109</v>
      </c>
      <c r="W27">
        <v>111.1</v>
      </c>
      <c r="X27">
        <v>109.7</v>
      </c>
      <c r="Y27">
        <v>109.5</v>
      </c>
      <c r="Z27">
        <v>109.6</v>
      </c>
      <c r="AA27">
        <v>107.9</v>
      </c>
      <c r="AB27">
        <v>110.4</v>
      </c>
      <c r="AC27">
        <v>107.4</v>
      </c>
      <c r="AD27">
        <v>111.2</v>
      </c>
      <c r="AE27">
        <v>106.9</v>
      </c>
      <c r="AF27">
        <v>109.4</v>
      </c>
      <c r="AG27">
        <v>113.2</v>
      </c>
      <c r="AH27">
        <f t="shared" si="2"/>
        <v>1500.4</v>
      </c>
      <c r="AI27">
        <f t="shared" si="3"/>
        <v>109.5</v>
      </c>
      <c r="AJ27">
        <f t="shared" si="4"/>
        <v>110.4</v>
      </c>
      <c r="AK27">
        <f t="shared" si="5"/>
        <v>111.2</v>
      </c>
      <c r="AL27">
        <f t="shared" si="6"/>
        <v>1095.3</v>
      </c>
    </row>
    <row r="28" spans="1:38" x14ac:dyDescent="0.3">
      <c r="A28" t="s">
        <v>33</v>
      </c>
      <c r="B28" s="28">
        <f t="shared" si="0"/>
        <v>41518</v>
      </c>
      <c r="C28">
        <v>2013</v>
      </c>
      <c r="D28" t="s">
        <v>41</v>
      </c>
      <c r="E28" t="str">
        <f t="shared" si="1"/>
        <v>Sep-13</v>
      </c>
      <c r="F28">
        <f>VLOOKUP(D28,'Problem Statement 4'!$G$2:$H$13,2,0)</f>
        <v>9</v>
      </c>
      <c r="G28">
        <v>116.4</v>
      </c>
      <c r="H28">
        <v>116.9</v>
      </c>
      <c r="I28">
        <v>112.3</v>
      </c>
      <c r="J28">
        <v>110.5</v>
      </c>
      <c r="K28">
        <v>105.3</v>
      </c>
      <c r="L28">
        <v>107.3</v>
      </c>
      <c r="M28">
        <v>160.9</v>
      </c>
      <c r="N28">
        <v>107.1</v>
      </c>
      <c r="O28">
        <v>103.1</v>
      </c>
      <c r="P28">
        <v>108.3</v>
      </c>
      <c r="Q28">
        <v>110.7</v>
      </c>
      <c r="R28">
        <v>114.6</v>
      </c>
      <c r="S28">
        <v>118.3</v>
      </c>
      <c r="T28">
        <v>112</v>
      </c>
      <c r="U28">
        <v>112.2</v>
      </c>
      <c r="V28">
        <v>110.4</v>
      </c>
      <c r="W28">
        <v>111.9</v>
      </c>
      <c r="X28">
        <v>109.7</v>
      </c>
      <c r="Y28">
        <v>110.5</v>
      </c>
      <c r="Z28">
        <v>109.6</v>
      </c>
      <c r="AA28">
        <v>108.1</v>
      </c>
      <c r="AB28">
        <v>109.9</v>
      </c>
      <c r="AC28">
        <v>107.5</v>
      </c>
      <c r="AD28">
        <v>110.6</v>
      </c>
      <c r="AE28">
        <v>106.8</v>
      </c>
      <c r="AF28">
        <v>109</v>
      </c>
      <c r="AG28">
        <v>113.7</v>
      </c>
      <c r="AH28">
        <f t="shared" si="2"/>
        <v>1491.6999999999998</v>
      </c>
      <c r="AI28">
        <f t="shared" si="3"/>
        <v>110.5</v>
      </c>
      <c r="AJ28">
        <f t="shared" si="4"/>
        <v>109.9</v>
      </c>
      <c r="AK28">
        <f t="shared" si="5"/>
        <v>110.6</v>
      </c>
      <c r="AL28">
        <f t="shared" si="6"/>
        <v>1097.2</v>
      </c>
    </row>
    <row r="29" spans="1:38" x14ac:dyDescent="0.3">
      <c r="A29" t="s">
        <v>30</v>
      </c>
      <c r="B29" s="28">
        <f t="shared" si="0"/>
        <v>41548</v>
      </c>
      <c r="C29">
        <v>2013</v>
      </c>
      <c r="D29" t="s">
        <v>42</v>
      </c>
      <c r="E29" t="str">
        <f t="shared" si="1"/>
        <v>Oct-13</v>
      </c>
      <c r="F29">
        <f>VLOOKUP(D29,'Problem Statement 4'!$G$2:$H$13,2,0)</f>
        <v>10</v>
      </c>
      <c r="G29">
        <v>116.3</v>
      </c>
      <c r="H29">
        <v>115.4</v>
      </c>
      <c r="I29">
        <v>112.6</v>
      </c>
      <c r="J29">
        <v>111.7</v>
      </c>
      <c r="K29">
        <v>107.7</v>
      </c>
      <c r="L29">
        <v>113.2</v>
      </c>
      <c r="M29">
        <v>164.9</v>
      </c>
      <c r="N29">
        <v>108.3</v>
      </c>
      <c r="O29">
        <v>103.9</v>
      </c>
      <c r="P29">
        <v>108.2</v>
      </c>
      <c r="Q29">
        <v>111.1</v>
      </c>
      <c r="R29">
        <v>114.9</v>
      </c>
      <c r="S29">
        <v>119.8</v>
      </c>
      <c r="T29">
        <v>112.2</v>
      </c>
      <c r="U29">
        <v>113.6</v>
      </c>
      <c r="V29">
        <v>112.3</v>
      </c>
      <c r="W29">
        <v>113.4</v>
      </c>
      <c r="X29">
        <v>110.5</v>
      </c>
      <c r="Y29">
        <v>111.6</v>
      </c>
      <c r="Z29">
        <v>110.4</v>
      </c>
      <c r="AA29">
        <v>108.9</v>
      </c>
      <c r="AB29">
        <v>109.3</v>
      </c>
      <c r="AC29">
        <v>108.3</v>
      </c>
      <c r="AD29">
        <v>110.2</v>
      </c>
      <c r="AE29">
        <v>107.5</v>
      </c>
      <c r="AF29">
        <v>109.1</v>
      </c>
      <c r="AG29">
        <v>115.5</v>
      </c>
      <c r="AH29">
        <f t="shared" si="2"/>
        <v>1508</v>
      </c>
      <c r="AI29">
        <f t="shared" si="3"/>
        <v>111.6</v>
      </c>
      <c r="AJ29">
        <f t="shared" si="4"/>
        <v>109.3</v>
      </c>
      <c r="AK29">
        <f t="shared" si="5"/>
        <v>110.2</v>
      </c>
      <c r="AL29">
        <f t="shared" si="6"/>
        <v>1106.1999999999998</v>
      </c>
    </row>
    <row r="30" spans="1:38" x14ac:dyDescent="0.3">
      <c r="A30" t="s">
        <v>32</v>
      </c>
      <c r="B30" s="28">
        <f t="shared" si="0"/>
        <v>41548</v>
      </c>
      <c r="C30">
        <v>2013</v>
      </c>
      <c r="D30" t="s">
        <v>42</v>
      </c>
      <c r="E30" t="str">
        <f t="shared" si="1"/>
        <v>Oct-13</v>
      </c>
      <c r="F30">
        <f>VLOOKUP(D30,'Problem Statement 4'!$G$2:$H$13,2,0)</f>
        <v>10</v>
      </c>
      <c r="G30">
        <v>118.9</v>
      </c>
      <c r="H30">
        <v>118.1</v>
      </c>
      <c r="I30">
        <v>114.5</v>
      </c>
      <c r="J30">
        <v>110.4</v>
      </c>
      <c r="K30">
        <v>102.3</v>
      </c>
      <c r="L30">
        <v>106.2</v>
      </c>
      <c r="M30">
        <v>183.5</v>
      </c>
      <c r="N30">
        <v>105.3</v>
      </c>
      <c r="O30">
        <v>100.2</v>
      </c>
      <c r="P30">
        <v>109.6</v>
      </c>
      <c r="Q30">
        <v>111.4</v>
      </c>
      <c r="R30">
        <v>116</v>
      </c>
      <c r="S30">
        <v>120.8</v>
      </c>
      <c r="T30">
        <v>113.5</v>
      </c>
      <c r="U30">
        <v>112.5</v>
      </c>
      <c r="V30">
        <v>109.7</v>
      </c>
      <c r="W30">
        <v>112</v>
      </c>
      <c r="X30">
        <v>110.5</v>
      </c>
      <c r="Y30">
        <v>109.7</v>
      </c>
      <c r="Z30">
        <v>110.2</v>
      </c>
      <c r="AA30">
        <v>108.2</v>
      </c>
      <c r="AB30">
        <v>109.7</v>
      </c>
      <c r="AC30">
        <v>108</v>
      </c>
      <c r="AD30">
        <v>111.3</v>
      </c>
      <c r="AE30">
        <v>107.3</v>
      </c>
      <c r="AF30">
        <v>109.4</v>
      </c>
      <c r="AG30">
        <v>114</v>
      </c>
      <c r="AH30">
        <f t="shared" si="2"/>
        <v>1517.1999999999998</v>
      </c>
      <c r="AI30">
        <f t="shared" si="3"/>
        <v>109.7</v>
      </c>
      <c r="AJ30">
        <f t="shared" si="4"/>
        <v>109.7</v>
      </c>
      <c r="AK30">
        <f t="shared" si="5"/>
        <v>111.3</v>
      </c>
      <c r="AL30">
        <f t="shared" si="6"/>
        <v>1101.3000000000002</v>
      </c>
    </row>
    <row r="31" spans="1:38" x14ac:dyDescent="0.3">
      <c r="A31" t="s">
        <v>33</v>
      </c>
      <c r="B31" s="28">
        <f t="shared" si="0"/>
        <v>41548</v>
      </c>
      <c r="C31">
        <v>2013</v>
      </c>
      <c r="D31" t="s">
        <v>42</v>
      </c>
      <c r="E31" t="str">
        <f t="shared" si="1"/>
        <v>Oct-13</v>
      </c>
      <c r="F31">
        <f>VLOOKUP(D31,'Problem Statement 4'!$G$2:$H$13,2,0)</f>
        <v>10</v>
      </c>
      <c r="G31">
        <v>117.1</v>
      </c>
      <c r="H31">
        <v>116.3</v>
      </c>
      <c r="I31">
        <v>113.3</v>
      </c>
      <c r="J31">
        <v>111.2</v>
      </c>
      <c r="K31">
        <v>105.7</v>
      </c>
      <c r="L31">
        <v>109.9</v>
      </c>
      <c r="M31">
        <v>171.2</v>
      </c>
      <c r="N31">
        <v>107.3</v>
      </c>
      <c r="O31">
        <v>102.7</v>
      </c>
      <c r="P31">
        <v>108.7</v>
      </c>
      <c r="Q31">
        <v>111.2</v>
      </c>
      <c r="R31">
        <v>115.4</v>
      </c>
      <c r="S31">
        <v>120.2</v>
      </c>
      <c r="T31">
        <v>112.5</v>
      </c>
      <c r="U31">
        <v>113.2</v>
      </c>
      <c r="V31">
        <v>111.2</v>
      </c>
      <c r="W31">
        <v>112.8</v>
      </c>
      <c r="X31">
        <v>110.5</v>
      </c>
      <c r="Y31">
        <v>110.9</v>
      </c>
      <c r="Z31">
        <v>110.3</v>
      </c>
      <c r="AA31">
        <v>108.6</v>
      </c>
      <c r="AB31">
        <v>109.5</v>
      </c>
      <c r="AC31">
        <v>108.1</v>
      </c>
      <c r="AD31">
        <v>110.8</v>
      </c>
      <c r="AE31">
        <v>107.4</v>
      </c>
      <c r="AF31">
        <v>109.2</v>
      </c>
      <c r="AG31">
        <v>114.8</v>
      </c>
      <c r="AH31">
        <f t="shared" si="2"/>
        <v>1510.2000000000003</v>
      </c>
      <c r="AI31">
        <f t="shared" si="3"/>
        <v>110.9</v>
      </c>
      <c r="AJ31">
        <f t="shared" si="4"/>
        <v>109.5</v>
      </c>
      <c r="AK31">
        <f t="shared" si="5"/>
        <v>110.8</v>
      </c>
      <c r="AL31">
        <f t="shared" si="6"/>
        <v>1103.8</v>
      </c>
    </row>
    <row r="32" spans="1:38" x14ac:dyDescent="0.3">
      <c r="A32" t="s">
        <v>30</v>
      </c>
      <c r="B32" s="28" t="e">
        <f t="shared" si="0"/>
        <v>#N/A</v>
      </c>
      <c r="C32">
        <v>2013</v>
      </c>
      <c r="D32" t="s">
        <v>43</v>
      </c>
      <c r="E32" t="e">
        <f t="shared" si="1"/>
        <v>#N/A</v>
      </c>
      <c r="F32" t="e">
        <f>VLOOKUP(D32,'Problem Statement 4'!$G$2:$H$13,2,0)</f>
        <v>#N/A</v>
      </c>
      <c r="G32">
        <v>117.3</v>
      </c>
      <c r="H32">
        <v>114.9</v>
      </c>
      <c r="I32">
        <v>116.2</v>
      </c>
      <c r="J32">
        <v>112.8</v>
      </c>
      <c r="K32">
        <v>108.9</v>
      </c>
      <c r="L32">
        <v>116.6</v>
      </c>
      <c r="M32">
        <v>178.1</v>
      </c>
      <c r="N32">
        <v>109.1</v>
      </c>
      <c r="O32">
        <v>103.6</v>
      </c>
      <c r="P32">
        <v>109</v>
      </c>
      <c r="Q32">
        <v>111.8</v>
      </c>
      <c r="R32">
        <v>116</v>
      </c>
      <c r="S32">
        <v>122.5</v>
      </c>
      <c r="T32">
        <v>112.8</v>
      </c>
      <c r="U32">
        <v>114.6</v>
      </c>
      <c r="V32">
        <v>113.1</v>
      </c>
      <c r="W32">
        <v>114.4</v>
      </c>
      <c r="X32">
        <v>111.1</v>
      </c>
      <c r="Y32">
        <v>112.6</v>
      </c>
      <c r="Z32">
        <v>111.3</v>
      </c>
      <c r="AA32">
        <v>109.7</v>
      </c>
      <c r="AB32">
        <v>109.6</v>
      </c>
      <c r="AC32">
        <v>108.7</v>
      </c>
      <c r="AD32">
        <v>111</v>
      </c>
      <c r="AE32">
        <v>108.2</v>
      </c>
      <c r="AF32">
        <v>109.8</v>
      </c>
      <c r="AG32">
        <v>117.4</v>
      </c>
      <c r="AH32">
        <f t="shared" si="2"/>
        <v>1536.8</v>
      </c>
      <c r="AI32">
        <f t="shared" si="3"/>
        <v>112.6</v>
      </c>
      <c r="AJ32">
        <f t="shared" si="4"/>
        <v>109.6</v>
      </c>
      <c r="AK32">
        <f t="shared" si="5"/>
        <v>111</v>
      </c>
      <c r="AL32">
        <f t="shared" si="6"/>
        <v>1113.7</v>
      </c>
    </row>
    <row r="33" spans="1:38" x14ac:dyDescent="0.3">
      <c r="A33" t="s">
        <v>32</v>
      </c>
      <c r="B33" s="28">
        <f t="shared" si="0"/>
        <v>41579</v>
      </c>
      <c r="C33">
        <v>2013</v>
      </c>
      <c r="D33" t="s">
        <v>44</v>
      </c>
      <c r="E33" t="str">
        <f t="shared" si="1"/>
        <v>Nov-13</v>
      </c>
      <c r="F33">
        <f>VLOOKUP(D33,'Problem Statement 4'!$G$2:$H$13,2,0)</f>
        <v>11</v>
      </c>
      <c r="G33">
        <v>119.8</v>
      </c>
      <c r="H33">
        <v>116.3</v>
      </c>
      <c r="I33">
        <v>122.6</v>
      </c>
      <c r="J33">
        <v>112</v>
      </c>
      <c r="K33">
        <v>103.2</v>
      </c>
      <c r="L33">
        <v>110</v>
      </c>
      <c r="M33">
        <v>192.8</v>
      </c>
      <c r="N33">
        <v>106.3</v>
      </c>
      <c r="O33">
        <v>99.5</v>
      </c>
      <c r="P33">
        <v>110.3</v>
      </c>
      <c r="Q33">
        <v>111.8</v>
      </c>
      <c r="R33">
        <v>117.1</v>
      </c>
      <c r="S33">
        <v>122.9</v>
      </c>
      <c r="T33">
        <v>114.1</v>
      </c>
      <c r="U33">
        <v>113.5</v>
      </c>
      <c r="V33">
        <v>110.3</v>
      </c>
      <c r="W33">
        <v>113</v>
      </c>
      <c r="X33">
        <v>111.1</v>
      </c>
      <c r="Y33">
        <v>110</v>
      </c>
      <c r="Z33">
        <v>110.9</v>
      </c>
      <c r="AA33">
        <v>108.6</v>
      </c>
      <c r="AB33">
        <v>109.5</v>
      </c>
      <c r="AC33">
        <v>108.5</v>
      </c>
      <c r="AD33">
        <v>111.3</v>
      </c>
      <c r="AE33">
        <v>107.9</v>
      </c>
      <c r="AF33">
        <v>109.6</v>
      </c>
      <c r="AG33">
        <v>115</v>
      </c>
      <c r="AH33">
        <f t="shared" si="2"/>
        <v>1544.6</v>
      </c>
      <c r="AI33">
        <f t="shared" si="3"/>
        <v>110</v>
      </c>
      <c r="AJ33">
        <f t="shared" si="4"/>
        <v>109.5</v>
      </c>
      <c r="AK33">
        <f t="shared" si="5"/>
        <v>111.3</v>
      </c>
      <c r="AL33">
        <f t="shared" si="6"/>
        <v>1107.5</v>
      </c>
    </row>
    <row r="34" spans="1:38" x14ac:dyDescent="0.3">
      <c r="A34" t="s">
        <v>33</v>
      </c>
      <c r="B34" s="28">
        <f t="shared" si="0"/>
        <v>41579</v>
      </c>
      <c r="C34">
        <v>2013</v>
      </c>
      <c r="D34" t="s">
        <v>44</v>
      </c>
      <c r="E34" t="str">
        <f t="shared" si="1"/>
        <v>Nov-13</v>
      </c>
      <c r="F34">
        <f>VLOOKUP(D34,'Problem Statement 4'!$G$2:$H$13,2,0)</f>
        <v>11</v>
      </c>
      <c r="G34">
        <v>118.1</v>
      </c>
      <c r="H34">
        <v>115.4</v>
      </c>
      <c r="I34">
        <v>118.7</v>
      </c>
      <c r="J34">
        <v>112.5</v>
      </c>
      <c r="K34">
        <v>106.8</v>
      </c>
      <c r="L34">
        <v>113.5</v>
      </c>
      <c r="M34">
        <v>183.1</v>
      </c>
      <c r="N34">
        <v>108.2</v>
      </c>
      <c r="O34">
        <v>102.2</v>
      </c>
      <c r="P34">
        <v>109.4</v>
      </c>
      <c r="Q34">
        <v>111.8</v>
      </c>
      <c r="R34">
        <v>116.5</v>
      </c>
      <c r="S34">
        <v>122.6</v>
      </c>
      <c r="T34">
        <v>113.1</v>
      </c>
      <c r="U34">
        <v>114.2</v>
      </c>
      <c r="V34">
        <v>111.9</v>
      </c>
      <c r="W34">
        <v>113.8</v>
      </c>
      <c r="X34">
        <v>111.1</v>
      </c>
      <c r="Y34">
        <v>111.6</v>
      </c>
      <c r="Z34">
        <v>111.1</v>
      </c>
      <c r="AA34">
        <v>109.3</v>
      </c>
      <c r="AB34">
        <v>109.5</v>
      </c>
      <c r="AC34">
        <v>108.6</v>
      </c>
      <c r="AD34">
        <v>111.2</v>
      </c>
      <c r="AE34">
        <v>108.1</v>
      </c>
      <c r="AF34">
        <v>109.7</v>
      </c>
      <c r="AG34">
        <v>116.3</v>
      </c>
      <c r="AH34">
        <f t="shared" si="2"/>
        <v>1538.8</v>
      </c>
      <c r="AI34">
        <f t="shared" si="3"/>
        <v>111.6</v>
      </c>
      <c r="AJ34">
        <f t="shared" si="4"/>
        <v>109.5</v>
      </c>
      <c r="AK34">
        <f t="shared" si="5"/>
        <v>111.2</v>
      </c>
      <c r="AL34">
        <f t="shared" si="6"/>
        <v>1110.9000000000001</v>
      </c>
    </row>
    <row r="35" spans="1:38" x14ac:dyDescent="0.3">
      <c r="A35" t="s">
        <v>30</v>
      </c>
      <c r="B35" s="28">
        <f t="shared" si="0"/>
        <v>41609</v>
      </c>
      <c r="C35">
        <v>2013</v>
      </c>
      <c r="D35" t="s">
        <v>45</v>
      </c>
      <c r="E35" t="str">
        <f t="shared" si="1"/>
        <v>Dec-13</v>
      </c>
      <c r="F35">
        <f>VLOOKUP(D35,'Problem Statement 4'!$G$2:$H$13,2,0)</f>
        <v>12</v>
      </c>
      <c r="G35">
        <v>118.4</v>
      </c>
      <c r="H35">
        <v>115.9</v>
      </c>
      <c r="I35">
        <v>120.4</v>
      </c>
      <c r="J35">
        <v>113.8</v>
      </c>
      <c r="K35">
        <v>109.5</v>
      </c>
      <c r="L35">
        <v>115.5</v>
      </c>
      <c r="M35">
        <v>145.69999999999999</v>
      </c>
      <c r="N35">
        <v>109.5</v>
      </c>
      <c r="O35">
        <v>102.9</v>
      </c>
      <c r="P35">
        <v>109.8</v>
      </c>
      <c r="Q35">
        <v>112.1</v>
      </c>
      <c r="R35">
        <v>116.8</v>
      </c>
      <c r="S35">
        <v>118.7</v>
      </c>
      <c r="T35">
        <v>113.6</v>
      </c>
      <c r="U35">
        <v>115.8</v>
      </c>
      <c r="V35">
        <v>114</v>
      </c>
      <c r="W35">
        <v>115.5</v>
      </c>
      <c r="X35">
        <v>110.7</v>
      </c>
      <c r="Y35">
        <v>112.8</v>
      </c>
      <c r="Z35">
        <v>112.1</v>
      </c>
      <c r="AA35">
        <v>110.1</v>
      </c>
      <c r="AB35">
        <v>109.9</v>
      </c>
      <c r="AC35">
        <v>109.2</v>
      </c>
      <c r="AD35">
        <v>111.6</v>
      </c>
      <c r="AE35">
        <v>108.1</v>
      </c>
      <c r="AF35">
        <v>110.1</v>
      </c>
      <c r="AG35">
        <v>115.5</v>
      </c>
      <c r="AH35">
        <f t="shared" si="2"/>
        <v>1509</v>
      </c>
      <c r="AI35">
        <f t="shared" si="3"/>
        <v>112.8</v>
      </c>
      <c r="AJ35">
        <f t="shared" si="4"/>
        <v>109.9</v>
      </c>
      <c r="AK35">
        <f t="shared" si="5"/>
        <v>111.6</v>
      </c>
      <c r="AL35">
        <f t="shared" si="6"/>
        <v>1119.2</v>
      </c>
    </row>
    <row r="36" spans="1:38" x14ac:dyDescent="0.3">
      <c r="A36" t="s">
        <v>32</v>
      </c>
      <c r="B36" s="28">
        <f t="shared" si="0"/>
        <v>41609</v>
      </c>
      <c r="C36">
        <v>2013</v>
      </c>
      <c r="D36" t="s">
        <v>45</v>
      </c>
      <c r="E36" t="str">
        <f t="shared" si="1"/>
        <v>Dec-13</v>
      </c>
      <c r="F36">
        <f>VLOOKUP(D36,'Problem Statement 4'!$G$2:$H$13,2,0)</f>
        <v>12</v>
      </c>
      <c r="G36">
        <v>120.5</v>
      </c>
      <c r="H36">
        <v>118.1</v>
      </c>
      <c r="I36">
        <v>128.5</v>
      </c>
      <c r="J36">
        <v>112.8</v>
      </c>
      <c r="K36">
        <v>103.4</v>
      </c>
      <c r="L36">
        <v>110.7</v>
      </c>
      <c r="M36">
        <v>144.80000000000001</v>
      </c>
      <c r="N36">
        <v>107.1</v>
      </c>
      <c r="O36">
        <v>98.6</v>
      </c>
      <c r="P36">
        <v>111.9</v>
      </c>
      <c r="Q36">
        <v>112.1</v>
      </c>
      <c r="R36">
        <v>118.1</v>
      </c>
      <c r="S36">
        <v>117.8</v>
      </c>
      <c r="T36">
        <v>115</v>
      </c>
      <c r="U36">
        <v>114.2</v>
      </c>
      <c r="V36">
        <v>110.9</v>
      </c>
      <c r="W36">
        <v>113.7</v>
      </c>
      <c r="X36">
        <v>110.7</v>
      </c>
      <c r="Y36">
        <v>110.4</v>
      </c>
      <c r="Z36">
        <v>111.3</v>
      </c>
      <c r="AA36">
        <v>109</v>
      </c>
      <c r="AB36">
        <v>109.7</v>
      </c>
      <c r="AC36">
        <v>108.9</v>
      </c>
      <c r="AD36">
        <v>111.4</v>
      </c>
      <c r="AE36">
        <v>107.7</v>
      </c>
      <c r="AF36">
        <v>109.8</v>
      </c>
      <c r="AG36">
        <v>113.3</v>
      </c>
      <c r="AH36">
        <f t="shared" si="2"/>
        <v>1504.4</v>
      </c>
      <c r="AI36">
        <f t="shared" si="3"/>
        <v>110.4</v>
      </c>
      <c r="AJ36">
        <f t="shared" si="4"/>
        <v>109.7</v>
      </c>
      <c r="AK36">
        <f t="shared" si="5"/>
        <v>111.4</v>
      </c>
      <c r="AL36">
        <f t="shared" si="6"/>
        <v>1111.2</v>
      </c>
    </row>
    <row r="37" spans="1:38" x14ac:dyDescent="0.3">
      <c r="A37" t="s">
        <v>33</v>
      </c>
      <c r="B37" s="28">
        <f t="shared" si="0"/>
        <v>41609</v>
      </c>
      <c r="C37">
        <v>2013</v>
      </c>
      <c r="D37" t="s">
        <v>45</v>
      </c>
      <c r="E37" t="str">
        <f t="shared" si="1"/>
        <v>Dec-13</v>
      </c>
      <c r="F37">
        <f>VLOOKUP(D37,'Problem Statement 4'!$G$2:$H$13,2,0)</f>
        <v>12</v>
      </c>
      <c r="G37">
        <v>119.1</v>
      </c>
      <c r="H37">
        <v>116.7</v>
      </c>
      <c r="I37">
        <v>123.5</v>
      </c>
      <c r="J37">
        <v>113.4</v>
      </c>
      <c r="K37">
        <v>107.3</v>
      </c>
      <c r="L37">
        <v>113.3</v>
      </c>
      <c r="M37">
        <v>145.4</v>
      </c>
      <c r="N37">
        <v>108.7</v>
      </c>
      <c r="O37">
        <v>101.5</v>
      </c>
      <c r="P37">
        <v>110.5</v>
      </c>
      <c r="Q37">
        <v>112.1</v>
      </c>
      <c r="R37">
        <v>117.4</v>
      </c>
      <c r="S37">
        <v>118.4</v>
      </c>
      <c r="T37">
        <v>114</v>
      </c>
      <c r="U37">
        <v>115.2</v>
      </c>
      <c r="V37">
        <v>112.7</v>
      </c>
      <c r="W37">
        <v>114.8</v>
      </c>
      <c r="X37">
        <v>110.7</v>
      </c>
      <c r="Y37">
        <v>111.9</v>
      </c>
      <c r="Z37">
        <v>111.7</v>
      </c>
      <c r="AA37">
        <v>109.7</v>
      </c>
      <c r="AB37">
        <v>109.8</v>
      </c>
      <c r="AC37">
        <v>109</v>
      </c>
      <c r="AD37">
        <v>111.5</v>
      </c>
      <c r="AE37">
        <v>107.9</v>
      </c>
      <c r="AF37">
        <v>110</v>
      </c>
      <c r="AG37">
        <v>114.5</v>
      </c>
      <c r="AH37">
        <f t="shared" si="2"/>
        <v>1507.3000000000002</v>
      </c>
      <c r="AI37">
        <f t="shared" si="3"/>
        <v>111.9</v>
      </c>
      <c r="AJ37">
        <f t="shared" si="4"/>
        <v>109.8</v>
      </c>
      <c r="AK37">
        <f t="shared" si="5"/>
        <v>111.5</v>
      </c>
      <c r="AL37">
        <f t="shared" si="6"/>
        <v>1115.7</v>
      </c>
    </row>
    <row r="38" spans="1:38" x14ac:dyDescent="0.3">
      <c r="A38" t="s">
        <v>30</v>
      </c>
      <c r="B38" s="28">
        <f t="shared" si="0"/>
        <v>41640</v>
      </c>
      <c r="C38">
        <v>2014</v>
      </c>
      <c r="D38" t="s">
        <v>31</v>
      </c>
      <c r="E38" t="str">
        <f t="shared" si="1"/>
        <v>Jan-14</v>
      </c>
      <c r="F38">
        <f>VLOOKUP(D38,'Problem Statement 4'!$G$2:$H$13,2,0)</f>
        <v>1</v>
      </c>
      <c r="G38">
        <v>118.9</v>
      </c>
      <c r="H38">
        <v>117.1</v>
      </c>
      <c r="I38">
        <v>120.5</v>
      </c>
      <c r="J38">
        <v>114.4</v>
      </c>
      <c r="K38">
        <v>109</v>
      </c>
      <c r="L38">
        <v>115.5</v>
      </c>
      <c r="M38">
        <v>123.9</v>
      </c>
      <c r="N38">
        <v>109.6</v>
      </c>
      <c r="O38">
        <v>101.8</v>
      </c>
      <c r="P38">
        <v>110.2</v>
      </c>
      <c r="Q38">
        <v>112.4</v>
      </c>
      <c r="R38">
        <v>117.3</v>
      </c>
      <c r="S38">
        <v>116</v>
      </c>
      <c r="T38">
        <v>114</v>
      </c>
      <c r="U38">
        <v>116.5</v>
      </c>
      <c r="V38">
        <v>114.5</v>
      </c>
      <c r="W38">
        <v>116.2</v>
      </c>
      <c r="X38">
        <v>111.6</v>
      </c>
      <c r="Y38">
        <v>113</v>
      </c>
      <c r="Z38">
        <v>112.6</v>
      </c>
      <c r="AA38">
        <v>110.6</v>
      </c>
      <c r="AB38">
        <v>110.5</v>
      </c>
      <c r="AC38">
        <v>109.6</v>
      </c>
      <c r="AD38">
        <v>111.8</v>
      </c>
      <c r="AE38">
        <v>108.3</v>
      </c>
      <c r="AF38">
        <v>110.6</v>
      </c>
      <c r="AG38">
        <v>114.2</v>
      </c>
      <c r="AH38">
        <f t="shared" si="2"/>
        <v>1486.6000000000001</v>
      </c>
      <c r="AI38">
        <f t="shared" si="3"/>
        <v>113</v>
      </c>
      <c r="AJ38">
        <f t="shared" si="4"/>
        <v>110.5</v>
      </c>
      <c r="AK38">
        <f t="shared" si="5"/>
        <v>111.8</v>
      </c>
      <c r="AL38">
        <f t="shared" si="6"/>
        <v>1124.5</v>
      </c>
    </row>
    <row r="39" spans="1:38" x14ac:dyDescent="0.3">
      <c r="A39" t="s">
        <v>32</v>
      </c>
      <c r="B39" s="28">
        <f t="shared" si="0"/>
        <v>41640</v>
      </c>
      <c r="C39">
        <v>2014</v>
      </c>
      <c r="D39" t="s">
        <v>31</v>
      </c>
      <c r="E39" t="str">
        <f t="shared" si="1"/>
        <v>Jan-14</v>
      </c>
      <c r="F39">
        <f>VLOOKUP(D39,'Problem Statement 4'!$G$2:$H$13,2,0)</f>
        <v>1</v>
      </c>
      <c r="G39">
        <v>121.2</v>
      </c>
      <c r="H39">
        <v>122</v>
      </c>
      <c r="I39">
        <v>129.9</v>
      </c>
      <c r="J39">
        <v>113.6</v>
      </c>
      <c r="K39">
        <v>102.9</v>
      </c>
      <c r="L39">
        <v>112.1</v>
      </c>
      <c r="M39">
        <v>118.9</v>
      </c>
      <c r="N39">
        <v>107.5</v>
      </c>
      <c r="O39">
        <v>96.9</v>
      </c>
      <c r="P39">
        <v>112.7</v>
      </c>
      <c r="Q39">
        <v>112.1</v>
      </c>
      <c r="R39">
        <v>119</v>
      </c>
      <c r="S39">
        <v>115.5</v>
      </c>
      <c r="T39">
        <v>115.7</v>
      </c>
      <c r="U39">
        <v>114.8</v>
      </c>
      <c r="V39">
        <v>111.3</v>
      </c>
      <c r="W39">
        <v>114.3</v>
      </c>
      <c r="X39">
        <v>111.6</v>
      </c>
      <c r="Y39">
        <v>111</v>
      </c>
      <c r="Z39">
        <v>111.9</v>
      </c>
      <c r="AA39">
        <v>109.7</v>
      </c>
      <c r="AB39">
        <v>110.8</v>
      </c>
      <c r="AC39">
        <v>109.8</v>
      </c>
      <c r="AD39">
        <v>111.5</v>
      </c>
      <c r="AE39">
        <v>108</v>
      </c>
      <c r="AF39">
        <v>110.5</v>
      </c>
      <c r="AG39">
        <v>112.9</v>
      </c>
      <c r="AH39">
        <f t="shared" si="2"/>
        <v>1484.3</v>
      </c>
      <c r="AI39">
        <f t="shared" si="3"/>
        <v>111</v>
      </c>
      <c r="AJ39">
        <f t="shared" si="4"/>
        <v>110.8</v>
      </c>
      <c r="AK39">
        <f t="shared" si="5"/>
        <v>111.5</v>
      </c>
      <c r="AL39">
        <f t="shared" si="6"/>
        <v>1117.5999999999999</v>
      </c>
    </row>
    <row r="40" spans="1:38" x14ac:dyDescent="0.3">
      <c r="A40" t="s">
        <v>33</v>
      </c>
      <c r="B40" s="28">
        <f t="shared" si="0"/>
        <v>41640</v>
      </c>
      <c r="C40">
        <v>2014</v>
      </c>
      <c r="D40" t="s">
        <v>31</v>
      </c>
      <c r="E40" t="str">
        <f t="shared" si="1"/>
        <v>Jan-14</v>
      </c>
      <c r="F40">
        <f>VLOOKUP(D40,'Problem Statement 4'!$G$2:$H$13,2,0)</f>
        <v>1</v>
      </c>
      <c r="G40">
        <v>119.6</v>
      </c>
      <c r="H40">
        <v>118.8</v>
      </c>
      <c r="I40">
        <v>124.1</v>
      </c>
      <c r="J40">
        <v>114.1</v>
      </c>
      <c r="K40">
        <v>106.8</v>
      </c>
      <c r="L40">
        <v>113.9</v>
      </c>
      <c r="M40">
        <v>122.2</v>
      </c>
      <c r="N40">
        <v>108.9</v>
      </c>
      <c r="O40">
        <v>100.2</v>
      </c>
      <c r="P40">
        <v>111</v>
      </c>
      <c r="Q40">
        <v>112.3</v>
      </c>
      <c r="R40">
        <v>118.1</v>
      </c>
      <c r="S40">
        <v>115.8</v>
      </c>
      <c r="T40">
        <v>114.5</v>
      </c>
      <c r="U40">
        <v>115.8</v>
      </c>
      <c r="V40">
        <v>113.2</v>
      </c>
      <c r="W40">
        <v>115.4</v>
      </c>
      <c r="X40">
        <v>111.6</v>
      </c>
      <c r="Y40">
        <v>112.2</v>
      </c>
      <c r="Z40">
        <v>112.3</v>
      </c>
      <c r="AA40">
        <v>110.3</v>
      </c>
      <c r="AB40">
        <v>110.7</v>
      </c>
      <c r="AC40">
        <v>109.7</v>
      </c>
      <c r="AD40">
        <v>111.6</v>
      </c>
      <c r="AE40">
        <v>108.2</v>
      </c>
      <c r="AF40">
        <v>110.6</v>
      </c>
      <c r="AG40">
        <v>113.6</v>
      </c>
      <c r="AH40">
        <f t="shared" si="2"/>
        <v>1485.7999999999997</v>
      </c>
      <c r="AI40">
        <f t="shared" si="3"/>
        <v>112.2</v>
      </c>
      <c r="AJ40">
        <f t="shared" si="4"/>
        <v>110.7</v>
      </c>
      <c r="AK40">
        <f t="shared" si="5"/>
        <v>111.6</v>
      </c>
      <c r="AL40">
        <f t="shared" si="6"/>
        <v>1121.5999999999999</v>
      </c>
    </row>
    <row r="41" spans="1:38" x14ac:dyDescent="0.3">
      <c r="A41" t="s">
        <v>30</v>
      </c>
      <c r="B41" s="28">
        <f t="shared" si="0"/>
        <v>41671</v>
      </c>
      <c r="C41">
        <v>2014</v>
      </c>
      <c r="D41" t="s">
        <v>34</v>
      </c>
      <c r="E41" t="str">
        <f t="shared" si="1"/>
        <v>Feb-14</v>
      </c>
      <c r="F41">
        <f>VLOOKUP(D41,'Problem Statement 4'!$G$2:$H$13,2,0)</f>
        <v>2</v>
      </c>
      <c r="G41">
        <v>119.4</v>
      </c>
      <c r="H41">
        <v>117.7</v>
      </c>
      <c r="I41">
        <v>121.2</v>
      </c>
      <c r="J41">
        <v>115</v>
      </c>
      <c r="K41">
        <v>109</v>
      </c>
      <c r="L41">
        <v>116.6</v>
      </c>
      <c r="M41">
        <v>116</v>
      </c>
      <c r="N41">
        <v>109.8</v>
      </c>
      <c r="O41">
        <v>101.1</v>
      </c>
      <c r="P41">
        <v>110.4</v>
      </c>
      <c r="Q41">
        <v>112.9</v>
      </c>
      <c r="R41">
        <v>117.8</v>
      </c>
      <c r="S41">
        <v>115.3</v>
      </c>
      <c r="T41">
        <v>114.2</v>
      </c>
      <c r="U41">
        <v>117.1</v>
      </c>
      <c r="V41">
        <v>114.5</v>
      </c>
      <c r="W41">
        <v>116.7</v>
      </c>
      <c r="X41">
        <v>112.5</v>
      </c>
      <c r="Y41">
        <v>113.2</v>
      </c>
      <c r="Z41">
        <v>112.9</v>
      </c>
      <c r="AA41">
        <v>110.9</v>
      </c>
      <c r="AB41">
        <v>110.8</v>
      </c>
      <c r="AC41">
        <v>109.9</v>
      </c>
      <c r="AD41">
        <v>112</v>
      </c>
      <c r="AE41">
        <v>108.7</v>
      </c>
      <c r="AF41">
        <v>110.9</v>
      </c>
      <c r="AG41">
        <v>114</v>
      </c>
      <c r="AH41">
        <f t="shared" si="2"/>
        <v>1482.2</v>
      </c>
      <c r="AI41">
        <f t="shared" si="3"/>
        <v>113.2</v>
      </c>
      <c r="AJ41">
        <f t="shared" si="4"/>
        <v>110.8</v>
      </c>
      <c r="AK41">
        <f t="shared" si="5"/>
        <v>112</v>
      </c>
      <c r="AL41">
        <f t="shared" si="6"/>
        <v>1128.3</v>
      </c>
    </row>
    <row r="42" spans="1:38" x14ac:dyDescent="0.3">
      <c r="A42" t="s">
        <v>32</v>
      </c>
      <c r="B42" s="28">
        <f t="shared" si="0"/>
        <v>41671</v>
      </c>
      <c r="C42">
        <v>2014</v>
      </c>
      <c r="D42" t="s">
        <v>34</v>
      </c>
      <c r="E42" t="str">
        <f t="shared" si="1"/>
        <v>Feb-14</v>
      </c>
      <c r="F42">
        <f>VLOOKUP(D42,'Problem Statement 4'!$G$2:$H$13,2,0)</f>
        <v>2</v>
      </c>
      <c r="G42">
        <v>121.9</v>
      </c>
      <c r="H42">
        <v>122</v>
      </c>
      <c r="I42">
        <v>124.5</v>
      </c>
      <c r="J42">
        <v>115.2</v>
      </c>
      <c r="K42">
        <v>102.5</v>
      </c>
      <c r="L42">
        <v>114.1</v>
      </c>
      <c r="M42">
        <v>111.5</v>
      </c>
      <c r="N42">
        <v>108.2</v>
      </c>
      <c r="O42">
        <v>95.4</v>
      </c>
      <c r="P42">
        <v>113.5</v>
      </c>
      <c r="Q42">
        <v>112.1</v>
      </c>
      <c r="R42">
        <v>119.9</v>
      </c>
      <c r="S42">
        <v>115.2</v>
      </c>
      <c r="T42">
        <v>116.2</v>
      </c>
      <c r="U42">
        <v>115.3</v>
      </c>
      <c r="V42">
        <v>111.7</v>
      </c>
      <c r="W42">
        <v>114.7</v>
      </c>
      <c r="X42">
        <v>112.5</v>
      </c>
      <c r="Y42">
        <v>111.1</v>
      </c>
      <c r="Z42">
        <v>112.6</v>
      </c>
      <c r="AA42">
        <v>110.4</v>
      </c>
      <c r="AB42">
        <v>111.3</v>
      </c>
      <c r="AC42">
        <v>110.3</v>
      </c>
      <c r="AD42">
        <v>111.6</v>
      </c>
      <c r="AE42">
        <v>108.7</v>
      </c>
      <c r="AF42">
        <v>111</v>
      </c>
      <c r="AG42">
        <v>113.1</v>
      </c>
      <c r="AH42">
        <f t="shared" si="2"/>
        <v>1476</v>
      </c>
      <c r="AI42">
        <f t="shared" si="3"/>
        <v>111.1</v>
      </c>
      <c r="AJ42">
        <f t="shared" si="4"/>
        <v>111.3</v>
      </c>
      <c r="AK42">
        <f t="shared" si="5"/>
        <v>111.6</v>
      </c>
      <c r="AL42">
        <f t="shared" si="6"/>
        <v>1123.4000000000001</v>
      </c>
    </row>
    <row r="43" spans="1:38" x14ac:dyDescent="0.3">
      <c r="A43" t="s">
        <v>33</v>
      </c>
      <c r="B43" s="28">
        <f t="shared" si="0"/>
        <v>41671</v>
      </c>
      <c r="C43">
        <v>2014</v>
      </c>
      <c r="D43" t="s">
        <v>34</v>
      </c>
      <c r="E43" t="str">
        <f t="shared" si="1"/>
        <v>Feb-14</v>
      </c>
      <c r="F43">
        <f>VLOOKUP(D43,'Problem Statement 4'!$G$2:$H$13,2,0)</f>
        <v>2</v>
      </c>
      <c r="G43">
        <v>120.2</v>
      </c>
      <c r="H43">
        <v>119.2</v>
      </c>
      <c r="I43">
        <v>122.5</v>
      </c>
      <c r="J43">
        <v>115.1</v>
      </c>
      <c r="K43">
        <v>106.6</v>
      </c>
      <c r="L43">
        <v>115.4</v>
      </c>
      <c r="M43">
        <v>114.5</v>
      </c>
      <c r="N43">
        <v>109.3</v>
      </c>
      <c r="O43">
        <v>99.2</v>
      </c>
      <c r="P43">
        <v>111.4</v>
      </c>
      <c r="Q43">
        <v>112.6</v>
      </c>
      <c r="R43">
        <v>118.8</v>
      </c>
      <c r="S43">
        <v>115.3</v>
      </c>
      <c r="T43">
        <v>114.7</v>
      </c>
      <c r="U43">
        <v>116.4</v>
      </c>
      <c r="V43">
        <v>113.3</v>
      </c>
      <c r="W43">
        <v>115.9</v>
      </c>
      <c r="X43">
        <v>112.5</v>
      </c>
      <c r="Y43">
        <v>112.4</v>
      </c>
      <c r="Z43">
        <v>112.8</v>
      </c>
      <c r="AA43">
        <v>110.7</v>
      </c>
      <c r="AB43">
        <v>111.1</v>
      </c>
      <c r="AC43">
        <v>110.1</v>
      </c>
      <c r="AD43">
        <v>111.8</v>
      </c>
      <c r="AE43">
        <v>108.7</v>
      </c>
      <c r="AF43">
        <v>110.9</v>
      </c>
      <c r="AG43">
        <v>113.6</v>
      </c>
      <c r="AH43">
        <f t="shared" si="2"/>
        <v>1480.1</v>
      </c>
      <c r="AI43">
        <f t="shared" si="3"/>
        <v>112.4</v>
      </c>
      <c r="AJ43">
        <f t="shared" si="4"/>
        <v>111.1</v>
      </c>
      <c r="AK43">
        <f t="shared" si="5"/>
        <v>111.8</v>
      </c>
      <c r="AL43">
        <f t="shared" si="6"/>
        <v>1126.0000000000002</v>
      </c>
    </row>
    <row r="44" spans="1:38" x14ac:dyDescent="0.3">
      <c r="A44" t="s">
        <v>30</v>
      </c>
      <c r="B44" s="28">
        <f t="shared" si="0"/>
        <v>41699</v>
      </c>
      <c r="C44">
        <v>2014</v>
      </c>
      <c r="D44" t="s">
        <v>35</v>
      </c>
      <c r="E44" t="str">
        <f t="shared" si="1"/>
        <v>Mar-14</v>
      </c>
      <c r="F44">
        <f>VLOOKUP(D44,'Problem Statement 4'!$G$2:$H$13,2,0)</f>
        <v>3</v>
      </c>
      <c r="G44">
        <v>120.1</v>
      </c>
      <c r="H44">
        <v>118.1</v>
      </c>
      <c r="I44">
        <v>120.7</v>
      </c>
      <c r="J44">
        <v>116.1</v>
      </c>
      <c r="K44">
        <v>109.3</v>
      </c>
      <c r="L44">
        <v>119.6</v>
      </c>
      <c r="M44">
        <v>117.9</v>
      </c>
      <c r="N44">
        <v>110.2</v>
      </c>
      <c r="O44">
        <v>101.2</v>
      </c>
      <c r="P44">
        <v>110.7</v>
      </c>
      <c r="Q44">
        <v>113</v>
      </c>
      <c r="R44">
        <v>118.3</v>
      </c>
      <c r="S44">
        <v>116.2</v>
      </c>
      <c r="T44">
        <v>114.6</v>
      </c>
      <c r="U44">
        <v>117.5</v>
      </c>
      <c r="V44">
        <v>114.9</v>
      </c>
      <c r="W44">
        <v>117.2</v>
      </c>
      <c r="X44">
        <v>113.2</v>
      </c>
      <c r="Y44">
        <v>113.4</v>
      </c>
      <c r="Z44">
        <v>113.4</v>
      </c>
      <c r="AA44">
        <v>111.4</v>
      </c>
      <c r="AB44">
        <v>111.2</v>
      </c>
      <c r="AC44">
        <v>110.2</v>
      </c>
      <c r="AD44">
        <v>112.4</v>
      </c>
      <c r="AE44">
        <v>108.9</v>
      </c>
      <c r="AF44">
        <v>111.3</v>
      </c>
      <c r="AG44">
        <v>114.6</v>
      </c>
      <c r="AH44">
        <f t="shared" si="2"/>
        <v>1491.4</v>
      </c>
      <c r="AI44">
        <f t="shared" si="3"/>
        <v>113.4</v>
      </c>
      <c r="AJ44">
        <f t="shared" si="4"/>
        <v>111.2</v>
      </c>
      <c r="AK44">
        <f t="shared" si="5"/>
        <v>112.4</v>
      </c>
      <c r="AL44">
        <f t="shared" si="6"/>
        <v>1132.5999999999999</v>
      </c>
    </row>
    <row r="45" spans="1:38" x14ac:dyDescent="0.3">
      <c r="A45" t="s">
        <v>32</v>
      </c>
      <c r="B45" s="28">
        <f t="shared" si="0"/>
        <v>41699</v>
      </c>
      <c r="C45">
        <v>2014</v>
      </c>
      <c r="D45" t="s">
        <v>35</v>
      </c>
      <c r="E45" t="str">
        <f t="shared" si="1"/>
        <v>Mar-14</v>
      </c>
      <c r="F45">
        <f>VLOOKUP(D45,'Problem Statement 4'!$G$2:$H$13,2,0)</f>
        <v>3</v>
      </c>
      <c r="G45">
        <v>122.1</v>
      </c>
      <c r="H45">
        <v>121.4</v>
      </c>
      <c r="I45">
        <v>121.5</v>
      </c>
      <c r="J45">
        <v>116.2</v>
      </c>
      <c r="K45">
        <v>102.8</v>
      </c>
      <c r="L45">
        <v>117.7</v>
      </c>
      <c r="M45">
        <v>113.3</v>
      </c>
      <c r="N45">
        <v>108.9</v>
      </c>
      <c r="O45">
        <v>96.3</v>
      </c>
      <c r="P45">
        <v>114.1</v>
      </c>
      <c r="Q45">
        <v>112.2</v>
      </c>
      <c r="R45">
        <v>120.5</v>
      </c>
      <c r="S45">
        <v>116</v>
      </c>
      <c r="T45">
        <v>116.7</v>
      </c>
      <c r="U45">
        <v>115.8</v>
      </c>
      <c r="V45">
        <v>112.1</v>
      </c>
      <c r="W45">
        <v>115.2</v>
      </c>
      <c r="X45">
        <v>113.2</v>
      </c>
      <c r="Y45">
        <v>110.9</v>
      </c>
      <c r="Z45">
        <v>113</v>
      </c>
      <c r="AA45">
        <v>110.8</v>
      </c>
      <c r="AB45">
        <v>111.6</v>
      </c>
      <c r="AC45">
        <v>110.9</v>
      </c>
      <c r="AD45">
        <v>111.8</v>
      </c>
      <c r="AE45">
        <v>109.2</v>
      </c>
      <c r="AF45">
        <v>111.4</v>
      </c>
      <c r="AG45">
        <v>113.7</v>
      </c>
      <c r="AH45">
        <f t="shared" si="2"/>
        <v>1483</v>
      </c>
      <c r="AI45">
        <f t="shared" si="3"/>
        <v>110.9</v>
      </c>
      <c r="AJ45">
        <f t="shared" si="4"/>
        <v>111.6</v>
      </c>
      <c r="AK45">
        <f t="shared" si="5"/>
        <v>111.8</v>
      </c>
      <c r="AL45">
        <f t="shared" si="6"/>
        <v>1128.3</v>
      </c>
    </row>
    <row r="46" spans="1:38" x14ac:dyDescent="0.3">
      <c r="A46" t="s">
        <v>33</v>
      </c>
      <c r="B46" s="28">
        <f t="shared" si="0"/>
        <v>41699</v>
      </c>
      <c r="C46">
        <v>2014</v>
      </c>
      <c r="D46" t="s">
        <v>35</v>
      </c>
      <c r="E46" t="str">
        <f t="shared" si="1"/>
        <v>Mar-14</v>
      </c>
      <c r="F46">
        <f>VLOOKUP(D46,'Problem Statement 4'!$G$2:$H$13,2,0)</f>
        <v>3</v>
      </c>
      <c r="G46">
        <v>120.7</v>
      </c>
      <c r="H46">
        <v>119.3</v>
      </c>
      <c r="I46">
        <v>121</v>
      </c>
      <c r="J46">
        <v>116.1</v>
      </c>
      <c r="K46">
        <v>106.9</v>
      </c>
      <c r="L46">
        <v>118.7</v>
      </c>
      <c r="M46">
        <v>116.3</v>
      </c>
      <c r="N46">
        <v>109.8</v>
      </c>
      <c r="O46">
        <v>99.6</v>
      </c>
      <c r="P46">
        <v>111.8</v>
      </c>
      <c r="Q46">
        <v>112.7</v>
      </c>
      <c r="R46">
        <v>119.3</v>
      </c>
      <c r="S46">
        <v>116.1</v>
      </c>
      <c r="T46">
        <v>115.2</v>
      </c>
      <c r="U46">
        <v>116.8</v>
      </c>
      <c r="V46">
        <v>113.7</v>
      </c>
      <c r="W46">
        <v>116.4</v>
      </c>
      <c r="X46">
        <v>113.2</v>
      </c>
      <c r="Y46">
        <v>112.5</v>
      </c>
      <c r="Z46">
        <v>113.2</v>
      </c>
      <c r="AA46">
        <v>111.2</v>
      </c>
      <c r="AB46">
        <v>111.4</v>
      </c>
      <c r="AC46">
        <v>110.6</v>
      </c>
      <c r="AD46">
        <v>112</v>
      </c>
      <c r="AE46">
        <v>109</v>
      </c>
      <c r="AF46">
        <v>111.3</v>
      </c>
      <c r="AG46">
        <v>114.2</v>
      </c>
      <c r="AH46">
        <f t="shared" si="2"/>
        <v>1488.2999999999997</v>
      </c>
      <c r="AI46">
        <f t="shared" si="3"/>
        <v>112.5</v>
      </c>
      <c r="AJ46">
        <f t="shared" si="4"/>
        <v>111.4</v>
      </c>
      <c r="AK46">
        <f t="shared" si="5"/>
        <v>112</v>
      </c>
      <c r="AL46">
        <f t="shared" si="6"/>
        <v>1130.6000000000001</v>
      </c>
    </row>
    <row r="47" spans="1:38" x14ac:dyDescent="0.3">
      <c r="A47" t="s">
        <v>30</v>
      </c>
      <c r="B47" s="28">
        <f t="shared" si="0"/>
        <v>41730</v>
      </c>
      <c r="C47">
        <v>2014</v>
      </c>
      <c r="D47" t="s">
        <v>36</v>
      </c>
      <c r="E47" t="str">
        <f t="shared" si="1"/>
        <v>Apr-14</v>
      </c>
      <c r="F47">
        <f>VLOOKUP(D47,'Problem Statement 4'!$G$2:$H$13,2,0)</f>
        <v>4</v>
      </c>
      <c r="G47">
        <v>120.2</v>
      </c>
      <c r="H47">
        <v>118.9</v>
      </c>
      <c r="I47">
        <v>118.1</v>
      </c>
      <c r="J47">
        <v>117</v>
      </c>
      <c r="K47">
        <v>109.7</v>
      </c>
      <c r="L47">
        <v>125.5</v>
      </c>
      <c r="M47">
        <v>120.5</v>
      </c>
      <c r="N47">
        <v>111</v>
      </c>
      <c r="O47">
        <v>102.6</v>
      </c>
      <c r="P47">
        <v>111.2</v>
      </c>
      <c r="Q47">
        <v>113.5</v>
      </c>
      <c r="R47">
        <v>118.7</v>
      </c>
      <c r="S47">
        <v>117.2</v>
      </c>
      <c r="T47">
        <v>115.4</v>
      </c>
      <c r="U47">
        <v>118.1</v>
      </c>
      <c r="V47">
        <v>116.1</v>
      </c>
      <c r="W47">
        <v>117.8</v>
      </c>
      <c r="X47">
        <v>113.9</v>
      </c>
      <c r="Y47">
        <v>113.4</v>
      </c>
      <c r="Z47">
        <v>113.7</v>
      </c>
      <c r="AA47">
        <v>111.8</v>
      </c>
      <c r="AB47">
        <v>111.2</v>
      </c>
      <c r="AC47">
        <v>110.5</v>
      </c>
      <c r="AD47">
        <v>113</v>
      </c>
      <c r="AE47">
        <v>108.9</v>
      </c>
      <c r="AF47">
        <v>111.5</v>
      </c>
      <c r="AG47">
        <v>115.4</v>
      </c>
      <c r="AH47">
        <f t="shared" si="2"/>
        <v>1504.1000000000001</v>
      </c>
      <c r="AI47">
        <f t="shared" si="3"/>
        <v>113.4</v>
      </c>
      <c r="AJ47">
        <f t="shared" si="4"/>
        <v>111.2</v>
      </c>
      <c r="AK47">
        <f t="shared" si="5"/>
        <v>113</v>
      </c>
      <c r="AL47">
        <f t="shared" si="6"/>
        <v>1137.7</v>
      </c>
    </row>
    <row r="48" spans="1:38" x14ac:dyDescent="0.3">
      <c r="A48" t="s">
        <v>32</v>
      </c>
      <c r="B48" s="28">
        <f t="shared" si="0"/>
        <v>41730</v>
      </c>
      <c r="C48">
        <v>2014</v>
      </c>
      <c r="D48" t="s">
        <v>36</v>
      </c>
      <c r="E48" t="str">
        <f t="shared" si="1"/>
        <v>Apr-14</v>
      </c>
      <c r="F48">
        <f>VLOOKUP(D48,'Problem Statement 4'!$G$2:$H$13,2,0)</f>
        <v>4</v>
      </c>
      <c r="G48">
        <v>122.5</v>
      </c>
      <c r="H48">
        <v>121.7</v>
      </c>
      <c r="I48">
        <v>113.3</v>
      </c>
      <c r="J48">
        <v>117</v>
      </c>
      <c r="K48">
        <v>103.1</v>
      </c>
      <c r="L48">
        <v>126.7</v>
      </c>
      <c r="M48">
        <v>121.2</v>
      </c>
      <c r="N48">
        <v>111</v>
      </c>
      <c r="O48">
        <v>100.3</v>
      </c>
      <c r="P48">
        <v>115.3</v>
      </c>
      <c r="Q48">
        <v>112.7</v>
      </c>
      <c r="R48">
        <v>121</v>
      </c>
      <c r="S48">
        <v>118.2</v>
      </c>
      <c r="T48">
        <v>117.6</v>
      </c>
      <c r="U48">
        <v>116.3</v>
      </c>
      <c r="V48">
        <v>112.5</v>
      </c>
      <c r="W48">
        <v>115.7</v>
      </c>
      <c r="X48">
        <v>113.9</v>
      </c>
      <c r="Y48">
        <v>110.9</v>
      </c>
      <c r="Z48">
        <v>113.4</v>
      </c>
      <c r="AA48">
        <v>111</v>
      </c>
      <c r="AB48">
        <v>111.2</v>
      </c>
      <c r="AC48">
        <v>111.2</v>
      </c>
      <c r="AD48">
        <v>112.5</v>
      </c>
      <c r="AE48">
        <v>109.1</v>
      </c>
      <c r="AF48">
        <v>111.4</v>
      </c>
      <c r="AG48">
        <v>114.7</v>
      </c>
      <c r="AH48">
        <f t="shared" si="2"/>
        <v>1504.0000000000002</v>
      </c>
      <c r="AI48">
        <f t="shared" si="3"/>
        <v>110.9</v>
      </c>
      <c r="AJ48">
        <f t="shared" si="4"/>
        <v>111.2</v>
      </c>
      <c r="AK48">
        <f t="shared" si="5"/>
        <v>112.5</v>
      </c>
      <c r="AL48">
        <f t="shared" si="6"/>
        <v>1132.1000000000001</v>
      </c>
    </row>
    <row r="49" spans="1:38" x14ac:dyDescent="0.3">
      <c r="A49" t="s">
        <v>33</v>
      </c>
      <c r="B49" s="28">
        <f t="shared" si="0"/>
        <v>41730</v>
      </c>
      <c r="C49">
        <v>2014</v>
      </c>
      <c r="D49" t="s">
        <v>36</v>
      </c>
      <c r="E49" t="str">
        <f t="shared" si="1"/>
        <v>Apr-14</v>
      </c>
      <c r="F49">
        <f>VLOOKUP(D49,'Problem Statement 4'!$G$2:$H$13,2,0)</f>
        <v>4</v>
      </c>
      <c r="G49">
        <v>120.9</v>
      </c>
      <c r="H49">
        <v>119.9</v>
      </c>
      <c r="I49">
        <v>116.2</v>
      </c>
      <c r="J49">
        <v>117</v>
      </c>
      <c r="K49">
        <v>107.3</v>
      </c>
      <c r="L49">
        <v>126.1</v>
      </c>
      <c r="M49">
        <v>120.7</v>
      </c>
      <c r="N49">
        <v>111</v>
      </c>
      <c r="O49">
        <v>101.8</v>
      </c>
      <c r="P49">
        <v>112.6</v>
      </c>
      <c r="Q49">
        <v>113.2</v>
      </c>
      <c r="R49">
        <v>119.8</v>
      </c>
      <c r="S49">
        <v>117.6</v>
      </c>
      <c r="T49">
        <v>116</v>
      </c>
      <c r="U49">
        <v>117.4</v>
      </c>
      <c r="V49">
        <v>114.6</v>
      </c>
      <c r="W49">
        <v>117</v>
      </c>
      <c r="X49">
        <v>113.9</v>
      </c>
      <c r="Y49">
        <v>112.5</v>
      </c>
      <c r="Z49">
        <v>113.6</v>
      </c>
      <c r="AA49">
        <v>111.5</v>
      </c>
      <c r="AB49">
        <v>111.2</v>
      </c>
      <c r="AC49">
        <v>110.9</v>
      </c>
      <c r="AD49">
        <v>112.7</v>
      </c>
      <c r="AE49">
        <v>109</v>
      </c>
      <c r="AF49">
        <v>111.5</v>
      </c>
      <c r="AG49">
        <v>115.1</v>
      </c>
      <c r="AH49">
        <f t="shared" si="2"/>
        <v>1504.1</v>
      </c>
      <c r="AI49">
        <f t="shared" si="3"/>
        <v>112.5</v>
      </c>
      <c r="AJ49">
        <f t="shared" si="4"/>
        <v>111.2</v>
      </c>
      <c r="AK49">
        <f t="shared" si="5"/>
        <v>112.7</v>
      </c>
      <c r="AL49">
        <f t="shared" si="6"/>
        <v>1135.4000000000001</v>
      </c>
    </row>
    <row r="50" spans="1:38" x14ac:dyDescent="0.3">
      <c r="A50" t="s">
        <v>30</v>
      </c>
      <c r="B50" s="28">
        <f t="shared" si="0"/>
        <v>41760</v>
      </c>
      <c r="C50">
        <v>2014</v>
      </c>
      <c r="D50" t="s">
        <v>37</v>
      </c>
      <c r="E50" t="str">
        <f t="shared" si="1"/>
        <v>May-14</v>
      </c>
      <c r="F50">
        <f>VLOOKUP(D50,'Problem Statement 4'!$G$2:$H$13,2,0)</f>
        <v>5</v>
      </c>
      <c r="G50">
        <v>120.3</v>
      </c>
      <c r="H50">
        <v>120.2</v>
      </c>
      <c r="I50">
        <v>116.9</v>
      </c>
      <c r="J50">
        <v>118</v>
      </c>
      <c r="K50">
        <v>110.1</v>
      </c>
      <c r="L50">
        <v>126.3</v>
      </c>
      <c r="M50">
        <v>123.9</v>
      </c>
      <c r="N50">
        <v>111.5</v>
      </c>
      <c r="O50">
        <v>103.5</v>
      </c>
      <c r="P50">
        <v>111.6</v>
      </c>
      <c r="Q50">
        <v>114.2</v>
      </c>
      <c r="R50">
        <v>119.2</v>
      </c>
      <c r="S50">
        <v>118.2</v>
      </c>
      <c r="T50">
        <v>116.3</v>
      </c>
      <c r="U50">
        <v>118.7</v>
      </c>
      <c r="V50">
        <v>116.8</v>
      </c>
      <c r="W50">
        <v>118.5</v>
      </c>
      <c r="X50">
        <v>114.3</v>
      </c>
      <c r="Y50">
        <v>113.4</v>
      </c>
      <c r="Z50">
        <v>114.1</v>
      </c>
      <c r="AA50">
        <v>112.1</v>
      </c>
      <c r="AB50">
        <v>111.4</v>
      </c>
      <c r="AC50">
        <v>110.9</v>
      </c>
      <c r="AD50">
        <v>113.1</v>
      </c>
      <c r="AE50">
        <v>108.9</v>
      </c>
      <c r="AF50">
        <v>111.8</v>
      </c>
      <c r="AG50">
        <v>116</v>
      </c>
      <c r="AH50">
        <f t="shared" si="2"/>
        <v>1513.8999999999999</v>
      </c>
      <c r="AI50">
        <f t="shared" si="3"/>
        <v>113.4</v>
      </c>
      <c r="AJ50">
        <f t="shared" si="4"/>
        <v>111.4</v>
      </c>
      <c r="AK50">
        <f t="shared" si="5"/>
        <v>113.1</v>
      </c>
      <c r="AL50">
        <f t="shared" si="6"/>
        <v>1142.4000000000001</v>
      </c>
    </row>
    <row r="51" spans="1:38" x14ac:dyDescent="0.3">
      <c r="A51" t="s">
        <v>32</v>
      </c>
      <c r="B51" s="28">
        <f t="shared" si="0"/>
        <v>41760</v>
      </c>
      <c r="C51">
        <v>2014</v>
      </c>
      <c r="D51" t="s">
        <v>37</v>
      </c>
      <c r="E51" t="str">
        <f t="shared" si="1"/>
        <v>May-14</v>
      </c>
      <c r="F51">
        <f>VLOOKUP(D51,'Problem Statement 4'!$G$2:$H$13,2,0)</f>
        <v>5</v>
      </c>
      <c r="G51">
        <v>122.7</v>
      </c>
      <c r="H51">
        <v>124.1</v>
      </c>
      <c r="I51">
        <v>114.2</v>
      </c>
      <c r="J51">
        <v>119.1</v>
      </c>
      <c r="K51">
        <v>103.5</v>
      </c>
      <c r="L51">
        <v>129.19999999999999</v>
      </c>
      <c r="M51">
        <v>127</v>
      </c>
      <c r="N51">
        <v>112.6</v>
      </c>
      <c r="O51">
        <v>101.3</v>
      </c>
      <c r="P51">
        <v>117</v>
      </c>
      <c r="Q51">
        <v>112.9</v>
      </c>
      <c r="R51">
        <v>121.7</v>
      </c>
      <c r="S51">
        <v>120</v>
      </c>
      <c r="T51">
        <v>118.3</v>
      </c>
      <c r="U51">
        <v>116.8</v>
      </c>
      <c r="V51">
        <v>112.9</v>
      </c>
      <c r="W51">
        <v>116.2</v>
      </c>
      <c r="X51">
        <v>114.3</v>
      </c>
      <c r="Y51">
        <v>111.1</v>
      </c>
      <c r="Z51">
        <v>114.1</v>
      </c>
      <c r="AA51">
        <v>111.2</v>
      </c>
      <c r="AB51">
        <v>111.3</v>
      </c>
      <c r="AC51">
        <v>111.5</v>
      </c>
      <c r="AD51">
        <v>112.9</v>
      </c>
      <c r="AE51">
        <v>109.3</v>
      </c>
      <c r="AF51">
        <v>111.7</v>
      </c>
      <c r="AG51">
        <v>115.6</v>
      </c>
      <c r="AH51">
        <f t="shared" si="2"/>
        <v>1525.3000000000002</v>
      </c>
      <c r="AI51">
        <f t="shared" si="3"/>
        <v>111.1</v>
      </c>
      <c r="AJ51">
        <f t="shared" si="4"/>
        <v>111.3</v>
      </c>
      <c r="AK51">
        <f t="shared" si="5"/>
        <v>112.9</v>
      </c>
      <c r="AL51">
        <f t="shared" si="6"/>
        <v>1136.3000000000002</v>
      </c>
    </row>
    <row r="52" spans="1:38" x14ac:dyDescent="0.3">
      <c r="A52" t="s">
        <v>33</v>
      </c>
      <c r="B52" s="28">
        <f t="shared" si="0"/>
        <v>41760</v>
      </c>
      <c r="C52">
        <v>2014</v>
      </c>
      <c r="D52" t="s">
        <v>37</v>
      </c>
      <c r="E52" t="str">
        <f t="shared" si="1"/>
        <v>May-14</v>
      </c>
      <c r="F52">
        <f>VLOOKUP(D52,'Problem Statement 4'!$G$2:$H$13,2,0)</f>
        <v>5</v>
      </c>
      <c r="G52">
        <v>121.1</v>
      </c>
      <c r="H52">
        <v>121.6</v>
      </c>
      <c r="I52">
        <v>115.9</v>
      </c>
      <c r="J52">
        <v>118.4</v>
      </c>
      <c r="K52">
        <v>107.7</v>
      </c>
      <c r="L52">
        <v>127.7</v>
      </c>
      <c r="M52">
        <v>125</v>
      </c>
      <c r="N52">
        <v>111.9</v>
      </c>
      <c r="O52">
        <v>102.8</v>
      </c>
      <c r="P52">
        <v>113.4</v>
      </c>
      <c r="Q52">
        <v>113.7</v>
      </c>
      <c r="R52">
        <v>120.4</v>
      </c>
      <c r="S52">
        <v>118.9</v>
      </c>
      <c r="T52">
        <v>116.8</v>
      </c>
      <c r="U52">
        <v>118</v>
      </c>
      <c r="V52">
        <v>115.2</v>
      </c>
      <c r="W52">
        <v>117.6</v>
      </c>
      <c r="X52">
        <v>114.3</v>
      </c>
      <c r="Y52">
        <v>112.5</v>
      </c>
      <c r="Z52">
        <v>114.1</v>
      </c>
      <c r="AA52">
        <v>111.8</v>
      </c>
      <c r="AB52">
        <v>111.3</v>
      </c>
      <c r="AC52">
        <v>111.2</v>
      </c>
      <c r="AD52">
        <v>113</v>
      </c>
      <c r="AE52">
        <v>109.1</v>
      </c>
      <c r="AF52">
        <v>111.8</v>
      </c>
      <c r="AG52">
        <v>115.8</v>
      </c>
      <c r="AH52">
        <f t="shared" si="2"/>
        <v>1518.5000000000005</v>
      </c>
      <c r="AI52">
        <f t="shared" si="3"/>
        <v>112.5</v>
      </c>
      <c r="AJ52">
        <f t="shared" si="4"/>
        <v>111.3</v>
      </c>
      <c r="AK52">
        <f t="shared" si="5"/>
        <v>113</v>
      </c>
      <c r="AL52">
        <f t="shared" si="6"/>
        <v>1139.8999999999999</v>
      </c>
    </row>
    <row r="53" spans="1:38" x14ac:dyDescent="0.3">
      <c r="A53" t="s">
        <v>30</v>
      </c>
      <c r="B53" s="28">
        <f t="shared" si="0"/>
        <v>41791</v>
      </c>
      <c r="C53">
        <v>2014</v>
      </c>
      <c r="D53" t="s">
        <v>38</v>
      </c>
      <c r="E53" t="str">
        <f t="shared" si="1"/>
        <v>Jun-14</v>
      </c>
      <c r="F53">
        <f>VLOOKUP(D53,'Problem Statement 4'!$G$2:$H$13,2,0)</f>
        <v>6</v>
      </c>
      <c r="G53">
        <v>120.7</v>
      </c>
      <c r="H53">
        <v>121.6</v>
      </c>
      <c r="I53">
        <v>116.1</v>
      </c>
      <c r="J53">
        <v>119.3</v>
      </c>
      <c r="K53">
        <v>110.3</v>
      </c>
      <c r="L53">
        <v>125.8</v>
      </c>
      <c r="M53">
        <v>129.30000000000001</v>
      </c>
      <c r="N53">
        <v>112.2</v>
      </c>
      <c r="O53">
        <v>103.6</v>
      </c>
      <c r="P53">
        <v>112.3</v>
      </c>
      <c r="Q53">
        <v>114.9</v>
      </c>
      <c r="R53">
        <v>120.1</v>
      </c>
      <c r="S53">
        <v>119.5</v>
      </c>
      <c r="T53">
        <v>117.3</v>
      </c>
      <c r="U53">
        <v>119.7</v>
      </c>
      <c r="V53">
        <v>117.3</v>
      </c>
      <c r="W53">
        <v>119.3</v>
      </c>
      <c r="X53">
        <v>113.9</v>
      </c>
      <c r="Y53">
        <v>114.4</v>
      </c>
      <c r="Z53">
        <v>114.9</v>
      </c>
      <c r="AA53">
        <v>112.8</v>
      </c>
      <c r="AB53">
        <v>112.2</v>
      </c>
      <c r="AC53">
        <v>111.4</v>
      </c>
      <c r="AD53">
        <v>114.3</v>
      </c>
      <c r="AE53">
        <v>108</v>
      </c>
      <c r="AF53">
        <v>112.3</v>
      </c>
      <c r="AG53">
        <v>117</v>
      </c>
      <c r="AH53">
        <f t="shared" si="2"/>
        <v>1525.6999999999998</v>
      </c>
      <c r="AI53">
        <f t="shared" si="3"/>
        <v>114.4</v>
      </c>
      <c r="AJ53">
        <f t="shared" si="4"/>
        <v>112.2</v>
      </c>
      <c r="AK53">
        <f t="shared" si="5"/>
        <v>114.3</v>
      </c>
      <c r="AL53">
        <f t="shared" si="6"/>
        <v>1146.8999999999999</v>
      </c>
    </row>
    <row r="54" spans="1:38" x14ac:dyDescent="0.3">
      <c r="A54" t="s">
        <v>32</v>
      </c>
      <c r="B54" s="28">
        <f t="shared" si="0"/>
        <v>41791</v>
      </c>
      <c r="C54">
        <v>2014</v>
      </c>
      <c r="D54" t="s">
        <v>38</v>
      </c>
      <c r="E54" t="str">
        <f t="shared" si="1"/>
        <v>Jun-14</v>
      </c>
      <c r="F54">
        <f>VLOOKUP(D54,'Problem Statement 4'!$G$2:$H$13,2,0)</f>
        <v>6</v>
      </c>
      <c r="G54">
        <v>123.1</v>
      </c>
      <c r="H54">
        <v>125.9</v>
      </c>
      <c r="I54">
        <v>115.4</v>
      </c>
      <c r="J54">
        <v>120.4</v>
      </c>
      <c r="K54">
        <v>103.4</v>
      </c>
      <c r="L54">
        <v>131.19999999999999</v>
      </c>
      <c r="M54">
        <v>137.5</v>
      </c>
      <c r="N54">
        <v>112.8</v>
      </c>
      <c r="O54">
        <v>101.4</v>
      </c>
      <c r="P54">
        <v>118.3</v>
      </c>
      <c r="Q54">
        <v>113.2</v>
      </c>
      <c r="R54">
        <v>122.4</v>
      </c>
      <c r="S54">
        <v>122</v>
      </c>
      <c r="T54">
        <v>119</v>
      </c>
      <c r="U54">
        <v>117.4</v>
      </c>
      <c r="V54">
        <v>113.2</v>
      </c>
      <c r="W54">
        <v>116.7</v>
      </c>
      <c r="X54">
        <v>113.9</v>
      </c>
      <c r="Y54">
        <v>111.2</v>
      </c>
      <c r="Z54">
        <v>114.3</v>
      </c>
      <c r="AA54">
        <v>111.4</v>
      </c>
      <c r="AB54">
        <v>111.5</v>
      </c>
      <c r="AC54">
        <v>111.8</v>
      </c>
      <c r="AD54">
        <v>115.1</v>
      </c>
      <c r="AE54">
        <v>108.7</v>
      </c>
      <c r="AF54">
        <v>112.2</v>
      </c>
      <c r="AG54">
        <v>116.4</v>
      </c>
      <c r="AH54">
        <f t="shared" si="2"/>
        <v>1547</v>
      </c>
      <c r="AI54">
        <f t="shared" si="3"/>
        <v>111.2</v>
      </c>
      <c r="AJ54">
        <f t="shared" si="4"/>
        <v>111.5</v>
      </c>
      <c r="AK54">
        <f t="shared" si="5"/>
        <v>115.1</v>
      </c>
      <c r="AL54">
        <f t="shared" si="6"/>
        <v>1138.5999999999999</v>
      </c>
    </row>
    <row r="55" spans="1:38" x14ac:dyDescent="0.3">
      <c r="A55" t="s">
        <v>33</v>
      </c>
      <c r="B55" s="28">
        <f t="shared" si="0"/>
        <v>41791</v>
      </c>
      <c r="C55">
        <v>2014</v>
      </c>
      <c r="D55" t="s">
        <v>38</v>
      </c>
      <c r="E55" t="str">
        <f t="shared" si="1"/>
        <v>Jun-14</v>
      </c>
      <c r="F55">
        <f>VLOOKUP(D55,'Problem Statement 4'!$G$2:$H$13,2,0)</f>
        <v>6</v>
      </c>
      <c r="G55">
        <v>121.5</v>
      </c>
      <c r="H55">
        <v>123.1</v>
      </c>
      <c r="I55">
        <v>115.8</v>
      </c>
      <c r="J55">
        <v>119.7</v>
      </c>
      <c r="K55">
        <v>107.8</v>
      </c>
      <c r="L55">
        <v>128.30000000000001</v>
      </c>
      <c r="M55">
        <v>132.1</v>
      </c>
      <c r="N55">
        <v>112.4</v>
      </c>
      <c r="O55">
        <v>102.9</v>
      </c>
      <c r="P55">
        <v>114.3</v>
      </c>
      <c r="Q55">
        <v>114.2</v>
      </c>
      <c r="R55">
        <v>121.2</v>
      </c>
      <c r="S55">
        <v>120.4</v>
      </c>
      <c r="T55">
        <v>117.8</v>
      </c>
      <c r="U55">
        <v>118.8</v>
      </c>
      <c r="V55">
        <v>115.6</v>
      </c>
      <c r="W55">
        <v>118.3</v>
      </c>
      <c r="X55">
        <v>113.9</v>
      </c>
      <c r="Y55">
        <v>113.2</v>
      </c>
      <c r="Z55">
        <v>114.6</v>
      </c>
      <c r="AA55">
        <v>112.3</v>
      </c>
      <c r="AB55">
        <v>111.8</v>
      </c>
      <c r="AC55">
        <v>111.6</v>
      </c>
      <c r="AD55">
        <v>114.8</v>
      </c>
      <c r="AE55">
        <v>108.3</v>
      </c>
      <c r="AF55">
        <v>112.3</v>
      </c>
      <c r="AG55">
        <v>116.7</v>
      </c>
      <c r="AH55">
        <f t="shared" si="2"/>
        <v>1533.7000000000003</v>
      </c>
      <c r="AI55">
        <f t="shared" si="3"/>
        <v>113.2</v>
      </c>
      <c r="AJ55">
        <f t="shared" si="4"/>
        <v>111.8</v>
      </c>
      <c r="AK55">
        <f t="shared" si="5"/>
        <v>114.8</v>
      </c>
      <c r="AL55">
        <f t="shared" si="6"/>
        <v>1143.5</v>
      </c>
    </row>
    <row r="56" spans="1:38" x14ac:dyDescent="0.3">
      <c r="A56" t="s">
        <v>30</v>
      </c>
      <c r="B56" s="28">
        <f t="shared" si="0"/>
        <v>41821</v>
      </c>
      <c r="C56">
        <v>2014</v>
      </c>
      <c r="D56" t="s">
        <v>39</v>
      </c>
      <c r="E56" t="str">
        <f t="shared" si="1"/>
        <v>Jul-14</v>
      </c>
      <c r="F56">
        <f>VLOOKUP(D56,'Problem Statement 4'!$G$2:$H$13,2,0)</f>
        <v>7</v>
      </c>
      <c r="G56">
        <v>121.7</v>
      </c>
      <c r="H56">
        <v>122.5</v>
      </c>
      <c r="I56">
        <v>117.7</v>
      </c>
      <c r="J56">
        <v>120.6</v>
      </c>
      <c r="K56">
        <v>110.4</v>
      </c>
      <c r="L56">
        <v>129.1</v>
      </c>
      <c r="M56">
        <v>150.1</v>
      </c>
      <c r="N56">
        <v>113.2</v>
      </c>
      <c r="O56">
        <v>104.8</v>
      </c>
      <c r="P56">
        <v>113.3</v>
      </c>
      <c r="Q56">
        <v>115.6</v>
      </c>
      <c r="R56">
        <v>120.9</v>
      </c>
      <c r="S56">
        <v>123.3</v>
      </c>
      <c r="T56">
        <v>118</v>
      </c>
      <c r="U56">
        <v>120.7</v>
      </c>
      <c r="V56">
        <v>118.3</v>
      </c>
      <c r="W56">
        <v>120.3</v>
      </c>
      <c r="X56">
        <v>114.8</v>
      </c>
      <c r="Y56">
        <v>115.3</v>
      </c>
      <c r="Z56">
        <v>115.4</v>
      </c>
      <c r="AA56">
        <v>113.4</v>
      </c>
      <c r="AB56">
        <v>113.2</v>
      </c>
      <c r="AC56">
        <v>111.8</v>
      </c>
      <c r="AD56">
        <v>115.5</v>
      </c>
      <c r="AE56">
        <v>108.8</v>
      </c>
      <c r="AF56">
        <v>113.1</v>
      </c>
      <c r="AG56">
        <v>119.5</v>
      </c>
      <c r="AH56">
        <f t="shared" si="2"/>
        <v>1563.2</v>
      </c>
      <c r="AI56">
        <f t="shared" si="3"/>
        <v>115.3</v>
      </c>
      <c r="AJ56">
        <f t="shared" si="4"/>
        <v>113.2</v>
      </c>
      <c r="AK56">
        <f t="shared" si="5"/>
        <v>115.5</v>
      </c>
      <c r="AL56">
        <f t="shared" si="6"/>
        <v>1154.5999999999999</v>
      </c>
    </row>
    <row r="57" spans="1:38" x14ac:dyDescent="0.3">
      <c r="A57" t="s">
        <v>32</v>
      </c>
      <c r="B57" s="28">
        <f t="shared" si="0"/>
        <v>41821</v>
      </c>
      <c r="C57">
        <v>2014</v>
      </c>
      <c r="D57" t="s">
        <v>39</v>
      </c>
      <c r="E57" t="str">
        <f t="shared" si="1"/>
        <v>Jul-14</v>
      </c>
      <c r="F57">
        <f>VLOOKUP(D57,'Problem Statement 4'!$G$2:$H$13,2,0)</f>
        <v>7</v>
      </c>
      <c r="G57">
        <v>123.8</v>
      </c>
      <c r="H57">
        <v>126.4</v>
      </c>
      <c r="I57">
        <v>118</v>
      </c>
      <c r="J57">
        <v>121.6</v>
      </c>
      <c r="K57">
        <v>103.5</v>
      </c>
      <c r="L57">
        <v>133.69999999999999</v>
      </c>
      <c r="M57">
        <v>172.4</v>
      </c>
      <c r="N57">
        <v>113.1</v>
      </c>
      <c r="O57">
        <v>102.7</v>
      </c>
      <c r="P57">
        <v>120</v>
      </c>
      <c r="Q57">
        <v>113.8</v>
      </c>
      <c r="R57">
        <v>123.4</v>
      </c>
      <c r="S57">
        <v>127.1</v>
      </c>
      <c r="T57">
        <v>121</v>
      </c>
      <c r="U57">
        <v>118</v>
      </c>
      <c r="V57">
        <v>113.6</v>
      </c>
      <c r="W57">
        <v>117.4</v>
      </c>
      <c r="X57">
        <v>114.8</v>
      </c>
      <c r="Y57">
        <v>111.6</v>
      </c>
      <c r="Z57">
        <v>114.9</v>
      </c>
      <c r="AA57">
        <v>111.5</v>
      </c>
      <c r="AB57">
        <v>113</v>
      </c>
      <c r="AC57">
        <v>112.4</v>
      </c>
      <c r="AD57">
        <v>117.8</v>
      </c>
      <c r="AE57">
        <v>109.7</v>
      </c>
      <c r="AF57">
        <v>113.5</v>
      </c>
      <c r="AG57">
        <v>118.9</v>
      </c>
      <c r="AH57">
        <f t="shared" si="2"/>
        <v>1599.5</v>
      </c>
      <c r="AI57">
        <f t="shared" si="3"/>
        <v>111.6</v>
      </c>
      <c r="AJ57">
        <f t="shared" si="4"/>
        <v>113</v>
      </c>
      <c r="AK57">
        <f t="shared" si="5"/>
        <v>117.8</v>
      </c>
      <c r="AL57">
        <f t="shared" si="6"/>
        <v>1146.8</v>
      </c>
    </row>
    <row r="58" spans="1:38" x14ac:dyDescent="0.3">
      <c r="A58" t="s">
        <v>33</v>
      </c>
      <c r="B58" s="28">
        <f t="shared" si="0"/>
        <v>41821</v>
      </c>
      <c r="C58">
        <v>2014</v>
      </c>
      <c r="D58" t="s">
        <v>39</v>
      </c>
      <c r="E58" t="str">
        <f t="shared" si="1"/>
        <v>Jul-14</v>
      </c>
      <c r="F58">
        <f>VLOOKUP(D58,'Problem Statement 4'!$G$2:$H$13,2,0)</f>
        <v>7</v>
      </c>
      <c r="G58">
        <v>122.4</v>
      </c>
      <c r="H58">
        <v>123.9</v>
      </c>
      <c r="I58">
        <v>117.8</v>
      </c>
      <c r="J58">
        <v>121</v>
      </c>
      <c r="K58">
        <v>107.9</v>
      </c>
      <c r="L58">
        <v>131.19999999999999</v>
      </c>
      <c r="M58">
        <v>157.69999999999999</v>
      </c>
      <c r="N58">
        <v>113.2</v>
      </c>
      <c r="O58">
        <v>104.1</v>
      </c>
      <c r="P58">
        <v>115.5</v>
      </c>
      <c r="Q58">
        <v>114.8</v>
      </c>
      <c r="R58">
        <v>122.1</v>
      </c>
      <c r="S58">
        <v>124.7</v>
      </c>
      <c r="T58">
        <v>118.8</v>
      </c>
      <c r="U58">
        <v>119.6</v>
      </c>
      <c r="V58">
        <v>116.3</v>
      </c>
      <c r="W58">
        <v>119.1</v>
      </c>
      <c r="X58">
        <v>114.8</v>
      </c>
      <c r="Y58">
        <v>113.9</v>
      </c>
      <c r="Z58">
        <v>115.2</v>
      </c>
      <c r="AA58">
        <v>112.7</v>
      </c>
      <c r="AB58">
        <v>113.1</v>
      </c>
      <c r="AC58">
        <v>112.1</v>
      </c>
      <c r="AD58">
        <v>116.8</v>
      </c>
      <c r="AE58">
        <v>109.2</v>
      </c>
      <c r="AF58">
        <v>113.3</v>
      </c>
      <c r="AG58">
        <v>119.2</v>
      </c>
      <c r="AH58">
        <f t="shared" si="2"/>
        <v>1576.3</v>
      </c>
      <c r="AI58">
        <f t="shared" si="3"/>
        <v>113.9</v>
      </c>
      <c r="AJ58">
        <f t="shared" si="4"/>
        <v>113.1</v>
      </c>
      <c r="AK58">
        <f t="shared" si="5"/>
        <v>116.8</v>
      </c>
      <c r="AL58">
        <f t="shared" si="6"/>
        <v>1151.0999999999999</v>
      </c>
    </row>
    <row r="59" spans="1:38" x14ac:dyDescent="0.3">
      <c r="A59" t="s">
        <v>30</v>
      </c>
      <c r="B59" s="28">
        <f t="shared" si="0"/>
        <v>41852</v>
      </c>
      <c r="C59">
        <v>2014</v>
      </c>
      <c r="D59" t="s">
        <v>40</v>
      </c>
      <c r="E59" t="str">
        <f t="shared" si="1"/>
        <v>Aug-14</v>
      </c>
      <c r="F59">
        <f>VLOOKUP(D59,'Problem Statement 4'!$G$2:$H$13,2,0)</f>
        <v>8</v>
      </c>
      <c r="G59">
        <v>121.8</v>
      </c>
      <c r="H59">
        <v>122.8</v>
      </c>
      <c r="I59">
        <v>117.8</v>
      </c>
      <c r="J59">
        <v>121.9</v>
      </c>
      <c r="K59">
        <v>110.6</v>
      </c>
      <c r="L59">
        <v>129.69999999999999</v>
      </c>
      <c r="M59">
        <v>161.1</v>
      </c>
      <c r="N59">
        <v>114.1</v>
      </c>
      <c r="O59">
        <v>105.1</v>
      </c>
      <c r="P59">
        <v>114.6</v>
      </c>
      <c r="Q59">
        <v>115.8</v>
      </c>
      <c r="R59">
        <v>121.7</v>
      </c>
      <c r="S59">
        <v>125.3</v>
      </c>
      <c r="T59">
        <v>118.8</v>
      </c>
      <c r="U59">
        <v>120.9</v>
      </c>
      <c r="V59">
        <v>118.8</v>
      </c>
      <c r="W59">
        <v>120.7</v>
      </c>
      <c r="X59">
        <v>115.5</v>
      </c>
      <c r="Y59">
        <v>115.4</v>
      </c>
      <c r="Z59">
        <v>115.9</v>
      </c>
      <c r="AA59">
        <v>114</v>
      </c>
      <c r="AB59">
        <v>113.2</v>
      </c>
      <c r="AC59">
        <v>112.2</v>
      </c>
      <c r="AD59">
        <v>116.2</v>
      </c>
      <c r="AE59">
        <v>109.4</v>
      </c>
      <c r="AF59">
        <v>113.5</v>
      </c>
      <c r="AG59">
        <v>120.7</v>
      </c>
      <c r="AH59">
        <f t="shared" si="2"/>
        <v>1582.2999999999997</v>
      </c>
      <c r="AI59">
        <f t="shared" si="3"/>
        <v>115.4</v>
      </c>
      <c r="AJ59">
        <f t="shared" si="4"/>
        <v>113.2</v>
      </c>
      <c r="AK59">
        <f t="shared" si="5"/>
        <v>116.2</v>
      </c>
      <c r="AL59">
        <f t="shared" si="6"/>
        <v>1159.7</v>
      </c>
    </row>
    <row r="60" spans="1:38" x14ac:dyDescent="0.3">
      <c r="A60" t="s">
        <v>32</v>
      </c>
      <c r="B60" s="28">
        <f t="shared" si="0"/>
        <v>41852</v>
      </c>
      <c r="C60">
        <v>2014</v>
      </c>
      <c r="D60" t="s">
        <v>40</v>
      </c>
      <c r="E60" t="str">
        <f t="shared" si="1"/>
        <v>Aug-14</v>
      </c>
      <c r="F60">
        <f>VLOOKUP(D60,'Problem Statement 4'!$G$2:$H$13,2,0)</f>
        <v>8</v>
      </c>
      <c r="G60">
        <v>124.8</v>
      </c>
      <c r="H60">
        <v>127.3</v>
      </c>
      <c r="I60">
        <v>116.5</v>
      </c>
      <c r="J60">
        <v>122.2</v>
      </c>
      <c r="K60">
        <v>103.6</v>
      </c>
      <c r="L60">
        <v>132.69999999999999</v>
      </c>
      <c r="M60">
        <v>181.9</v>
      </c>
      <c r="N60">
        <v>115.2</v>
      </c>
      <c r="O60">
        <v>102.7</v>
      </c>
      <c r="P60">
        <v>122.1</v>
      </c>
      <c r="Q60">
        <v>114.4</v>
      </c>
      <c r="R60">
        <v>124.7</v>
      </c>
      <c r="S60">
        <v>128.9</v>
      </c>
      <c r="T60">
        <v>123</v>
      </c>
      <c r="U60">
        <v>118.6</v>
      </c>
      <c r="V60">
        <v>114.1</v>
      </c>
      <c r="W60">
        <v>117.9</v>
      </c>
      <c r="X60">
        <v>115.5</v>
      </c>
      <c r="Y60">
        <v>111.8</v>
      </c>
      <c r="Z60">
        <v>115.3</v>
      </c>
      <c r="AA60">
        <v>112.2</v>
      </c>
      <c r="AB60">
        <v>112.5</v>
      </c>
      <c r="AC60">
        <v>112.9</v>
      </c>
      <c r="AD60">
        <v>119.2</v>
      </c>
      <c r="AE60">
        <v>110.5</v>
      </c>
      <c r="AF60">
        <v>113.9</v>
      </c>
      <c r="AG60">
        <v>119.9</v>
      </c>
      <c r="AH60">
        <f t="shared" si="2"/>
        <v>1617</v>
      </c>
      <c r="AI60">
        <f t="shared" si="3"/>
        <v>111.8</v>
      </c>
      <c r="AJ60">
        <f t="shared" si="4"/>
        <v>112.5</v>
      </c>
      <c r="AK60">
        <f t="shared" si="5"/>
        <v>119.2</v>
      </c>
      <c r="AL60">
        <f t="shared" si="6"/>
        <v>1153.9000000000001</v>
      </c>
    </row>
    <row r="61" spans="1:38" x14ac:dyDescent="0.3">
      <c r="A61" t="s">
        <v>33</v>
      </c>
      <c r="B61" s="28">
        <f t="shared" si="0"/>
        <v>41852</v>
      </c>
      <c r="C61">
        <v>2014</v>
      </c>
      <c r="D61" t="s">
        <v>40</v>
      </c>
      <c r="E61" t="str">
        <f t="shared" si="1"/>
        <v>Aug-14</v>
      </c>
      <c r="F61">
        <f>VLOOKUP(D61,'Problem Statement 4'!$G$2:$H$13,2,0)</f>
        <v>8</v>
      </c>
      <c r="G61">
        <v>122.7</v>
      </c>
      <c r="H61">
        <v>124.4</v>
      </c>
      <c r="I61">
        <v>117.3</v>
      </c>
      <c r="J61">
        <v>122</v>
      </c>
      <c r="K61">
        <v>108</v>
      </c>
      <c r="L61">
        <v>131.1</v>
      </c>
      <c r="M61">
        <v>168.2</v>
      </c>
      <c r="N61">
        <v>114.5</v>
      </c>
      <c r="O61">
        <v>104.3</v>
      </c>
      <c r="P61">
        <v>117.1</v>
      </c>
      <c r="Q61">
        <v>115.2</v>
      </c>
      <c r="R61">
        <v>123.1</v>
      </c>
      <c r="S61">
        <v>126.6</v>
      </c>
      <c r="T61">
        <v>119.9</v>
      </c>
      <c r="U61">
        <v>120</v>
      </c>
      <c r="V61">
        <v>116.8</v>
      </c>
      <c r="W61">
        <v>119.6</v>
      </c>
      <c r="X61">
        <v>115.5</v>
      </c>
      <c r="Y61">
        <v>114</v>
      </c>
      <c r="Z61">
        <v>115.6</v>
      </c>
      <c r="AA61">
        <v>113.3</v>
      </c>
      <c r="AB61">
        <v>112.8</v>
      </c>
      <c r="AC61">
        <v>112.6</v>
      </c>
      <c r="AD61">
        <v>118</v>
      </c>
      <c r="AE61">
        <v>109.9</v>
      </c>
      <c r="AF61">
        <v>113.7</v>
      </c>
      <c r="AG61">
        <v>120.3</v>
      </c>
      <c r="AH61">
        <f t="shared" si="2"/>
        <v>1594.4999999999998</v>
      </c>
      <c r="AI61">
        <f t="shared" si="3"/>
        <v>114</v>
      </c>
      <c r="AJ61">
        <f t="shared" si="4"/>
        <v>112.8</v>
      </c>
      <c r="AK61">
        <f t="shared" si="5"/>
        <v>118</v>
      </c>
      <c r="AL61">
        <f t="shared" si="6"/>
        <v>1156.9000000000001</v>
      </c>
    </row>
    <row r="62" spans="1:38" x14ac:dyDescent="0.3">
      <c r="A62" t="s">
        <v>30</v>
      </c>
      <c r="B62" s="28">
        <f t="shared" si="0"/>
        <v>41883</v>
      </c>
      <c r="C62">
        <v>2014</v>
      </c>
      <c r="D62" t="s">
        <v>41</v>
      </c>
      <c r="E62" t="str">
        <f t="shared" si="1"/>
        <v>Sep-14</v>
      </c>
      <c r="F62">
        <f>VLOOKUP(D62,'Problem Statement 4'!$G$2:$H$13,2,0)</f>
        <v>9</v>
      </c>
      <c r="G62">
        <v>122.3</v>
      </c>
      <c r="H62">
        <v>122.4</v>
      </c>
      <c r="I62">
        <v>117.8</v>
      </c>
      <c r="J62">
        <v>122.7</v>
      </c>
      <c r="K62">
        <v>110.4</v>
      </c>
      <c r="L62">
        <v>129.80000000000001</v>
      </c>
      <c r="M62">
        <v>158.80000000000001</v>
      </c>
      <c r="N62">
        <v>115</v>
      </c>
      <c r="O62">
        <v>104.7</v>
      </c>
      <c r="P62">
        <v>114.9</v>
      </c>
      <c r="Q62">
        <v>116.5</v>
      </c>
      <c r="R62">
        <v>122.6</v>
      </c>
      <c r="S62">
        <v>125.3</v>
      </c>
      <c r="T62">
        <v>119.5</v>
      </c>
      <c r="U62">
        <v>121.7</v>
      </c>
      <c r="V62">
        <v>119.2</v>
      </c>
      <c r="W62">
        <v>121.3</v>
      </c>
      <c r="X62">
        <v>116.1</v>
      </c>
      <c r="Y62">
        <v>115.8</v>
      </c>
      <c r="Z62">
        <v>116.7</v>
      </c>
      <c r="AA62">
        <v>114.5</v>
      </c>
      <c r="AB62">
        <v>112.8</v>
      </c>
      <c r="AC62">
        <v>112.6</v>
      </c>
      <c r="AD62">
        <v>116.6</v>
      </c>
      <c r="AE62">
        <v>109.1</v>
      </c>
      <c r="AF62">
        <v>113.7</v>
      </c>
      <c r="AG62">
        <v>120.9</v>
      </c>
      <c r="AH62">
        <f t="shared" si="2"/>
        <v>1583.2</v>
      </c>
      <c r="AI62">
        <f t="shared" si="3"/>
        <v>115.8</v>
      </c>
      <c r="AJ62">
        <f t="shared" si="4"/>
        <v>112.8</v>
      </c>
      <c r="AK62">
        <f t="shared" si="5"/>
        <v>116.6</v>
      </c>
      <c r="AL62">
        <f t="shared" si="6"/>
        <v>1164.4000000000001</v>
      </c>
    </row>
    <row r="63" spans="1:38" x14ac:dyDescent="0.3">
      <c r="A63" t="s">
        <v>32</v>
      </c>
      <c r="B63" s="28">
        <f t="shared" si="0"/>
        <v>41883</v>
      </c>
      <c r="C63">
        <v>2014</v>
      </c>
      <c r="D63" t="s">
        <v>41</v>
      </c>
      <c r="E63" t="str">
        <f t="shared" si="1"/>
        <v>Sep-14</v>
      </c>
      <c r="F63">
        <f>VLOOKUP(D63,'Problem Statement 4'!$G$2:$H$13,2,0)</f>
        <v>9</v>
      </c>
      <c r="G63">
        <v>124.2</v>
      </c>
      <c r="H63">
        <v>125.4</v>
      </c>
      <c r="I63">
        <v>116.4</v>
      </c>
      <c r="J63">
        <v>122.7</v>
      </c>
      <c r="K63">
        <v>103.5</v>
      </c>
      <c r="L63">
        <v>124.5</v>
      </c>
      <c r="M63">
        <v>168.6</v>
      </c>
      <c r="N63">
        <v>116.9</v>
      </c>
      <c r="O63">
        <v>101.9</v>
      </c>
      <c r="P63">
        <v>122.9</v>
      </c>
      <c r="Q63">
        <v>114.8</v>
      </c>
      <c r="R63">
        <v>125.2</v>
      </c>
      <c r="S63">
        <v>126.7</v>
      </c>
      <c r="T63">
        <v>124.3</v>
      </c>
      <c r="U63">
        <v>119.2</v>
      </c>
      <c r="V63">
        <v>114.5</v>
      </c>
      <c r="W63">
        <v>118.4</v>
      </c>
      <c r="X63">
        <v>116.1</v>
      </c>
      <c r="Y63">
        <v>111.8</v>
      </c>
      <c r="Z63">
        <v>115.5</v>
      </c>
      <c r="AA63">
        <v>112.3</v>
      </c>
      <c r="AB63">
        <v>111.2</v>
      </c>
      <c r="AC63">
        <v>113.4</v>
      </c>
      <c r="AD63">
        <v>120</v>
      </c>
      <c r="AE63">
        <v>110</v>
      </c>
      <c r="AF63">
        <v>113.6</v>
      </c>
      <c r="AG63">
        <v>119.2</v>
      </c>
      <c r="AH63">
        <f t="shared" si="2"/>
        <v>1593.7000000000003</v>
      </c>
      <c r="AI63">
        <f t="shared" si="3"/>
        <v>111.8</v>
      </c>
      <c r="AJ63">
        <f t="shared" si="4"/>
        <v>111.2</v>
      </c>
      <c r="AK63">
        <f t="shared" si="5"/>
        <v>120</v>
      </c>
      <c r="AL63">
        <f t="shared" si="6"/>
        <v>1157.2999999999997</v>
      </c>
    </row>
    <row r="64" spans="1:38" x14ac:dyDescent="0.3">
      <c r="A64" t="s">
        <v>33</v>
      </c>
      <c r="B64" s="28">
        <f t="shared" si="0"/>
        <v>41883</v>
      </c>
      <c r="C64">
        <v>2014</v>
      </c>
      <c r="D64" t="s">
        <v>41</v>
      </c>
      <c r="E64" t="str">
        <f t="shared" si="1"/>
        <v>Sep-14</v>
      </c>
      <c r="F64">
        <f>VLOOKUP(D64,'Problem Statement 4'!$G$2:$H$13,2,0)</f>
        <v>9</v>
      </c>
      <c r="G64">
        <v>122.9</v>
      </c>
      <c r="H64">
        <v>123.5</v>
      </c>
      <c r="I64">
        <v>117.3</v>
      </c>
      <c r="J64">
        <v>122.7</v>
      </c>
      <c r="K64">
        <v>107.9</v>
      </c>
      <c r="L64">
        <v>127.3</v>
      </c>
      <c r="M64">
        <v>162.1</v>
      </c>
      <c r="N64">
        <v>115.6</v>
      </c>
      <c r="O64">
        <v>103.8</v>
      </c>
      <c r="P64">
        <v>117.6</v>
      </c>
      <c r="Q64">
        <v>115.8</v>
      </c>
      <c r="R64">
        <v>123.8</v>
      </c>
      <c r="S64">
        <v>125.8</v>
      </c>
      <c r="T64">
        <v>120.8</v>
      </c>
      <c r="U64">
        <v>120.7</v>
      </c>
      <c r="V64">
        <v>117.2</v>
      </c>
      <c r="W64">
        <v>120.1</v>
      </c>
      <c r="X64">
        <v>116.1</v>
      </c>
      <c r="Y64">
        <v>114.3</v>
      </c>
      <c r="Z64">
        <v>116.1</v>
      </c>
      <c r="AA64">
        <v>113.7</v>
      </c>
      <c r="AB64">
        <v>112</v>
      </c>
      <c r="AC64">
        <v>113.1</v>
      </c>
      <c r="AD64">
        <v>118.6</v>
      </c>
      <c r="AE64">
        <v>109.5</v>
      </c>
      <c r="AF64">
        <v>113.7</v>
      </c>
      <c r="AG64">
        <v>120.1</v>
      </c>
      <c r="AH64">
        <f t="shared" si="2"/>
        <v>1586.0999999999997</v>
      </c>
      <c r="AI64">
        <f t="shared" si="3"/>
        <v>114.3</v>
      </c>
      <c r="AJ64">
        <f t="shared" si="4"/>
        <v>112</v>
      </c>
      <c r="AK64">
        <f t="shared" si="5"/>
        <v>118.6</v>
      </c>
      <c r="AL64">
        <f t="shared" si="6"/>
        <v>1161.0000000000002</v>
      </c>
    </row>
    <row r="65" spans="1:38" x14ac:dyDescent="0.3">
      <c r="A65" t="s">
        <v>30</v>
      </c>
      <c r="B65" s="28">
        <f t="shared" si="0"/>
        <v>41913</v>
      </c>
      <c r="C65">
        <v>2014</v>
      </c>
      <c r="D65" t="s">
        <v>42</v>
      </c>
      <c r="E65" t="str">
        <f t="shared" si="1"/>
        <v>Oct-14</v>
      </c>
      <c r="F65">
        <f>VLOOKUP(D65,'Problem Statement 4'!$G$2:$H$13,2,0)</f>
        <v>10</v>
      </c>
      <c r="G65">
        <v>122.6</v>
      </c>
      <c r="H65">
        <v>122.5</v>
      </c>
      <c r="I65">
        <v>118.3</v>
      </c>
      <c r="J65">
        <v>123.2</v>
      </c>
      <c r="K65">
        <v>110.5</v>
      </c>
      <c r="L65">
        <v>128.9</v>
      </c>
      <c r="M65">
        <v>155.30000000000001</v>
      </c>
      <c r="N65">
        <v>115.5</v>
      </c>
      <c r="O65">
        <v>104</v>
      </c>
      <c r="P65">
        <v>115.3</v>
      </c>
      <c r="Q65">
        <v>116.8</v>
      </c>
      <c r="R65">
        <v>123.2</v>
      </c>
      <c r="S65">
        <v>125.1</v>
      </c>
      <c r="T65">
        <v>120</v>
      </c>
      <c r="U65">
        <v>122.7</v>
      </c>
      <c r="V65">
        <v>120.3</v>
      </c>
      <c r="W65">
        <v>122.3</v>
      </c>
      <c r="X65">
        <v>116.7</v>
      </c>
      <c r="Y65">
        <v>116.4</v>
      </c>
      <c r="Z65">
        <v>117.5</v>
      </c>
      <c r="AA65">
        <v>115.3</v>
      </c>
      <c r="AB65">
        <v>112.6</v>
      </c>
      <c r="AC65">
        <v>113</v>
      </c>
      <c r="AD65">
        <v>116.9</v>
      </c>
      <c r="AE65">
        <v>109.3</v>
      </c>
      <c r="AF65">
        <v>114</v>
      </c>
      <c r="AG65">
        <v>121</v>
      </c>
      <c r="AH65">
        <f t="shared" si="2"/>
        <v>1581.1999999999998</v>
      </c>
      <c r="AI65">
        <f t="shared" si="3"/>
        <v>116.4</v>
      </c>
      <c r="AJ65">
        <f t="shared" si="4"/>
        <v>112.6</v>
      </c>
      <c r="AK65">
        <f t="shared" si="5"/>
        <v>116.9</v>
      </c>
      <c r="AL65">
        <f t="shared" si="6"/>
        <v>1171.0999999999999</v>
      </c>
    </row>
    <row r="66" spans="1:38" x14ac:dyDescent="0.3">
      <c r="A66" t="s">
        <v>32</v>
      </c>
      <c r="B66" s="28">
        <f t="shared" si="0"/>
        <v>41913</v>
      </c>
      <c r="C66">
        <v>2014</v>
      </c>
      <c r="D66" t="s">
        <v>42</v>
      </c>
      <c r="E66" t="str">
        <f t="shared" si="1"/>
        <v>Oct-14</v>
      </c>
      <c r="F66">
        <f>VLOOKUP(D66,'Problem Statement 4'!$G$2:$H$13,2,0)</f>
        <v>10</v>
      </c>
      <c r="G66">
        <v>124.6</v>
      </c>
      <c r="H66">
        <v>126.1</v>
      </c>
      <c r="I66">
        <v>117.8</v>
      </c>
      <c r="J66">
        <v>123.1</v>
      </c>
      <c r="K66">
        <v>103.5</v>
      </c>
      <c r="L66">
        <v>123.5</v>
      </c>
      <c r="M66">
        <v>159.6</v>
      </c>
      <c r="N66">
        <v>117.4</v>
      </c>
      <c r="O66">
        <v>101.2</v>
      </c>
      <c r="P66">
        <v>123.8</v>
      </c>
      <c r="Q66">
        <v>115.2</v>
      </c>
      <c r="R66">
        <v>125.9</v>
      </c>
      <c r="S66">
        <v>125.8</v>
      </c>
      <c r="T66">
        <v>124.3</v>
      </c>
      <c r="U66">
        <v>119.6</v>
      </c>
      <c r="V66">
        <v>114.9</v>
      </c>
      <c r="W66">
        <v>118.9</v>
      </c>
      <c r="X66">
        <v>116.7</v>
      </c>
      <c r="Y66">
        <v>112</v>
      </c>
      <c r="Z66">
        <v>115.8</v>
      </c>
      <c r="AA66">
        <v>112.6</v>
      </c>
      <c r="AB66">
        <v>111</v>
      </c>
      <c r="AC66">
        <v>113.6</v>
      </c>
      <c r="AD66">
        <v>120.2</v>
      </c>
      <c r="AE66">
        <v>110.1</v>
      </c>
      <c r="AF66">
        <v>113.7</v>
      </c>
      <c r="AG66">
        <v>119.1</v>
      </c>
      <c r="AH66">
        <f t="shared" si="2"/>
        <v>1587.5</v>
      </c>
      <c r="AI66">
        <f t="shared" si="3"/>
        <v>112</v>
      </c>
      <c r="AJ66">
        <f t="shared" si="4"/>
        <v>111</v>
      </c>
      <c r="AK66">
        <f t="shared" si="5"/>
        <v>120.2</v>
      </c>
      <c r="AL66">
        <f t="shared" si="6"/>
        <v>1160.2</v>
      </c>
    </row>
    <row r="67" spans="1:38" x14ac:dyDescent="0.3">
      <c r="A67" t="s">
        <v>33</v>
      </c>
      <c r="B67" s="28">
        <f t="shared" ref="B67:B130" si="7">DATE(C67,F67,1)</f>
        <v>41913</v>
      </c>
      <c r="C67">
        <v>2014</v>
      </c>
      <c r="D67" t="s">
        <v>42</v>
      </c>
      <c r="E67" t="str">
        <f t="shared" ref="E67:E130" si="8">_xlfn.CONCAT(TEXT(B67,"mmm"),,"-",RIGHT(C67,2))</f>
        <v>Oct-14</v>
      </c>
      <c r="F67">
        <f>VLOOKUP(D67,'Problem Statement 4'!$G$2:$H$13,2,0)</f>
        <v>10</v>
      </c>
      <c r="G67">
        <v>123.2</v>
      </c>
      <c r="H67">
        <v>123.8</v>
      </c>
      <c r="I67">
        <v>118.1</v>
      </c>
      <c r="J67">
        <v>123.2</v>
      </c>
      <c r="K67">
        <v>107.9</v>
      </c>
      <c r="L67">
        <v>126.4</v>
      </c>
      <c r="M67">
        <v>156.80000000000001</v>
      </c>
      <c r="N67">
        <v>116.1</v>
      </c>
      <c r="O67">
        <v>103.1</v>
      </c>
      <c r="P67">
        <v>118.1</v>
      </c>
      <c r="Q67">
        <v>116.1</v>
      </c>
      <c r="R67">
        <v>124.5</v>
      </c>
      <c r="S67">
        <v>125.4</v>
      </c>
      <c r="T67">
        <v>121.1</v>
      </c>
      <c r="U67">
        <v>121.5</v>
      </c>
      <c r="V67">
        <v>118.1</v>
      </c>
      <c r="W67">
        <v>121</v>
      </c>
      <c r="X67">
        <v>116.7</v>
      </c>
      <c r="Y67">
        <v>114.7</v>
      </c>
      <c r="Z67">
        <v>116.7</v>
      </c>
      <c r="AA67">
        <v>114.3</v>
      </c>
      <c r="AB67">
        <v>111.8</v>
      </c>
      <c r="AC67">
        <v>113.3</v>
      </c>
      <c r="AD67">
        <v>118.8</v>
      </c>
      <c r="AE67">
        <v>109.6</v>
      </c>
      <c r="AF67">
        <v>113.9</v>
      </c>
      <c r="AG67">
        <v>120.1</v>
      </c>
      <c r="AH67">
        <f t="shared" ref="AH67:AH130" si="9">SUM(G67:S67)</f>
        <v>1582.7</v>
      </c>
      <c r="AI67">
        <f t="shared" ref="AI67:AI130" si="10">SUM(Y67)</f>
        <v>114.7</v>
      </c>
      <c r="AJ67">
        <f t="shared" ref="AJ67:AJ130" si="11">SUM(AB67)</f>
        <v>111.8</v>
      </c>
      <c r="AK67">
        <f t="shared" ref="AK67:AK130" si="12">SUM(AD67)</f>
        <v>118.8</v>
      </c>
      <c r="AL67">
        <f t="shared" ref="AL67:AL130" si="13">SUM(T67:X67,Z67:AA67,AC67,AE67:AF67)</f>
        <v>1166.2</v>
      </c>
    </row>
    <row r="68" spans="1:38" x14ac:dyDescent="0.3">
      <c r="A68" t="s">
        <v>30</v>
      </c>
      <c r="B68" s="28">
        <f t="shared" si="7"/>
        <v>41944</v>
      </c>
      <c r="C68">
        <v>2014</v>
      </c>
      <c r="D68" t="s">
        <v>44</v>
      </c>
      <c r="E68" t="str">
        <f t="shared" si="8"/>
        <v>Nov-14</v>
      </c>
      <c r="F68">
        <f>VLOOKUP(D68,'Problem Statement 4'!$G$2:$H$13,2,0)</f>
        <v>11</v>
      </c>
      <c r="G68">
        <v>122.7</v>
      </c>
      <c r="H68">
        <v>122.6</v>
      </c>
      <c r="I68">
        <v>119.9</v>
      </c>
      <c r="J68">
        <v>124</v>
      </c>
      <c r="K68">
        <v>110.5</v>
      </c>
      <c r="L68">
        <v>128.80000000000001</v>
      </c>
      <c r="M68">
        <v>152</v>
      </c>
      <c r="N68">
        <v>116.2</v>
      </c>
      <c r="O68">
        <v>103.3</v>
      </c>
      <c r="P68">
        <v>115.8</v>
      </c>
      <c r="Q68">
        <v>116.8</v>
      </c>
      <c r="R68">
        <v>124.5</v>
      </c>
      <c r="S68">
        <v>124.9</v>
      </c>
      <c r="T68">
        <v>120.8</v>
      </c>
      <c r="U68">
        <v>123.3</v>
      </c>
      <c r="V68">
        <v>120.5</v>
      </c>
      <c r="W68">
        <v>122.9</v>
      </c>
      <c r="X68">
        <v>117.1</v>
      </c>
      <c r="Y68">
        <v>117.3</v>
      </c>
      <c r="Z68">
        <v>118.1</v>
      </c>
      <c r="AA68">
        <v>115.9</v>
      </c>
      <c r="AB68">
        <v>112</v>
      </c>
      <c r="AC68">
        <v>113.3</v>
      </c>
      <c r="AD68">
        <v>117.2</v>
      </c>
      <c r="AE68">
        <v>108.8</v>
      </c>
      <c r="AF68">
        <v>114.1</v>
      </c>
      <c r="AG68">
        <v>121.1</v>
      </c>
      <c r="AH68">
        <f t="shared" si="9"/>
        <v>1582</v>
      </c>
      <c r="AI68">
        <f t="shared" si="10"/>
        <v>117.3</v>
      </c>
      <c r="AJ68">
        <f t="shared" si="11"/>
        <v>112</v>
      </c>
      <c r="AK68">
        <f t="shared" si="12"/>
        <v>117.2</v>
      </c>
      <c r="AL68">
        <f t="shared" si="13"/>
        <v>1174.8</v>
      </c>
    </row>
    <row r="69" spans="1:38" x14ac:dyDescent="0.3">
      <c r="A69" t="s">
        <v>32</v>
      </c>
      <c r="B69" s="28">
        <f t="shared" si="7"/>
        <v>41944</v>
      </c>
      <c r="C69">
        <v>2014</v>
      </c>
      <c r="D69" t="s">
        <v>44</v>
      </c>
      <c r="E69" t="str">
        <f t="shared" si="8"/>
        <v>Nov-14</v>
      </c>
      <c r="F69">
        <f>VLOOKUP(D69,'Problem Statement 4'!$G$2:$H$13,2,0)</f>
        <v>11</v>
      </c>
      <c r="G69">
        <v>124.5</v>
      </c>
      <c r="H69">
        <v>125.6</v>
      </c>
      <c r="I69">
        <v>122.7</v>
      </c>
      <c r="J69">
        <v>124.6</v>
      </c>
      <c r="K69">
        <v>103.2</v>
      </c>
      <c r="L69">
        <v>122.2</v>
      </c>
      <c r="M69">
        <v>153.19999999999999</v>
      </c>
      <c r="N69">
        <v>119.3</v>
      </c>
      <c r="O69">
        <v>99.8</v>
      </c>
      <c r="P69">
        <v>124.6</v>
      </c>
      <c r="Q69">
        <v>115.8</v>
      </c>
      <c r="R69">
        <v>126.9</v>
      </c>
      <c r="S69">
        <v>125.4</v>
      </c>
      <c r="T69">
        <v>125.8</v>
      </c>
      <c r="U69">
        <v>120.3</v>
      </c>
      <c r="V69">
        <v>115.4</v>
      </c>
      <c r="W69">
        <v>119.5</v>
      </c>
      <c r="X69">
        <v>117.1</v>
      </c>
      <c r="Y69">
        <v>112.6</v>
      </c>
      <c r="Z69">
        <v>116.4</v>
      </c>
      <c r="AA69">
        <v>113</v>
      </c>
      <c r="AB69">
        <v>109.7</v>
      </c>
      <c r="AC69">
        <v>114</v>
      </c>
      <c r="AD69">
        <v>120.3</v>
      </c>
      <c r="AE69">
        <v>109.6</v>
      </c>
      <c r="AF69">
        <v>113.4</v>
      </c>
      <c r="AG69">
        <v>119</v>
      </c>
      <c r="AH69">
        <f t="shared" si="9"/>
        <v>1587.8</v>
      </c>
      <c r="AI69">
        <f t="shared" si="10"/>
        <v>112.6</v>
      </c>
      <c r="AJ69">
        <f t="shared" si="11"/>
        <v>109.7</v>
      </c>
      <c r="AK69">
        <f t="shared" si="12"/>
        <v>120.3</v>
      </c>
      <c r="AL69">
        <f t="shared" si="13"/>
        <v>1164.5</v>
      </c>
    </row>
    <row r="70" spans="1:38" x14ac:dyDescent="0.3">
      <c r="A70" t="s">
        <v>33</v>
      </c>
      <c r="B70" s="28">
        <f t="shared" si="7"/>
        <v>41944</v>
      </c>
      <c r="C70">
        <v>2014</v>
      </c>
      <c r="D70" t="s">
        <v>44</v>
      </c>
      <c r="E70" t="str">
        <f t="shared" si="8"/>
        <v>Nov-14</v>
      </c>
      <c r="F70">
        <f>VLOOKUP(D70,'Problem Statement 4'!$G$2:$H$13,2,0)</f>
        <v>11</v>
      </c>
      <c r="G70">
        <v>123.3</v>
      </c>
      <c r="H70">
        <v>123.7</v>
      </c>
      <c r="I70">
        <v>121</v>
      </c>
      <c r="J70">
        <v>124.2</v>
      </c>
      <c r="K70">
        <v>107.8</v>
      </c>
      <c r="L70">
        <v>125.7</v>
      </c>
      <c r="M70">
        <v>152.4</v>
      </c>
      <c r="N70">
        <v>117.2</v>
      </c>
      <c r="O70">
        <v>102.1</v>
      </c>
      <c r="P70">
        <v>118.7</v>
      </c>
      <c r="Q70">
        <v>116.4</v>
      </c>
      <c r="R70">
        <v>125.6</v>
      </c>
      <c r="S70">
        <v>125.1</v>
      </c>
      <c r="T70">
        <v>122.1</v>
      </c>
      <c r="U70">
        <v>122.1</v>
      </c>
      <c r="V70">
        <v>118.4</v>
      </c>
      <c r="W70">
        <v>121.6</v>
      </c>
      <c r="X70">
        <v>117.1</v>
      </c>
      <c r="Y70">
        <v>115.5</v>
      </c>
      <c r="Z70">
        <v>117.3</v>
      </c>
      <c r="AA70">
        <v>114.8</v>
      </c>
      <c r="AB70">
        <v>110.8</v>
      </c>
      <c r="AC70">
        <v>113.7</v>
      </c>
      <c r="AD70">
        <v>119</v>
      </c>
      <c r="AE70">
        <v>109.1</v>
      </c>
      <c r="AF70">
        <v>113.8</v>
      </c>
      <c r="AG70">
        <v>120.1</v>
      </c>
      <c r="AH70">
        <f t="shared" si="9"/>
        <v>1583.2</v>
      </c>
      <c r="AI70">
        <f t="shared" si="10"/>
        <v>115.5</v>
      </c>
      <c r="AJ70">
        <f t="shared" si="11"/>
        <v>110.8</v>
      </c>
      <c r="AK70">
        <f t="shared" si="12"/>
        <v>119</v>
      </c>
      <c r="AL70">
        <f t="shared" si="13"/>
        <v>1170</v>
      </c>
    </row>
    <row r="71" spans="1:38" x14ac:dyDescent="0.3">
      <c r="A71" t="s">
        <v>30</v>
      </c>
      <c r="B71" s="28">
        <f t="shared" si="7"/>
        <v>41974</v>
      </c>
      <c r="C71">
        <v>2014</v>
      </c>
      <c r="D71" t="s">
        <v>45</v>
      </c>
      <c r="E71" t="str">
        <f t="shared" si="8"/>
        <v>Dec-14</v>
      </c>
      <c r="F71">
        <f>VLOOKUP(D71,'Problem Statement 4'!$G$2:$H$13,2,0)</f>
        <v>12</v>
      </c>
      <c r="G71">
        <v>122.4</v>
      </c>
      <c r="H71">
        <v>122.4</v>
      </c>
      <c r="I71">
        <v>121.8</v>
      </c>
      <c r="J71">
        <v>124.2</v>
      </c>
      <c r="K71">
        <v>110.2</v>
      </c>
      <c r="L71">
        <v>128.6</v>
      </c>
      <c r="M71">
        <v>140.30000000000001</v>
      </c>
      <c r="N71">
        <v>116.3</v>
      </c>
      <c r="O71">
        <v>102</v>
      </c>
      <c r="P71">
        <v>116</v>
      </c>
      <c r="Q71">
        <v>117.3</v>
      </c>
      <c r="R71">
        <v>124.8</v>
      </c>
      <c r="S71">
        <v>123.3</v>
      </c>
      <c r="T71">
        <v>121.7</v>
      </c>
      <c r="U71">
        <v>123.8</v>
      </c>
      <c r="V71">
        <v>120.6</v>
      </c>
      <c r="W71">
        <v>123.3</v>
      </c>
      <c r="X71">
        <v>116.5</v>
      </c>
      <c r="Y71">
        <v>117.4</v>
      </c>
      <c r="Z71">
        <v>118.2</v>
      </c>
      <c r="AA71">
        <v>116.2</v>
      </c>
      <c r="AB71">
        <v>111.5</v>
      </c>
      <c r="AC71">
        <v>113.3</v>
      </c>
      <c r="AD71">
        <v>117.7</v>
      </c>
      <c r="AE71">
        <v>109.4</v>
      </c>
      <c r="AF71">
        <v>114.2</v>
      </c>
      <c r="AG71">
        <v>120.3</v>
      </c>
      <c r="AH71">
        <f t="shared" si="9"/>
        <v>1569.6</v>
      </c>
      <c r="AI71">
        <f t="shared" si="10"/>
        <v>117.4</v>
      </c>
      <c r="AJ71">
        <f t="shared" si="11"/>
        <v>111.5</v>
      </c>
      <c r="AK71">
        <f t="shared" si="12"/>
        <v>117.7</v>
      </c>
      <c r="AL71">
        <f t="shared" si="13"/>
        <v>1177.2000000000003</v>
      </c>
    </row>
    <row r="72" spans="1:38" x14ac:dyDescent="0.3">
      <c r="A72" t="s">
        <v>32</v>
      </c>
      <c r="B72" s="28">
        <f t="shared" si="7"/>
        <v>41974</v>
      </c>
      <c r="C72">
        <v>2014</v>
      </c>
      <c r="D72" t="s">
        <v>45</v>
      </c>
      <c r="E72" t="str">
        <f t="shared" si="8"/>
        <v>Dec-14</v>
      </c>
      <c r="F72">
        <f>VLOOKUP(D72,'Problem Statement 4'!$G$2:$H$13,2,0)</f>
        <v>12</v>
      </c>
      <c r="G72">
        <v>124</v>
      </c>
      <c r="H72">
        <v>124.7</v>
      </c>
      <c r="I72">
        <v>126.3</v>
      </c>
      <c r="J72">
        <v>124.9</v>
      </c>
      <c r="K72">
        <v>103</v>
      </c>
      <c r="L72">
        <v>122.3</v>
      </c>
      <c r="M72">
        <v>141</v>
      </c>
      <c r="N72">
        <v>120.1</v>
      </c>
      <c r="O72">
        <v>97.8</v>
      </c>
      <c r="P72">
        <v>125.4</v>
      </c>
      <c r="Q72">
        <v>116.1</v>
      </c>
      <c r="R72">
        <v>127.6</v>
      </c>
      <c r="S72">
        <v>124</v>
      </c>
      <c r="T72">
        <v>126.4</v>
      </c>
      <c r="U72">
        <v>120.7</v>
      </c>
      <c r="V72">
        <v>115.8</v>
      </c>
      <c r="W72">
        <v>120</v>
      </c>
      <c r="X72">
        <v>116.5</v>
      </c>
      <c r="Y72">
        <v>113</v>
      </c>
      <c r="Z72">
        <v>116.8</v>
      </c>
      <c r="AA72">
        <v>113.2</v>
      </c>
      <c r="AB72">
        <v>108.8</v>
      </c>
      <c r="AC72">
        <v>114.3</v>
      </c>
      <c r="AD72">
        <v>120.7</v>
      </c>
      <c r="AE72">
        <v>110.4</v>
      </c>
      <c r="AF72">
        <v>113.4</v>
      </c>
      <c r="AG72">
        <v>118.4</v>
      </c>
      <c r="AH72">
        <f t="shared" si="9"/>
        <v>1577.1999999999998</v>
      </c>
      <c r="AI72">
        <f t="shared" si="10"/>
        <v>113</v>
      </c>
      <c r="AJ72">
        <f t="shared" si="11"/>
        <v>108.8</v>
      </c>
      <c r="AK72">
        <f t="shared" si="12"/>
        <v>120.7</v>
      </c>
      <c r="AL72">
        <f t="shared" si="13"/>
        <v>1167.5000000000002</v>
      </c>
    </row>
    <row r="73" spans="1:38" x14ac:dyDescent="0.3">
      <c r="A73" t="s">
        <v>33</v>
      </c>
      <c r="B73" s="28">
        <f t="shared" si="7"/>
        <v>41974</v>
      </c>
      <c r="C73">
        <v>2014</v>
      </c>
      <c r="D73" t="s">
        <v>45</v>
      </c>
      <c r="E73" t="str">
        <f t="shared" si="8"/>
        <v>Dec-14</v>
      </c>
      <c r="F73">
        <f>VLOOKUP(D73,'Problem Statement 4'!$G$2:$H$13,2,0)</f>
        <v>12</v>
      </c>
      <c r="G73">
        <v>122.9</v>
      </c>
      <c r="H73">
        <v>123.2</v>
      </c>
      <c r="I73">
        <v>123.5</v>
      </c>
      <c r="J73">
        <v>124.5</v>
      </c>
      <c r="K73">
        <v>107.6</v>
      </c>
      <c r="L73">
        <v>125.7</v>
      </c>
      <c r="M73">
        <v>140.5</v>
      </c>
      <c r="N73">
        <v>117.6</v>
      </c>
      <c r="O73">
        <v>100.6</v>
      </c>
      <c r="P73">
        <v>119.1</v>
      </c>
      <c r="Q73">
        <v>116.8</v>
      </c>
      <c r="R73">
        <v>126.1</v>
      </c>
      <c r="S73">
        <v>123.6</v>
      </c>
      <c r="T73">
        <v>123</v>
      </c>
      <c r="U73">
        <v>122.6</v>
      </c>
      <c r="V73">
        <v>118.6</v>
      </c>
      <c r="W73">
        <v>122</v>
      </c>
      <c r="X73">
        <v>116.5</v>
      </c>
      <c r="Y73">
        <v>115.7</v>
      </c>
      <c r="Z73">
        <v>117.5</v>
      </c>
      <c r="AA73">
        <v>115.1</v>
      </c>
      <c r="AB73">
        <v>110.1</v>
      </c>
      <c r="AC73">
        <v>113.9</v>
      </c>
      <c r="AD73">
        <v>119.5</v>
      </c>
      <c r="AE73">
        <v>109.8</v>
      </c>
      <c r="AF73">
        <v>113.8</v>
      </c>
      <c r="AG73">
        <v>119.4</v>
      </c>
      <c r="AH73">
        <f t="shared" si="9"/>
        <v>1571.6999999999998</v>
      </c>
      <c r="AI73">
        <f t="shared" si="10"/>
        <v>115.7</v>
      </c>
      <c r="AJ73">
        <f t="shared" si="11"/>
        <v>110.1</v>
      </c>
      <c r="AK73">
        <f t="shared" si="12"/>
        <v>119.5</v>
      </c>
      <c r="AL73">
        <f t="shared" si="13"/>
        <v>1172.8</v>
      </c>
    </row>
    <row r="74" spans="1:38" x14ac:dyDescent="0.3">
      <c r="A74" t="s">
        <v>30</v>
      </c>
      <c r="B74" s="28">
        <f t="shared" si="7"/>
        <v>42005</v>
      </c>
      <c r="C74">
        <v>2015</v>
      </c>
      <c r="D74" t="s">
        <v>31</v>
      </c>
      <c r="E74" t="str">
        <f t="shared" si="8"/>
        <v>Jan-15</v>
      </c>
      <c r="F74">
        <f>VLOOKUP(D74,'Problem Statement 4'!$G$2:$H$13,2,0)</f>
        <v>1</v>
      </c>
      <c r="G74">
        <v>123.1</v>
      </c>
      <c r="H74">
        <v>123.1</v>
      </c>
      <c r="I74">
        <v>122.1</v>
      </c>
      <c r="J74">
        <v>124.9</v>
      </c>
      <c r="K74">
        <v>111</v>
      </c>
      <c r="L74">
        <v>130.4</v>
      </c>
      <c r="M74">
        <v>132.30000000000001</v>
      </c>
      <c r="N74">
        <v>117.2</v>
      </c>
      <c r="O74">
        <v>100.5</v>
      </c>
      <c r="P74">
        <v>117.2</v>
      </c>
      <c r="Q74">
        <v>117.9</v>
      </c>
      <c r="R74">
        <v>125.6</v>
      </c>
      <c r="S74">
        <v>122.8</v>
      </c>
      <c r="T74">
        <v>122.7</v>
      </c>
      <c r="U74">
        <v>124.4</v>
      </c>
      <c r="V74">
        <v>121.6</v>
      </c>
      <c r="W74">
        <v>124</v>
      </c>
      <c r="X74">
        <v>117.3</v>
      </c>
      <c r="Y74">
        <v>118.4</v>
      </c>
      <c r="Z74">
        <v>118.9</v>
      </c>
      <c r="AA74">
        <v>116.6</v>
      </c>
      <c r="AB74">
        <v>111</v>
      </c>
      <c r="AC74">
        <v>114</v>
      </c>
      <c r="AD74">
        <v>118.2</v>
      </c>
      <c r="AE74">
        <v>110.2</v>
      </c>
      <c r="AF74">
        <v>114.5</v>
      </c>
      <c r="AG74">
        <v>120.3</v>
      </c>
      <c r="AH74">
        <f t="shared" si="9"/>
        <v>1568.1</v>
      </c>
      <c r="AI74">
        <f t="shared" si="10"/>
        <v>118.4</v>
      </c>
      <c r="AJ74">
        <f t="shared" si="11"/>
        <v>111</v>
      </c>
      <c r="AK74">
        <f t="shared" si="12"/>
        <v>118.2</v>
      </c>
      <c r="AL74">
        <f t="shared" si="13"/>
        <v>1184.2</v>
      </c>
    </row>
    <row r="75" spans="1:38" x14ac:dyDescent="0.3">
      <c r="A75" t="s">
        <v>32</v>
      </c>
      <c r="B75" s="28">
        <f t="shared" si="7"/>
        <v>42005</v>
      </c>
      <c r="C75">
        <v>2015</v>
      </c>
      <c r="D75" t="s">
        <v>31</v>
      </c>
      <c r="E75" t="str">
        <f t="shared" si="8"/>
        <v>Jan-15</v>
      </c>
      <c r="F75">
        <f>VLOOKUP(D75,'Problem Statement 4'!$G$2:$H$13,2,0)</f>
        <v>1</v>
      </c>
      <c r="G75">
        <v>124</v>
      </c>
      <c r="H75">
        <v>125.5</v>
      </c>
      <c r="I75">
        <v>126.6</v>
      </c>
      <c r="J75">
        <v>125.2</v>
      </c>
      <c r="K75">
        <v>104.3</v>
      </c>
      <c r="L75">
        <v>121.3</v>
      </c>
      <c r="M75">
        <v>134.4</v>
      </c>
      <c r="N75">
        <v>122.9</v>
      </c>
      <c r="O75">
        <v>96.1</v>
      </c>
      <c r="P75">
        <v>126.6</v>
      </c>
      <c r="Q75">
        <v>116.5</v>
      </c>
      <c r="R75">
        <v>128</v>
      </c>
      <c r="S75">
        <v>123.5</v>
      </c>
      <c r="T75">
        <v>127.4</v>
      </c>
      <c r="U75">
        <v>121</v>
      </c>
      <c r="V75">
        <v>116.1</v>
      </c>
      <c r="W75">
        <v>120.2</v>
      </c>
      <c r="X75">
        <v>117.3</v>
      </c>
      <c r="Y75">
        <v>113.4</v>
      </c>
      <c r="Z75">
        <v>117.2</v>
      </c>
      <c r="AA75">
        <v>113.7</v>
      </c>
      <c r="AB75">
        <v>107.9</v>
      </c>
      <c r="AC75">
        <v>114.6</v>
      </c>
      <c r="AD75">
        <v>120.8</v>
      </c>
      <c r="AE75">
        <v>111.4</v>
      </c>
      <c r="AF75">
        <v>113.4</v>
      </c>
      <c r="AG75">
        <v>118.5</v>
      </c>
      <c r="AH75">
        <f t="shared" si="9"/>
        <v>1574.8999999999999</v>
      </c>
      <c r="AI75">
        <f t="shared" si="10"/>
        <v>113.4</v>
      </c>
      <c r="AJ75">
        <f t="shared" si="11"/>
        <v>107.9</v>
      </c>
      <c r="AK75">
        <f t="shared" si="12"/>
        <v>120.8</v>
      </c>
      <c r="AL75">
        <f t="shared" si="13"/>
        <v>1172.3000000000002</v>
      </c>
    </row>
    <row r="76" spans="1:38" x14ac:dyDescent="0.3">
      <c r="A76" t="s">
        <v>33</v>
      </c>
      <c r="B76" s="28">
        <f t="shared" si="7"/>
        <v>42005</v>
      </c>
      <c r="C76">
        <v>2015</v>
      </c>
      <c r="D76" t="s">
        <v>31</v>
      </c>
      <c r="E76" t="str">
        <f t="shared" si="8"/>
        <v>Jan-15</v>
      </c>
      <c r="F76">
        <f>VLOOKUP(D76,'Problem Statement 4'!$G$2:$H$13,2,0)</f>
        <v>1</v>
      </c>
      <c r="G76">
        <v>123.4</v>
      </c>
      <c r="H76">
        <v>123.9</v>
      </c>
      <c r="I76">
        <v>123.8</v>
      </c>
      <c r="J76">
        <v>125</v>
      </c>
      <c r="K76">
        <v>108.5</v>
      </c>
      <c r="L76">
        <v>126.2</v>
      </c>
      <c r="M76">
        <v>133</v>
      </c>
      <c r="N76">
        <v>119.1</v>
      </c>
      <c r="O76">
        <v>99</v>
      </c>
      <c r="P76">
        <v>120.3</v>
      </c>
      <c r="Q76">
        <v>117.3</v>
      </c>
      <c r="R76">
        <v>126.7</v>
      </c>
      <c r="S76">
        <v>123.1</v>
      </c>
      <c r="T76">
        <v>124</v>
      </c>
      <c r="U76">
        <v>123.1</v>
      </c>
      <c r="V76">
        <v>119.3</v>
      </c>
      <c r="W76">
        <v>122.5</v>
      </c>
      <c r="X76">
        <v>117.3</v>
      </c>
      <c r="Y76">
        <v>116.5</v>
      </c>
      <c r="Z76">
        <v>118.1</v>
      </c>
      <c r="AA76">
        <v>115.5</v>
      </c>
      <c r="AB76">
        <v>109.4</v>
      </c>
      <c r="AC76">
        <v>114.3</v>
      </c>
      <c r="AD76">
        <v>119.7</v>
      </c>
      <c r="AE76">
        <v>110.7</v>
      </c>
      <c r="AF76">
        <v>114</v>
      </c>
      <c r="AG76">
        <v>119.5</v>
      </c>
      <c r="AH76">
        <f t="shared" si="9"/>
        <v>1569.3</v>
      </c>
      <c r="AI76">
        <f t="shared" si="10"/>
        <v>116.5</v>
      </c>
      <c r="AJ76">
        <f t="shared" si="11"/>
        <v>109.4</v>
      </c>
      <c r="AK76">
        <f t="shared" si="12"/>
        <v>119.7</v>
      </c>
      <c r="AL76">
        <f t="shared" si="13"/>
        <v>1178.8</v>
      </c>
    </row>
    <row r="77" spans="1:38" x14ac:dyDescent="0.3">
      <c r="A77" t="s">
        <v>30</v>
      </c>
      <c r="B77" s="28">
        <f t="shared" si="7"/>
        <v>42036</v>
      </c>
      <c r="C77">
        <v>2015</v>
      </c>
      <c r="D77" t="s">
        <v>34</v>
      </c>
      <c r="E77" t="str">
        <f t="shared" si="8"/>
        <v>Feb-15</v>
      </c>
      <c r="F77">
        <f>VLOOKUP(D77,'Problem Statement 4'!$G$2:$H$13,2,0)</f>
        <v>2</v>
      </c>
      <c r="G77">
        <v>123.4</v>
      </c>
      <c r="H77">
        <v>124.4</v>
      </c>
      <c r="I77">
        <v>122.1</v>
      </c>
      <c r="J77">
        <v>125.8</v>
      </c>
      <c r="K77">
        <v>111.5</v>
      </c>
      <c r="L77">
        <v>129.4</v>
      </c>
      <c r="M77">
        <v>128.19999999999999</v>
      </c>
      <c r="N77">
        <v>118.8</v>
      </c>
      <c r="O77">
        <v>100</v>
      </c>
      <c r="P77">
        <v>118.6</v>
      </c>
      <c r="Q77">
        <v>118.8</v>
      </c>
      <c r="R77">
        <v>126.8</v>
      </c>
      <c r="S77">
        <v>122.8</v>
      </c>
      <c r="T77">
        <v>124.2</v>
      </c>
      <c r="U77">
        <v>125.4</v>
      </c>
      <c r="V77">
        <v>122.7</v>
      </c>
      <c r="W77">
        <v>125</v>
      </c>
      <c r="X77">
        <v>118.1</v>
      </c>
      <c r="Y77">
        <v>120</v>
      </c>
      <c r="Z77">
        <v>119.6</v>
      </c>
      <c r="AA77">
        <v>117.7</v>
      </c>
      <c r="AB77">
        <v>110.9</v>
      </c>
      <c r="AC77">
        <v>114.8</v>
      </c>
      <c r="AD77">
        <v>118.7</v>
      </c>
      <c r="AE77">
        <v>110.8</v>
      </c>
      <c r="AF77">
        <v>115</v>
      </c>
      <c r="AG77">
        <v>120.6</v>
      </c>
      <c r="AH77">
        <f t="shared" si="9"/>
        <v>1570.5999999999997</v>
      </c>
      <c r="AI77">
        <f t="shared" si="10"/>
        <v>120</v>
      </c>
      <c r="AJ77">
        <f t="shared" si="11"/>
        <v>110.9</v>
      </c>
      <c r="AK77">
        <f t="shared" si="12"/>
        <v>118.7</v>
      </c>
      <c r="AL77">
        <f t="shared" si="13"/>
        <v>1193.3</v>
      </c>
    </row>
    <row r="78" spans="1:38" x14ac:dyDescent="0.3">
      <c r="A78" t="s">
        <v>32</v>
      </c>
      <c r="B78" s="28">
        <f t="shared" si="7"/>
        <v>42036</v>
      </c>
      <c r="C78">
        <v>2015</v>
      </c>
      <c r="D78" t="s">
        <v>34</v>
      </c>
      <c r="E78" t="str">
        <f t="shared" si="8"/>
        <v>Feb-15</v>
      </c>
      <c r="F78">
        <f>VLOOKUP(D78,'Problem Statement 4'!$G$2:$H$13,2,0)</f>
        <v>2</v>
      </c>
      <c r="G78">
        <v>124.3</v>
      </c>
      <c r="H78">
        <v>126.5</v>
      </c>
      <c r="I78">
        <v>119.5</v>
      </c>
      <c r="J78">
        <v>125.6</v>
      </c>
      <c r="K78">
        <v>104.9</v>
      </c>
      <c r="L78">
        <v>121.6</v>
      </c>
      <c r="M78">
        <v>131.80000000000001</v>
      </c>
      <c r="N78">
        <v>125.1</v>
      </c>
      <c r="O78">
        <v>95</v>
      </c>
      <c r="P78">
        <v>127.7</v>
      </c>
      <c r="Q78">
        <v>116.8</v>
      </c>
      <c r="R78">
        <v>128.6</v>
      </c>
      <c r="S78">
        <v>123.7</v>
      </c>
      <c r="T78">
        <v>128.1</v>
      </c>
      <c r="U78">
        <v>121.3</v>
      </c>
      <c r="V78">
        <v>116.5</v>
      </c>
      <c r="W78">
        <v>120.6</v>
      </c>
      <c r="X78">
        <v>118.1</v>
      </c>
      <c r="Y78">
        <v>114</v>
      </c>
      <c r="Z78">
        <v>117.7</v>
      </c>
      <c r="AA78">
        <v>114.1</v>
      </c>
      <c r="AB78">
        <v>106.8</v>
      </c>
      <c r="AC78">
        <v>114.9</v>
      </c>
      <c r="AD78">
        <v>120.4</v>
      </c>
      <c r="AE78">
        <v>111.7</v>
      </c>
      <c r="AF78">
        <v>113.2</v>
      </c>
      <c r="AG78">
        <v>118.7</v>
      </c>
      <c r="AH78">
        <f t="shared" si="9"/>
        <v>1571.1000000000001</v>
      </c>
      <c r="AI78">
        <f t="shared" si="10"/>
        <v>114</v>
      </c>
      <c r="AJ78">
        <f t="shared" si="11"/>
        <v>106.8</v>
      </c>
      <c r="AK78">
        <f t="shared" si="12"/>
        <v>120.4</v>
      </c>
      <c r="AL78">
        <f t="shared" si="13"/>
        <v>1176.2</v>
      </c>
    </row>
    <row r="79" spans="1:38" x14ac:dyDescent="0.3">
      <c r="A79" t="s">
        <v>33</v>
      </c>
      <c r="B79" s="28">
        <f t="shared" si="7"/>
        <v>42036</v>
      </c>
      <c r="C79">
        <v>2015</v>
      </c>
      <c r="D79" t="s">
        <v>34</v>
      </c>
      <c r="E79" t="str">
        <f t="shared" si="8"/>
        <v>Feb-15</v>
      </c>
      <c r="F79">
        <f>VLOOKUP(D79,'Problem Statement 4'!$G$2:$H$13,2,0)</f>
        <v>2</v>
      </c>
      <c r="G79">
        <v>123.7</v>
      </c>
      <c r="H79">
        <v>125.1</v>
      </c>
      <c r="I79">
        <v>121.1</v>
      </c>
      <c r="J79">
        <v>125.7</v>
      </c>
      <c r="K79">
        <v>109.1</v>
      </c>
      <c r="L79">
        <v>125.8</v>
      </c>
      <c r="M79">
        <v>129.4</v>
      </c>
      <c r="N79">
        <v>120.9</v>
      </c>
      <c r="O79">
        <v>98.3</v>
      </c>
      <c r="P79">
        <v>121.6</v>
      </c>
      <c r="Q79">
        <v>118</v>
      </c>
      <c r="R79">
        <v>127.6</v>
      </c>
      <c r="S79">
        <v>123.1</v>
      </c>
      <c r="T79">
        <v>125.2</v>
      </c>
      <c r="U79">
        <v>123.8</v>
      </c>
      <c r="V79">
        <v>120.1</v>
      </c>
      <c r="W79">
        <v>123.3</v>
      </c>
      <c r="X79">
        <v>118.1</v>
      </c>
      <c r="Y79">
        <v>117.7</v>
      </c>
      <c r="Z79">
        <v>118.7</v>
      </c>
      <c r="AA79">
        <v>116.3</v>
      </c>
      <c r="AB79">
        <v>108.7</v>
      </c>
      <c r="AC79">
        <v>114.9</v>
      </c>
      <c r="AD79">
        <v>119.7</v>
      </c>
      <c r="AE79">
        <v>111.2</v>
      </c>
      <c r="AF79">
        <v>114.1</v>
      </c>
      <c r="AG79">
        <v>119.7</v>
      </c>
      <c r="AH79">
        <f t="shared" si="9"/>
        <v>1569.3999999999996</v>
      </c>
      <c r="AI79">
        <f t="shared" si="10"/>
        <v>117.7</v>
      </c>
      <c r="AJ79">
        <f t="shared" si="11"/>
        <v>108.7</v>
      </c>
      <c r="AK79">
        <f t="shared" si="12"/>
        <v>119.7</v>
      </c>
      <c r="AL79">
        <f t="shared" si="13"/>
        <v>1185.6999999999998</v>
      </c>
    </row>
    <row r="80" spans="1:38" x14ac:dyDescent="0.3">
      <c r="A80" t="s">
        <v>30</v>
      </c>
      <c r="B80" s="28">
        <f t="shared" si="7"/>
        <v>42064</v>
      </c>
      <c r="C80">
        <v>2015</v>
      </c>
      <c r="D80" t="s">
        <v>35</v>
      </c>
      <c r="E80" t="str">
        <f t="shared" si="8"/>
        <v>Mar-15</v>
      </c>
      <c r="F80">
        <f>VLOOKUP(D80,'Problem Statement 4'!$G$2:$H$13,2,0)</f>
        <v>3</v>
      </c>
      <c r="G80">
        <v>123.3</v>
      </c>
      <c r="H80">
        <v>124.7</v>
      </c>
      <c r="I80">
        <v>118.9</v>
      </c>
      <c r="J80">
        <v>126</v>
      </c>
      <c r="K80">
        <v>111.8</v>
      </c>
      <c r="L80">
        <v>130.9</v>
      </c>
      <c r="M80">
        <v>128</v>
      </c>
      <c r="N80">
        <v>119.9</v>
      </c>
      <c r="O80">
        <v>98.9</v>
      </c>
      <c r="P80">
        <v>119.4</v>
      </c>
      <c r="Q80">
        <v>118.9</v>
      </c>
      <c r="R80">
        <v>127.7</v>
      </c>
      <c r="S80">
        <v>123.1</v>
      </c>
      <c r="T80">
        <v>124.7</v>
      </c>
      <c r="U80">
        <v>126</v>
      </c>
      <c r="V80">
        <v>122.9</v>
      </c>
      <c r="W80">
        <v>125.5</v>
      </c>
      <c r="X80">
        <v>118.6</v>
      </c>
      <c r="Y80">
        <v>120.6</v>
      </c>
      <c r="Z80">
        <v>120.2</v>
      </c>
      <c r="AA80">
        <v>118.2</v>
      </c>
      <c r="AB80">
        <v>111.6</v>
      </c>
      <c r="AC80">
        <v>115.5</v>
      </c>
      <c r="AD80">
        <v>119.4</v>
      </c>
      <c r="AE80">
        <v>110.8</v>
      </c>
      <c r="AF80">
        <v>115.5</v>
      </c>
      <c r="AG80">
        <v>121.1</v>
      </c>
      <c r="AH80">
        <f t="shared" si="9"/>
        <v>1571.5</v>
      </c>
      <c r="AI80">
        <f t="shared" si="10"/>
        <v>120.6</v>
      </c>
      <c r="AJ80">
        <f t="shared" si="11"/>
        <v>111.6</v>
      </c>
      <c r="AK80">
        <f t="shared" si="12"/>
        <v>119.4</v>
      </c>
      <c r="AL80">
        <f t="shared" si="13"/>
        <v>1197.9000000000001</v>
      </c>
    </row>
    <row r="81" spans="1:38" x14ac:dyDescent="0.3">
      <c r="A81" t="s">
        <v>32</v>
      </c>
      <c r="B81" s="28">
        <f t="shared" si="7"/>
        <v>42064</v>
      </c>
      <c r="C81">
        <v>2015</v>
      </c>
      <c r="D81" t="s">
        <v>35</v>
      </c>
      <c r="E81" t="str">
        <f t="shared" si="8"/>
        <v>Mar-15</v>
      </c>
      <c r="F81">
        <f>VLOOKUP(D81,'Problem Statement 4'!$G$2:$H$13,2,0)</f>
        <v>3</v>
      </c>
      <c r="G81">
        <v>124</v>
      </c>
      <c r="H81">
        <v>126.7</v>
      </c>
      <c r="I81">
        <v>113.5</v>
      </c>
      <c r="J81">
        <v>125.9</v>
      </c>
      <c r="K81">
        <v>104.8</v>
      </c>
      <c r="L81">
        <v>123.8</v>
      </c>
      <c r="M81">
        <v>131.4</v>
      </c>
      <c r="N81">
        <v>127.2</v>
      </c>
      <c r="O81">
        <v>93.2</v>
      </c>
      <c r="P81">
        <v>127.4</v>
      </c>
      <c r="Q81">
        <v>117</v>
      </c>
      <c r="R81">
        <v>129.19999999999999</v>
      </c>
      <c r="S81">
        <v>123.9</v>
      </c>
      <c r="T81">
        <v>128.80000000000001</v>
      </c>
      <c r="U81">
        <v>121.7</v>
      </c>
      <c r="V81">
        <v>116.9</v>
      </c>
      <c r="W81">
        <v>120.9</v>
      </c>
      <c r="X81">
        <v>118.6</v>
      </c>
      <c r="Y81">
        <v>114.4</v>
      </c>
      <c r="Z81">
        <v>118</v>
      </c>
      <c r="AA81">
        <v>114.3</v>
      </c>
      <c r="AB81">
        <v>108.4</v>
      </c>
      <c r="AC81">
        <v>115.4</v>
      </c>
      <c r="AD81">
        <v>120.6</v>
      </c>
      <c r="AE81">
        <v>111.3</v>
      </c>
      <c r="AF81">
        <v>113.8</v>
      </c>
      <c r="AG81">
        <v>119.1</v>
      </c>
      <c r="AH81">
        <f t="shared" si="9"/>
        <v>1568.0000000000002</v>
      </c>
      <c r="AI81">
        <f t="shared" si="10"/>
        <v>114.4</v>
      </c>
      <c r="AJ81">
        <f t="shared" si="11"/>
        <v>108.4</v>
      </c>
      <c r="AK81">
        <f t="shared" si="12"/>
        <v>120.6</v>
      </c>
      <c r="AL81">
        <f t="shared" si="13"/>
        <v>1179.6999999999998</v>
      </c>
    </row>
    <row r="82" spans="1:38" x14ac:dyDescent="0.3">
      <c r="A82" t="s">
        <v>33</v>
      </c>
      <c r="B82" s="28">
        <f t="shared" si="7"/>
        <v>42064</v>
      </c>
      <c r="C82">
        <v>2015</v>
      </c>
      <c r="D82" t="s">
        <v>35</v>
      </c>
      <c r="E82" t="str">
        <f t="shared" si="8"/>
        <v>Mar-15</v>
      </c>
      <c r="F82">
        <f>VLOOKUP(D82,'Problem Statement 4'!$G$2:$H$13,2,0)</f>
        <v>3</v>
      </c>
      <c r="G82">
        <v>123.5</v>
      </c>
      <c r="H82">
        <v>125.4</v>
      </c>
      <c r="I82">
        <v>116.8</v>
      </c>
      <c r="J82">
        <v>126</v>
      </c>
      <c r="K82">
        <v>109.2</v>
      </c>
      <c r="L82">
        <v>127.6</v>
      </c>
      <c r="M82">
        <v>129.19999999999999</v>
      </c>
      <c r="N82">
        <v>122.4</v>
      </c>
      <c r="O82">
        <v>97</v>
      </c>
      <c r="P82">
        <v>122.1</v>
      </c>
      <c r="Q82">
        <v>118.1</v>
      </c>
      <c r="R82">
        <v>128.4</v>
      </c>
      <c r="S82">
        <v>123.4</v>
      </c>
      <c r="T82">
        <v>125.8</v>
      </c>
      <c r="U82">
        <v>124.3</v>
      </c>
      <c r="V82">
        <v>120.4</v>
      </c>
      <c r="W82">
        <v>123.7</v>
      </c>
      <c r="X82">
        <v>118.6</v>
      </c>
      <c r="Y82">
        <v>118.3</v>
      </c>
      <c r="Z82">
        <v>119.2</v>
      </c>
      <c r="AA82">
        <v>116.7</v>
      </c>
      <c r="AB82">
        <v>109.9</v>
      </c>
      <c r="AC82">
        <v>115.4</v>
      </c>
      <c r="AD82">
        <v>120.1</v>
      </c>
      <c r="AE82">
        <v>111</v>
      </c>
      <c r="AF82">
        <v>114.7</v>
      </c>
      <c r="AG82">
        <v>120.2</v>
      </c>
      <c r="AH82">
        <f t="shared" si="9"/>
        <v>1569.1</v>
      </c>
      <c r="AI82">
        <f t="shared" si="10"/>
        <v>118.3</v>
      </c>
      <c r="AJ82">
        <f t="shared" si="11"/>
        <v>109.9</v>
      </c>
      <c r="AK82">
        <f t="shared" si="12"/>
        <v>120.1</v>
      </c>
      <c r="AL82">
        <f t="shared" si="13"/>
        <v>1189.8</v>
      </c>
    </row>
    <row r="83" spans="1:38" x14ac:dyDescent="0.3">
      <c r="A83" t="s">
        <v>30</v>
      </c>
      <c r="B83" s="28">
        <f t="shared" si="7"/>
        <v>42095</v>
      </c>
      <c r="C83">
        <v>2015</v>
      </c>
      <c r="D83" t="s">
        <v>36</v>
      </c>
      <c r="E83" t="str">
        <f t="shared" si="8"/>
        <v>Apr-15</v>
      </c>
      <c r="F83">
        <f>VLOOKUP(D83,'Problem Statement 4'!$G$2:$H$13,2,0)</f>
        <v>4</v>
      </c>
      <c r="G83">
        <v>123.3</v>
      </c>
      <c r="H83">
        <v>125.5</v>
      </c>
      <c r="I83">
        <v>117.2</v>
      </c>
      <c r="J83">
        <v>126.8</v>
      </c>
      <c r="K83">
        <v>111.9</v>
      </c>
      <c r="L83">
        <v>134.19999999999999</v>
      </c>
      <c r="M83">
        <v>127.5</v>
      </c>
      <c r="N83">
        <v>121.5</v>
      </c>
      <c r="O83">
        <v>97.8</v>
      </c>
      <c r="P83">
        <v>119.8</v>
      </c>
      <c r="Q83">
        <v>119.4</v>
      </c>
      <c r="R83">
        <v>128.69999999999999</v>
      </c>
      <c r="S83">
        <v>123.6</v>
      </c>
      <c r="T83">
        <v>125.7</v>
      </c>
      <c r="U83">
        <v>126.4</v>
      </c>
      <c r="V83">
        <v>123.3</v>
      </c>
      <c r="W83">
        <v>126</v>
      </c>
      <c r="X83">
        <v>119.2</v>
      </c>
      <c r="Y83">
        <v>121.2</v>
      </c>
      <c r="Z83">
        <v>120.9</v>
      </c>
      <c r="AA83">
        <v>118.6</v>
      </c>
      <c r="AB83">
        <v>111.9</v>
      </c>
      <c r="AC83">
        <v>116.2</v>
      </c>
      <c r="AD83">
        <v>119.9</v>
      </c>
      <c r="AE83">
        <v>111.6</v>
      </c>
      <c r="AF83">
        <v>116</v>
      </c>
      <c r="AG83">
        <v>121.5</v>
      </c>
      <c r="AH83">
        <f t="shared" si="9"/>
        <v>1577.2</v>
      </c>
      <c r="AI83">
        <f t="shared" si="10"/>
        <v>121.2</v>
      </c>
      <c r="AJ83">
        <f t="shared" si="11"/>
        <v>111.9</v>
      </c>
      <c r="AK83">
        <f t="shared" si="12"/>
        <v>119.9</v>
      </c>
      <c r="AL83">
        <f t="shared" si="13"/>
        <v>1203.9000000000001</v>
      </c>
    </row>
    <row r="84" spans="1:38" x14ac:dyDescent="0.3">
      <c r="A84" t="s">
        <v>32</v>
      </c>
      <c r="B84" s="28">
        <f t="shared" si="7"/>
        <v>42095</v>
      </c>
      <c r="C84">
        <v>2015</v>
      </c>
      <c r="D84" t="s">
        <v>36</v>
      </c>
      <c r="E84" t="str">
        <f t="shared" si="8"/>
        <v>Apr-15</v>
      </c>
      <c r="F84">
        <f>VLOOKUP(D84,'Problem Statement 4'!$G$2:$H$13,2,0)</f>
        <v>4</v>
      </c>
      <c r="G84">
        <v>123.8</v>
      </c>
      <c r="H84">
        <v>128.19999999999999</v>
      </c>
      <c r="I84">
        <v>110</v>
      </c>
      <c r="J84">
        <v>126.3</v>
      </c>
      <c r="K84">
        <v>104.5</v>
      </c>
      <c r="L84">
        <v>130.6</v>
      </c>
      <c r="M84">
        <v>130.80000000000001</v>
      </c>
      <c r="N84">
        <v>131.30000000000001</v>
      </c>
      <c r="O84">
        <v>91.6</v>
      </c>
      <c r="P84">
        <v>127.7</v>
      </c>
      <c r="Q84">
        <v>117.2</v>
      </c>
      <c r="R84">
        <v>129.5</v>
      </c>
      <c r="S84">
        <v>124.6</v>
      </c>
      <c r="T84">
        <v>130.1</v>
      </c>
      <c r="U84">
        <v>122.1</v>
      </c>
      <c r="V84">
        <v>117.2</v>
      </c>
      <c r="W84">
        <v>121.3</v>
      </c>
      <c r="X84">
        <v>119.2</v>
      </c>
      <c r="Y84">
        <v>114.7</v>
      </c>
      <c r="Z84">
        <v>118.4</v>
      </c>
      <c r="AA84">
        <v>114.6</v>
      </c>
      <c r="AB84">
        <v>108.4</v>
      </c>
      <c r="AC84">
        <v>115.6</v>
      </c>
      <c r="AD84">
        <v>121.7</v>
      </c>
      <c r="AE84">
        <v>111.8</v>
      </c>
      <c r="AF84">
        <v>114.2</v>
      </c>
      <c r="AG84">
        <v>119.7</v>
      </c>
      <c r="AH84">
        <f t="shared" si="9"/>
        <v>1576.1</v>
      </c>
      <c r="AI84">
        <f t="shared" si="10"/>
        <v>114.7</v>
      </c>
      <c r="AJ84">
        <f t="shared" si="11"/>
        <v>108.4</v>
      </c>
      <c r="AK84">
        <f t="shared" si="12"/>
        <v>121.7</v>
      </c>
      <c r="AL84">
        <f t="shared" si="13"/>
        <v>1184.5</v>
      </c>
    </row>
    <row r="85" spans="1:38" x14ac:dyDescent="0.3">
      <c r="A85" t="s">
        <v>33</v>
      </c>
      <c r="B85" s="28">
        <f t="shared" si="7"/>
        <v>42095</v>
      </c>
      <c r="C85">
        <v>2015</v>
      </c>
      <c r="D85" t="s">
        <v>36</v>
      </c>
      <c r="E85" t="str">
        <f t="shared" si="8"/>
        <v>Apr-15</v>
      </c>
      <c r="F85">
        <f>VLOOKUP(D85,'Problem Statement 4'!$G$2:$H$13,2,0)</f>
        <v>4</v>
      </c>
      <c r="G85">
        <v>123.5</v>
      </c>
      <c r="H85">
        <v>126.4</v>
      </c>
      <c r="I85">
        <v>114.4</v>
      </c>
      <c r="J85">
        <v>126.6</v>
      </c>
      <c r="K85">
        <v>109.2</v>
      </c>
      <c r="L85">
        <v>132.5</v>
      </c>
      <c r="M85">
        <v>128.6</v>
      </c>
      <c r="N85">
        <v>124.8</v>
      </c>
      <c r="O85">
        <v>95.7</v>
      </c>
      <c r="P85">
        <v>122.4</v>
      </c>
      <c r="Q85">
        <v>118.5</v>
      </c>
      <c r="R85">
        <v>129.1</v>
      </c>
      <c r="S85">
        <v>124</v>
      </c>
      <c r="T85">
        <v>126.9</v>
      </c>
      <c r="U85">
        <v>124.7</v>
      </c>
      <c r="V85">
        <v>120.8</v>
      </c>
      <c r="W85">
        <v>124.1</v>
      </c>
      <c r="X85">
        <v>119.2</v>
      </c>
      <c r="Y85">
        <v>118.7</v>
      </c>
      <c r="Z85">
        <v>119.7</v>
      </c>
      <c r="AA85">
        <v>117.1</v>
      </c>
      <c r="AB85">
        <v>110.1</v>
      </c>
      <c r="AC85">
        <v>115.9</v>
      </c>
      <c r="AD85">
        <v>121</v>
      </c>
      <c r="AE85">
        <v>111.7</v>
      </c>
      <c r="AF85">
        <v>115.1</v>
      </c>
      <c r="AG85">
        <v>120.7</v>
      </c>
      <c r="AH85">
        <f t="shared" si="9"/>
        <v>1575.7</v>
      </c>
      <c r="AI85">
        <f t="shared" si="10"/>
        <v>118.7</v>
      </c>
      <c r="AJ85">
        <f t="shared" si="11"/>
        <v>110.1</v>
      </c>
      <c r="AK85">
        <f t="shared" si="12"/>
        <v>121</v>
      </c>
      <c r="AL85">
        <f t="shared" si="13"/>
        <v>1195.2</v>
      </c>
    </row>
    <row r="86" spans="1:38" x14ac:dyDescent="0.3">
      <c r="A86" t="s">
        <v>30</v>
      </c>
      <c r="B86" s="28">
        <f t="shared" si="7"/>
        <v>42125</v>
      </c>
      <c r="C86">
        <v>2015</v>
      </c>
      <c r="D86" t="s">
        <v>37</v>
      </c>
      <c r="E86" t="str">
        <f t="shared" si="8"/>
        <v>May-15</v>
      </c>
      <c r="F86">
        <f>VLOOKUP(D86,'Problem Statement 4'!$G$2:$H$13,2,0)</f>
        <v>5</v>
      </c>
      <c r="G86">
        <v>123.5</v>
      </c>
      <c r="H86">
        <v>127.1</v>
      </c>
      <c r="I86">
        <v>117.3</v>
      </c>
      <c r="J86">
        <v>127.7</v>
      </c>
      <c r="K86">
        <v>112.5</v>
      </c>
      <c r="L86">
        <v>134.1</v>
      </c>
      <c r="M86">
        <v>128.5</v>
      </c>
      <c r="N86">
        <v>124.3</v>
      </c>
      <c r="O86">
        <v>97.6</v>
      </c>
      <c r="P86">
        <v>120.7</v>
      </c>
      <c r="Q86">
        <v>120.2</v>
      </c>
      <c r="R86">
        <v>129.80000000000001</v>
      </c>
      <c r="S86">
        <v>124.4</v>
      </c>
      <c r="T86">
        <v>126.7</v>
      </c>
      <c r="U86">
        <v>127.3</v>
      </c>
      <c r="V86">
        <v>124.1</v>
      </c>
      <c r="W86">
        <v>126.8</v>
      </c>
      <c r="X86">
        <v>119.6</v>
      </c>
      <c r="Y86">
        <v>121.9</v>
      </c>
      <c r="Z86">
        <v>121.5</v>
      </c>
      <c r="AA86">
        <v>119.4</v>
      </c>
      <c r="AB86">
        <v>113.3</v>
      </c>
      <c r="AC86">
        <v>116.7</v>
      </c>
      <c r="AD86">
        <v>120.5</v>
      </c>
      <c r="AE86">
        <v>112.3</v>
      </c>
      <c r="AF86">
        <v>116.9</v>
      </c>
      <c r="AG86">
        <v>122.4</v>
      </c>
      <c r="AH86">
        <f t="shared" si="9"/>
        <v>1587.7</v>
      </c>
      <c r="AI86">
        <f t="shared" si="10"/>
        <v>121.9</v>
      </c>
      <c r="AJ86">
        <f t="shared" si="11"/>
        <v>113.3</v>
      </c>
      <c r="AK86">
        <f t="shared" si="12"/>
        <v>120.5</v>
      </c>
      <c r="AL86">
        <f t="shared" si="13"/>
        <v>1211.3000000000002</v>
      </c>
    </row>
    <row r="87" spans="1:38" x14ac:dyDescent="0.3">
      <c r="A87" t="s">
        <v>32</v>
      </c>
      <c r="B87" s="28">
        <f t="shared" si="7"/>
        <v>42125</v>
      </c>
      <c r="C87">
        <v>2015</v>
      </c>
      <c r="D87" t="s">
        <v>37</v>
      </c>
      <c r="E87" t="str">
        <f t="shared" si="8"/>
        <v>May-15</v>
      </c>
      <c r="F87">
        <f>VLOOKUP(D87,'Problem Statement 4'!$G$2:$H$13,2,0)</f>
        <v>5</v>
      </c>
      <c r="G87">
        <v>123.8</v>
      </c>
      <c r="H87">
        <v>129.69999999999999</v>
      </c>
      <c r="I87">
        <v>111.3</v>
      </c>
      <c r="J87">
        <v>126.6</v>
      </c>
      <c r="K87">
        <v>105.2</v>
      </c>
      <c r="L87">
        <v>130.80000000000001</v>
      </c>
      <c r="M87">
        <v>135.6</v>
      </c>
      <c r="N87">
        <v>142.6</v>
      </c>
      <c r="O87">
        <v>90.8</v>
      </c>
      <c r="P87">
        <v>128.80000000000001</v>
      </c>
      <c r="Q87">
        <v>117.7</v>
      </c>
      <c r="R87">
        <v>129.9</v>
      </c>
      <c r="S87">
        <v>126.1</v>
      </c>
      <c r="T87">
        <v>131.30000000000001</v>
      </c>
      <c r="U87">
        <v>122.4</v>
      </c>
      <c r="V87">
        <v>117.4</v>
      </c>
      <c r="W87">
        <v>121.6</v>
      </c>
      <c r="X87">
        <v>119.6</v>
      </c>
      <c r="Y87">
        <v>114.9</v>
      </c>
      <c r="Z87">
        <v>118.7</v>
      </c>
      <c r="AA87">
        <v>114.9</v>
      </c>
      <c r="AB87">
        <v>110.8</v>
      </c>
      <c r="AC87">
        <v>116</v>
      </c>
      <c r="AD87">
        <v>122</v>
      </c>
      <c r="AE87">
        <v>112.4</v>
      </c>
      <c r="AF87">
        <v>115.2</v>
      </c>
      <c r="AG87">
        <v>120.7</v>
      </c>
      <c r="AH87">
        <f t="shared" si="9"/>
        <v>1598.9</v>
      </c>
      <c r="AI87">
        <f t="shared" si="10"/>
        <v>114.9</v>
      </c>
      <c r="AJ87">
        <f t="shared" si="11"/>
        <v>110.8</v>
      </c>
      <c r="AK87">
        <f t="shared" si="12"/>
        <v>122</v>
      </c>
      <c r="AL87">
        <f t="shared" si="13"/>
        <v>1189.5000000000002</v>
      </c>
    </row>
    <row r="88" spans="1:38" x14ac:dyDescent="0.3">
      <c r="A88" t="s">
        <v>33</v>
      </c>
      <c r="B88" s="28">
        <f t="shared" si="7"/>
        <v>42125</v>
      </c>
      <c r="C88">
        <v>2015</v>
      </c>
      <c r="D88" t="s">
        <v>37</v>
      </c>
      <c r="E88" t="str">
        <f t="shared" si="8"/>
        <v>May-15</v>
      </c>
      <c r="F88">
        <f>VLOOKUP(D88,'Problem Statement 4'!$G$2:$H$13,2,0)</f>
        <v>5</v>
      </c>
      <c r="G88">
        <v>123.6</v>
      </c>
      <c r="H88">
        <v>128</v>
      </c>
      <c r="I88">
        <v>115</v>
      </c>
      <c r="J88">
        <v>127.3</v>
      </c>
      <c r="K88">
        <v>109.8</v>
      </c>
      <c r="L88">
        <v>132.6</v>
      </c>
      <c r="M88">
        <v>130.9</v>
      </c>
      <c r="N88">
        <v>130.5</v>
      </c>
      <c r="O88">
        <v>95.3</v>
      </c>
      <c r="P88">
        <v>123.4</v>
      </c>
      <c r="Q88">
        <v>119.2</v>
      </c>
      <c r="R88">
        <v>129.80000000000001</v>
      </c>
      <c r="S88">
        <v>125</v>
      </c>
      <c r="T88">
        <v>127.9</v>
      </c>
      <c r="U88">
        <v>125.4</v>
      </c>
      <c r="V88">
        <v>121.3</v>
      </c>
      <c r="W88">
        <v>124.7</v>
      </c>
      <c r="X88">
        <v>119.6</v>
      </c>
      <c r="Y88">
        <v>119.2</v>
      </c>
      <c r="Z88">
        <v>120.2</v>
      </c>
      <c r="AA88">
        <v>117.7</v>
      </c>
      <c r="AB88">
        <v>112</v>
      </c>
      <c r="AC88">
        <v>116.3</v>
      </c>
      <c r="AD88">
        <v>121.4</v>
      </c>
      <c r="AE88">
        <v>112.3</v>
      </c>
      <c r="AF88">
        <v>116.1</v>
      </c>
      <c r="AG88">
        <v>121.6</v>
      </c>
      <c r="AH88">
        <f t="shared" si="9"/>
        <v>1590.4</v>
      </c>
      <c r="AI88">
        <f t="shared" si="10"/>
        <v>119.2</v>
      </c>
      <c r="AJ88">
        <f t="shared" si="11"/>
        <v>112</v>
      </c>
      <c r="AK88">
        <f t="shared" si="12"/>
        <v>121.4</v>
      </c>
      <c r="AL88">
        <f t="shared" si="13"/>
        <v>1201.5</v>
      </c>
    </row>
    <row r="89" spans="1:38" x14ac:dyDescent="0.3">
      <c r="A89" t="s">
        <v>30</v>
      </c>
      <c r="B89" s="28">
        <f t="shared" si="7"/>
        <v>42156</v>
      </c>
      <c r="C89">
        <v>2015</v>
      </c>
      <c r="D89" t="s">
        <v>38</v>
      </c>
      <c r="E89" t="str">
        <f t="shared" si="8"/>
        <v>Jun-15</v>
      </c>
      <c r="F89">
        <f>VLOOKUP(D89,'Problem Statement 4'!$G$2:$H$13,2,0)</f>
        <v>6</v>
      </c>
      <c r="G89">
        <v>124.1</v>
      </c>
      <c r="H89">
        <v>130.4</v>
      </c>
      <c r="I89">
        <v>122.1</v>
      </c>
      <c r="J89">
        <v>128.69999999999999</v>
      </c>
      <c r="K89">
        <v>114.1</v>
      </c>
      <c r="L89">
        <v>133.19999999999999</v>
      </c>
      <c r="M89">
        <v>135.19999999999999</v>
      </c>
      <c r="N89">
        <v>131.9</v>
      </c>
      <c r="O89">
        <v>96.3</v>
      </c>
      <c r="P89">
        <v>123</v>
      </c>
      <c r="Q89">
        <v>121.1</v>
      </c>
      <c r="R89">
        <v>131.19999999999999</v>
      </c>
      <c r="S89">
        <v>126.6</v>
      </c>
      <c r="T89">
        <v>128.19999999999999</v>
      </c>
      <c r="U89">
        <v>128.4</v>
      </c>
      <c r="V89">
        <v>125.1</v>
      </c>
      <c r="W89">
        <v>128</v>
      </c>
      <c r="X89">
        <v>119</v>
      </c>
      <c r="Y89">
        <v>122.6</v>
      </c>
      <c r="Z89">
        <v>122.8</v>
      </c>
      <c r="AA89">
        <v>120.4</v>
      </c>
      <c r="AB89">
        <v>114.2</v>
      </c>
      <c r="AC89">
        <v>117.9</v>
      </c>
      <c r="AD89">
        <v>122</v>
      </c>
      <c r="AE89">
        <v>113</v>
      </c>
      <c r="AF89">
        <v>117.9</v>
      </c>
      <c r="AG89">
        <v>124.1</v>
      </c>
      <c r="AH89">
        <f t="shared" si="9"/>
        <v>1617.8999999999999</v>
      </c>
      <c r="AI89">
        <f t="shared" si="10"/>
        <v>122.6</v>
      </c>
      <c r="AJ89">
        <f t="shared" si="11"/>
        <v>114.2</v>
      </c>
      <c r="AK89">
        <f t="shared" si="12"/>
        <v>122</v>
      </c>
      <c r="AL89">
        <f t="shared" si="13"/>
        <v>1220.7</v>
      </c>
    </row>
    <row r="90" spans="1:38" x14ac:dyDescent="0.3">
      <c r="A90" t="s">
        <v>32</v>
      </c>
      <c r="B90" s="28">
        <f t="shared" si="7"/>
        <v>42156</v>
      </c>
      <c r="C90">
        <v>2015</v>
      </c>
      <c r="D90" t="s">
        <v>38</v>
      </c>
      <c r="E90" t="str">
        <f t="shared" si="8"/>
        <v>Jun-15</v>
      </c>
      <c r="F90">
        <f>VLOOKUP(D90,'Problem Statement 4'!$G$2:$H$13,2,0)</f>
        <v>6</v>
      </c>
      <c r="G90">
        <v>123.6</v>
      </c>
      <c r="H90">
        <v>134.4</v>
      </c>
      <c r="I90">
        <v>120.9</v>
      </c>
      <c r="J90">
        <v>127.3</v>
      </c>
      <c r="K90">
        <v>106</v>
      </c>
      <c r="L90">
        <v>132.30000000000001</v>
      </c>
      <c r="M90">
        <v>146.69999999999999</v>
      </c>
      <c r="N90">
        <v>148.1</v>
      </c>
      <c r="O90">
        <v>89.8</v>
      </c>
      <c r="P90">
        <v>130.5</v>
      </c>
      <c r="Q90">
        <v>118</v>
      </c>
      <c r="R90">
        <v>130.5</v>
      </c>
      <c r="S90">
        <v>128.5</v>
      </c>
      <c r="T90">
        <v>132.1</v>
      </c>
      <c r="U90">
        <v>123.2</v>
      </c>
      <c r="V90">
        <v>117.6</v>
      </c>
      <c r="W90">
        <v>122.3</v>
      </c>
      <c r="X90">
        <v>119</v>
      </c>
      <c r="Y90">
        <v>115.1</v>
      </c>
      <c r="Z90">
        <v>119.2</v>
      </c>
      <c r="AA90">
        <v>115.4</v>
      </c>
      <c r="AB90">
        <v>111.7</v>
      </c>
      <c r="AC90">
        <v>116.2</v>
      </c>
      <c r="AD90">
        <v>123.8</v>
      </c>
      <c r="AE90">
        <v>112.5</v>
      </c>
      <c r="AF90">
        <v>116</v>
      </c>
      <c r="AG90">
        <v>121.7</v>
      </c>
      <c r="AH90">
        <f t="shared" si="9"/>
        <v>1636.6</v>
      </c>
      <c r="AI90">
        <f t="shared" si="10"/>
        <v>115.1</v>
      </c>
      <c r="AJ90">
        <f t="shared" si="11"/>
        <v>111.7</v>
      </c>
      <c r="AK90">
        <f t="shared" si="12"/>
        <v>123.8</v>
      </c>
      <c r="AL90">
        <f t="shared" si="13"/>
        <v>1193.5</v>
      </c>
    </row>
    <row r="91" spans="1:38" x14ac:dyDescent="0.3">
      <c r="A91" t="s">
        <v>33</v>
      </c>
      <c r="B91" s="28">
        <f t="shared" si="7"/>
        <v>42156</v>
      </c>
      <c r="C91">
        <v>2015</v>
      </c>
      <c r="D91" t="s">
        <v>38</v>
      </c>
      <c r="E91" t="str">
        <f t="shared" si="8"/>
        <v>Jun-15</v>
      </c>
      <c r="F91">
        <f>VLOOKUP(D91,'Problem Statement 4'!$G$2:$H$13,2,0)</f>
        <v>6</v>
      </c>
      <c r="G91">
        <v>123.9</v>
      </c>
      <c r="H91">
        <v>131.80000000000001</v>
      </c>
      <c r="I91">
        <v>121.6</v>
      </c>
      <c r="J91">
        <v>128.19999999999999</v>
      </c>
      <c r="K91">
        <v>111.1</v>
      </c>
      <c r="L91">
        <v>132.80000000000001</v>
      </c>
      <c r="M91">
        <v>139.1</v>
      </c>
      <c r="N91">
        <v>137.4</v>
      </c>
      <c r="O91">
        <v>94.1</v>
      </c>
      <c r="P91">
        <v>125.5</v>
      </c>
      <c r="Q91">
        <v>119.8</v>
      </c>
      <c r="R91">
        <v>130.9</v>
      </c>
      <c r="S91">
        <v>127.3</v>
      </c>
      <c r="T91">
        <v>129.19999999999999</v>
      </c>
      <c r="U91">
        <v>126.4</v>
      </c>
      <c r="V91">
        <v>122</v>
      </c>
      <c r="W91">
        <v>125.7</v>
      </c>
      <c r="X91">
        <v>119</v>
      </c>
      <c r="Y91">
        <v>119.8</v>
      </c>
      <c r="Z91">
        <v>121.1</v>
      </c>
      <c r="AA91">
        <v>118.5</v>
      </c>
      <c r="AB91">
        <v>112.9</v>
      </c>
      <c r="AC91">
        <v>116.9</v>
      </c>
      <c r="AD91">
        <v>123.1</v>
      </c>
      <c r="AE91">
        <v>112.8</v>
      </c>
      <c r="AF91">
        <v>117</v>
      </c>
      <c r="AG91">
        <v>123</v>
      </c>
      <c r="AH91">
        <f t="shared" si="9"/>
        <v>1623.5</v>
      </c>
      <c r="AI91">
        <f t="shared" si="10"/>
        <v>119.8</v>
      </c>
      <c r="AJ91">
        <f t="shared" si="11"/>
        <v>112.9</v>
      </c>
      <c r="AK91">
        <f t="shared" si="12"/>
        <v>123.1</v>
      </c>
      <c r="AL91">
        <f t="shared" si="13"/>
        <v>1208.5999999999999</v>
      </c>
    </row>
    <row r="92" spans="1:38" x14ac:dyDescent="0.3">
      <c r="A92" t="s">
        <v>30</v>
      </c>
      <c r="B92" s="28">
        <f t="shared" si="7"/>
        <v>42186</v>
      </c>
      <c r="C92">
        <v>2015</v>
      </c>
      <c r="D92" t="s">
        <v>39</v>
      </c>
      <c r="E92" t="str">
        <f t="shared" si="8"/>
        <v>Jul-15</v>
      </c>
      <c r="F92">
        <f>VLOOKUP(D92,'Problem Statement 4'!$G$2:$H$13,2,0)</f>
        <v>7</v>
      </c>
      <c r="G92">
        <v>124</v>
      </c>
      <c r="H92">
        <v>131.5</v>
      </c>
      <c r="I92">
        <v>122</v>
      </c>
      <c r="J92">
        <v>128.69999999999999</v>
      </c>
      <c r="K92">
        <v>113.5</v>
      </c>
      <c r="L92">
        <v>133.30000000000001</v>
      </c>
      <c r="M92">
        <v>140.80000000000001</v>
      </c>
      <c r="N92">
        <v>133.80000000000001</v>
      </c>
      <c r="O92">
        <v>94.1</v>
      </c>
      <c r="P92">
        <v>123.4</v>
      </c>
      <c r="Q92">
        <v>121</v>
      </c>
      <c r="R92">
        <v>131.69999999999999</v>
      </c>
      <c r="S92">
        <v>127.5</v>
      </c>
      <c r="T92">
        <v>129.4</v>
      </c>
      <c r="U92">
        <v>128.80000000000001</v>
      </c>
      <c r="V92">
        <v>125.5</v>
      </c>
      <c r="W92">
        <v>128.30000000000001</v>
      </c>
      <c r="X92">
        <v>119.9</v>
      </c>
      <c r="Y92">
        <v>123</v>
      </c>
      <c r="Z92">
        <v>123</v>
      </c>
      <c r="AA92">
        <v>120.8</v>
      </c>
      <c r="AB92">
        <v>114.1</v>
      </c>
      <c r="AC92">
        <v>118</v>
      </c>
      <c r="AD92">
        <v>122.9</v>
      </c>
      <c r="AE92">
        <v>112.7</v>
      </c>
      <c r="AF92">
        <v>118.1</v>
      </c>
      <c r="AG92">
        <v>124.7</v>
      </c>
      <c r="AH92">
        <f t="shared" si="9"/>
        <v>1625.3</v>
      </c>
      <c r="AI92">
        <f t="shared" si="10"/>
        <v>123</v>
      </c>
      <c r="AJ92">
        <f t="shared" si="11"/>
        <v>114.1</v>
      </c>
      <c r="AK92">
        <f t="shared" si="12"/>
        <v>122.9</v>
      </c>
      <c r="AL92">
        <f t="shared" si="13"/>
        <v>1224.4999999999998</v>
      </c>
    </row>
    <row r="93" spans="1:38" x14ac:dyDescent="0.3">
      <c r="A93" t="s">
        <v>32</v>
      </c>
      <c r="B93" s="28">
        <f t="shared" si="7"/>
        <v>42186</v>
      </c>
      <c r="C93">
        <v>2015</v>
      </c>
      <c r="D93" t="s">
        <v>39</v>
      </c>
      <c r="E93" t="str">
        <f t="shared" si="8"/>
        <v>Jul-15</v>
      </c>
      <c r="F93">
        <f>VLOOKUP(D93,'Problem Statement 4'!$G$2:$H$13,2,0)</f>
        <v>7</v>
      </c>
      <c r="G93">
        <v>123.2</v>
      </c>
      <c r="H93">
        <v>134.30000000000001</v>
      </c>
      <c r="I93">
        <v>119.5</v>
      </c>
      <c r="J93">
        <v>127.7</v>
      </c>
      <c r="K93">
        <v>106.3</v>
      </c>
      <c r="L93">
        <v>132.80000000000001</v>
      </c>
      <c r="M93">
        <v>153.5</v>
      </c>
      <c r="N93">
        <v>149.5</v>
      </c>
      <c r="O93">
        <v>85.7</v>
      </c>
      <c r="P93">
        <v>131.5</v>
      </c>
      <c r="Q93">
        <v>118.3</v>
      </c>
      <c r="R93">
        <v>131.1</v>
      </c>
      <c r="S93">
        <v>129.5</v>
      </c>
      <c r="T93">
        <v>133.1</v>
      </c>
      <c r="U93">
        <v>123.5</v>
      </c>
      <c r="V93">
        <v>117.9</v>
      </c>
      <c r="W93">
        <v>122.7</v>
      </c>
      <c r="X93">
        <v>119.9</v>
      </c>
      <c r="Y93">
        <v>115.3</v>
      </c>
      <c r="Z93">
        <v>119.5</v>
      </c>
      <c r="AA93">
        <v>116</v>
      </c>
      <c r="AB93">
        <v>111.5</v>
      </c>
      <c r="AC93">
        <v>116.6</v>
      </c>
      <c r="AD93">
        <v>125.4</v>
      </c>
      <c r="AE93">
        <v>111.7</v>
      </c>
      <c r="AF93">
        <v>116.3</v>
      </c>
      <c r="AG93">
        <v>122.4</v>
      </c>
      <c r="AH93">
        <f t="shared" si="9"/>
        <v>1642.8999999999999</v>
      </c>
      <c r="AI93">
        <f t="shared" si="10"/>
        <v>115.3</v>
      </c>
      <c r="AJ93">
        <f t="shared" si="11"/>
        <v>111.5</v>
      </c>
      <c r="AK93">
        <f t="shared" si="12"/>
        <v>125.4</v>
      </c>
      <c r="AL93">
        <f t="shared" si="13"/>
        <v>1197.2</v>
      </c>
    </row>
    <row r="94" spans="1:38" x14ac:dyDescent="0.3">
      <c r="A94" t="s">
        <v>33</v>
      </c>
      <c r="B94" s="28">
        <f t="shared" si="7"/>
        <v>42186</v>
      </c>
      <c r="C94">
        <v>2015</v>
      </c>
      <c r="D94" t="s">
        <v>39</v>
      </c>
      <c r="E94" t="str">
        <f t="shared" si="8"/>
        <v>Jul-15</v>
      </c>
      <c r="F94">
        <f>VLOOKUP(D94,'Problem Statement 4'!$G$2:$H$13,2,0)</f>
        <v>7</v>
      </c>
      <c r="G94">
        <v>123.7</v>
      </c>
      <c r="H94">
        <v>132.5</v>
      </c>
      <c r="I94">
        <v>121</v>
      </c>
      <c r="J94">
        <v>128.30000000000001</v>
      </c>
      <c r="K94">
        <v>110.9</v>
      </c>
      <c r="L94">
        <v>133.1</v>
      </c>
      <c r="M94">
        <v>145.1</v>
      </c>
      <c r="N94">
        <v>139.1</v>
      </c>
      <c r="O94">
        <v>91.3</v>
      </c>
      <c r="P94">
        <v>126.1</v>
      </c>
      <c r="Q94">
        <v>119.9</v>
      </c>
      <c r="R94">
        <v>131.4</v>
      </c>
      <c r="S94">
        <v>128.19999999999999</v>
      </c>
      <c r="T94">
        <v>130.4</v>
      </c>
      <c r="U94">
        <v>126.7</v>
      </c>
      <c r="V94">
        <v>122.3</v>
      </c>
      <c r="W94">
        <v>126.1</v>
      </c>
      <c r="X94">
        <v>119.9</v>
      </c>
      <c r="Y94">
        <v>120.1</v>
      </c>
      <c r="Z94">
        <v>121.3</v>
      </c>
      <c r="AA94">
        <v>119</v>
      </c>
      <c r="AB94">
        <v>112.7</v>
      </c>
      <c r="AC94">
        <v>117.2</v>
      </c>
      <c r="AD94">
        <v>124.4</v>
      </c>
      <c r="AE94">
        <v>112.3</v>
      </c>
      <c r="AF94">
        <v>117.2</v>
      </c>
      <c r="AG94">
        <v>123.6</v>
      </c>
      <c r="AH94">
        <f t="shared" si="9"/>
        <v>1630.6000000000001</v>
      </c>
      <c r="AI94">
        <f t="shared" si="10"/>
        <v>120.1</v>
      </c>
      <c r="AJ94">
        <f t="shared" si="11"/>
        <v>112.7</v>
      </c>
      <c r="AK94">
        <f t="shared" si="12"/>
        <v>124.4</v>
      </c>
      <c r="AL94">
        <f t="shared" si="13"/>
        <v>1212.4000000000001</v>
      </c>
    </row>
    <row r="95" spans="1:38" x14ac:dyDescent="0.3">
      <c r="A95" t="s">
        <v>30</v>
      </c>
      <c r="B95" s="28">
        <f t="shared" si="7"/>
        <v>42217</v>
      </c>
      <c r="C95">
        <v>2015</v>
      </c>
      <c r="D95" t="s">
        <v>40</v>
      </c>
      <c r="E95" t="str">
        <f t="shared" si="8"/>
        <v>Aug-15</v>
      </c>
      <c r="F95">
        <f>VLOOKUP(D95,'Problem Statement 4'!$G$2:$H$13,2,0)</f>
        <v>8</v>
      </c>
      <c r="G95">
        <v>124.7</v>
      </c>
      <c r="H95">
        <v>131.30000000000001</v>
      </c>
      <c r="I95">
        <v>121.3</v>
      </c>
      <c r="J95">
        <v>128.80000000000001</v>
      </c>
      <c r="K95">
        <v>114</v>
      </c>
      <c r="L95">
        <v>134.19999999999999</v>
      </c>
      <c r="M95">
        <v>153.6</v>
      </c>
      <c r="N95">
        <v>137.9</v>
      </c>
      <c r="O95">
        <v>93.1</v>
      </c>
      <c r="P95">
        <v>123.9</v>
      </c>
      <c r="Q95">
        <v>121.5</v>
      </c>
      <c r="R95">
        <v>132.5</v>
      </c>
      <c r="S95">
        <v>129.80000000000001</v>
      </c>
      <c r="T95">
        <v>130.1</v>
      </c>
      <c r="U95">
        <v>129.5</v>
      </c>
      <c r="V95">
        <v>126.3</v>
      </c>
      <c r="W95">
        <v>129</v>
      </c>
      <c r="X95">
        <v>120.9</v>
      </c>
      <c r="Y95">
        <v>123.8</v>
      </c>
      <c r="Z95">
        <v>123.7</v>
      </c>
      <c r="AA95">
        <v>121.1</v>
      </c>
      <c r="AB95">
        <v>113.6</v>
      </c>
      <c r="AC95">
        <v>118.5</v>
      </c>
      <c r="AD95">
        <v>123.6</v>
      </c>
      <c r="AE95">
        <v>112.5</v>
      </c>
      <c r="AF95">
        <v>118.2</v>
      </c>
      <c r="AG95">
        <v>126.1</v>
      </c>
      <c r="AH95">
        <f t="shared" si="9"/>
        <v>1646.6</v>
      </c>
      <c r="AI95">
        <f t="shared" si="10"/>
        <v>123.8</v>
      </c>
      <c r="AJ95">
        <f t="shared" si="11"/>
        <v>113.6</v>
      </c>
      <c r="AK95">
        <f t="shared" si="12"/>
        <v>123.6</v>
      </c>
      <c r="AL95">
        <f t="shared" si="13"/>
        <v>1229.8000000000002</v>
      </c>
    </row>
    <row r="96" spans="1:38" x14ac:dyDescent="0.3">
      <c r="A96" t="s">
        <v>32</v>
      </c>
      <c r="B96" s="28">
        <f t="shared" si="7"/>
        <v>42217</v>
      </c>
      <c r="C96">
        <v>2015</v>
      </c>
      <c r="D96" t="s">
        <v>40</v>
      </c>
      <c r="E96" t="str">
        <f t="shared" si="8"/>
        <v>Aug-15</v>
      </c>
      <c r="F96">
        <f>VLOOKUP(D96,'Problem Statement 4'!$G$2:$H$13,2,0)</f>
        <v>8</v>
      </c>
      <c r="G96">
        <v>123.1</v>
      </c>
      <c r="H96">
        <v>131.69999999999999</v>
      </c>
      <c r="I96">
        <v>118.1</v>
      </c>
      <c r="J96">
        <v>128</v>
      </c>
      <c r="K96">
        <v>106.8</v>
      </c>
      <c r="L96">
        <v>130.1</v>
      </c>
      <c r="M96">
        <v>165.5</v>
      </c>
      <c r="N96">
        <v>156</v>
      </c>
      <c r="O96">
        <v>85.3</v>
      </c>
      <c r="P96">
        <v>132.69999999999999</v>
      </c>
      <c r="Q96">
        <v>118.8</v>
      </c>
      <c r="R96">
        <v>131.69999999999999</v>
      </c>
      <c r="S96">
        <v>131.1</v>
      </c>
      <c r="T96">
        <v>134.19999999999999</v>
      </c>
      <c r="U96">
        <v>123.7</v>
      </c>
      <c r="V96">
        <v>118.2</v>
      </c>
      <c r="W96">
        <v>122.9</v>
      </c>
      <c r="X96">
        <v>120.9</v>
      </c>
      <c r="Y96">
        <v>115.3</v>
      </c>
      <c r="Z96">
        <v>120</v>
      </c>
      <c r="AA96">
        <v>116.6</v>
      </c>
      <c r="AB96">
        <v>109.9</v>
      </c>
      <c r="AC96">
        <v>117.2</v>
      </c>
      <c r="AD96">
        <v>126.2</v>
      </c>
      <c r="AE96">
        <v>112</v>
      </c>
      <c r="AF96">
        <v>116.2</v>
      </c>
      <c r="AG96">
        <v>123.2</v>
      </c>
      <c r="AH96">
        <f t="shared" si="9"/>
        <v>1658.8999999999999</v>
      </c>
      <c r="AI96">
        <f t="shared" si="10"/>
        <v>115.3</v>
      </c>
      <c r="AJ96">
        <f t="shared" si="11"/>
        <v>109.9</v>
      </c>
      <c r="AK96">
        <f t="shared" si="12"/>
        <v>126.2</v>
      </c>
      <c r="AL96">
        <f t="shared" si="13"/>
        <v>1201.9000000000001</v>
      </c>
    </row>
    <row r="97" spans="1:38" x14ac:dyDescent="0.3">
      <c r="A97" t="s">
        <v>33</v>
      </c>
      <c r="B97" s="28">
        <f t="shared" si="7"/>
        <v>42217</v>
      </c>
      <c r="C97">
        <v>2015</v>
      </c>
      <c r="D97" t="s">
        <v>40</v>
      </c>
      <c r="E97" t="str">
        <f t="shared" si="8"/>
        <v>Aug-15</v>
      </c>
      <c r="F97">
        <f>VLOOKUP(D97,'Problem Statement 4'!$G$2:$H$13,2,0)</f>
        <v>8</v>
      </c>
      <c r="G97">
        <v>124.2</v>
      </c>
      <c r="H97">
        <v>131.4</v>
      </c>
      <c r="I97">
        <v>120.1</v>
      </c>
      <c r="J97">
        <v>128.5</v>
      </c>
      <c r="K97">
        <v>111.4</v>
      </c>
      <c r="L97">
        <v>132.30000000000001</v>
      </c>
      <c r="M97">
        <v>157.6</v>
      </c>
      <c r="N97">
        <v>144</v>
      </c>
      <c r="O97">
        <v>90.5</v>
      </c>
      <c r="P97">
        <v>126.8</v>
      </c>
      <c r="Q97">
        <v>120.4</v>
      </c>
      <c r="R97">
        <v>132.1</v>
      </c>
      <c r="S97">
        <v>130.30000000000001</v>
      </c>
      <c r="T97">
        <v>131.19999999999999</v>
      </c>
      <c r="U97">
        <v>127.2</v>
      </c>
      <c r="V97">
        <v>122.9</v>
      </c>
      <c r="W97">
        <v>126.6</v>
      </c>
      <c r="X97">
        <v>120.9</v>
      </c>
      <c r="Y97">
        <v>120.6</v>
      </c>
      <c r="Z97">
        <v>122</v>
      </c>
      <c r="AA97">
        <v>119.4</v>
      </c>
      <c r="AB97">
        <v>111.7</v>
      </c>
      <c r="AC97">
        <v>117.8</v>
      </c>
      <c r="AD97">
        <v>125.1</v>
      </c>
      <c r="AE97">
        <v>112.3</v>
      </c>
      <c r="AF97">
        <v>117.2</v>
      </c>
      <c r="AG97">
        <v>124.8</v>
      </c>
      <c r="AH97">
        <f t="shared" si="9"/>
        <v>1649.6</v>
      </c>
      <c r="AI97">
        <f t="shared" si="10"/>
        <v>120.6</v>
      </c>
      <c r="AJ97">
        <f t="shared" si="11"/>
        <v>111.7</v>
      </c>
      <c r="AK97">
        <f t="shared" si="12"/>
        <v>125.1</v>
      </c>
      <c r="AL97">
        <f t="shared" si="13"/>
        <v>1217.5</v>
      </c>
    </row>
    <row r="98" spans="1:38" x14ac:dyDescent="0.3">
      <c r="A98" t="s">
        <v>30</v>
      </c>
      <c r="B98" s="28">
        <f t="shared" si="7"/>
        <v>42248</v>
      </c>
      <c r="C98">
        <v>2015</v>
      </c>
      <c r="D98" t="s">
        <v>41</v>
      </c>
      <c r="E98" t="str">
        <f t="shared" si="8"/>
        <v>Sep-15</v>
      </c>
      <c r="F98">
        <f>VLOOKUP(D98,'Problem Statement 4'!$G$2:$H$13,2,0)</f>
        <v>9</v>
      </c>
      <c r="G98">
        <v>125.1</v>
      </c>
      <c r="H98">
        <v>131.1</v>
      </c>
      <c r="I98">
        <v>120.7</v>
      </c>
      <c r="J98">
        <v>129.19999999999999</v>
      </c>
      <c r="K98">
        <v>114.7</v>
      </c>
      <c r="L98">
        <v>132.30000000000001</v>
      </c>
      <c r="M98">
        <v>158.9</v>
      </c>
      <c r="N98">
        <v>142.1</v>
      </c>
      <c r="O98">
        <v>92.5</v>
      </c>
      <c r="P98">
        <v>125.4</v>
      </c>
      <c r="Q98">
        <v>121.9</v>
      </c>
      <c r="R98">
        <v>132.69999999999999</v>
      </c>
      <c r="S98">
        <v>131</v>
      </c>
      <c r="T98">
        <v>131</v>
      </c>
      <c r="U98">
        <v>130.4</v>
      </c>
      <c r="V98">
        <v>126.8</v>
      </c>
      <c r="W98">
        <v>129.9</v>
      </c>
      <c r="X98">
        <v>121.6</v>
      </c>
      <c r="Y98">
        <v>123.7</v>
      </c>
      <c r="Z98">
        <v>124.5</v>
      </c>
      <c r="AA98">
        <v>121.4</v>
      </c>
      <c r="AB98">
        <v>113.8</v>
      </c>
      <c r="AC98">
        <v>119.6</v>
      </c>
      <c r="AD98">
        <v>124.5</v>
      </c>
      <c r="AE98">
        <v>113.7</v>
      </c>
      <c r="AF98">
        <v>118.8</v>
      </c>
      <c r="AG98">
        <v>127</v>
      </c>
      <c r="AH98">
        <f t="shared" si="9"/>
        <v>1657.6000000000001</v>
      </c>
      <c r="AI98">
        <f t="shared" si="10"/>
        <v>123.7</v>
      </c>
      <c r="AJ98">
        <f t="shared" si="11"/>
        <v>113.8</v>
      </c>
      <c r="AK98">
        <f t="shared" si="12"/>
        <v>124.5</v>
      </c>
      <c r="AL98">
        <f t="shared" si="13"/>
        <v>1237.7</v>
      </c>
    </row>
    <row r="99" spans="1:38" x14ac:dyDescent="0.3">
      <c r="A99" t="s">
        <v>32</v>
      </c>
      <c r="B99" s="28">
        <f t="shared" si="7"/>
        <v>42248</v>
      </c>
      <c r="C99">
        <v>2015</v>
      </c>
      <c r="D99" t="s">
        <v>41</v>
      </c>
      <c r="E99" t="str">
        <f t="shared" si="8"/>
        <v>Sep-15</v>
      </c>
      <c r="F99">
        <f>VLOOKUP(D99,'Problem Statement 4'!$G$2:$H$13,2,0)</f>
        <v>9</v>
      </c>
      <c r="G99">
        <v>123.4</v>
      </c>
      <c r="H99">
        <v>129</v>
      </c>
      <c r="I99">
        <v>115.6</v>
      </c>
      <c r="J99">
        <v>128.30000000000001</v>
      </c>
      <c r="K99">
        <v>107</v>
      </c>
      <c r="L99">
        <v>124</v>
      </c>
      <c r="M99">
        <v>168.5</v>
      </c>
      <c r="N99">
        <v>165.4</v>
      </c>
      <c r="O99">
        <v>86.3</v>
      </c>
      <c r="P99">
        <v>134.4</v>
      </c>
      <c r="Q99">
        <v>119.1</v>
      </c>
      <c r="R99">
        <v>132.30000000000001</v>
      </c>
      <c r="S99">
        <v>131.5</v>
      </c>
      <c r="T99">
        <v>134.69999999999999</v>
      </c>
      <c r="U99">
        <v>124</v>
      </c>
      <c r="V99">
        <v>118.6</v>
      </c>
      <c r="W99">
        <v>123.2</v>
      </c>
      <c r="X99">
        <v>121.6</v>
      </c>
      <c r="Y99">
        <v>115.1</v>
      </c>
      <c r="Z99">
        <v>120.4</v>
      </c>
      <c r="AA99">
        <v>117.1</v>
      </c>
      <c r="AB99">
        <v>109.1</v>
      </c>
      <c r="AC99">
        <v>117.3</v>
      </c>
      <c r="AD99">
        <v>126.5</v>
      </c>
      <c r="AE99">
        <v>112.9</v>
      </c>
      <c r="AF99">
        <v>116.2</v>
      </c>
      <c r="AG99">
        <v>123.5</v>
      </c>
      <c r="AH99">
        <f t="shared" si="9"/>
        <v>1664.8</v>
      </c>
      <c r="AI99">
        <f t="shared" si="10"/>
        <v>115.1</v>
      </c>
      <c r="AJ99">
        <f t="shared" si="11"/>
        <v>109.1</v>
      </c>
      <c r="AK99">
        <f t="shared" si="12"/>
        <v>126.5</v>
      </c>
      <c r="AL99">
        <f t="shared" si="13"/>
        <v>1206</v>
      </c>
    </row>
    <row r="100" spans="1:38" x14ac:dyDescent="0.3">
      <c r="A100" t="s">
        <v>33</v>
      </c>
      <c r="B100" s="28">
        <f t="shared" si="7"/>
        <v>42248</v>
      </c>
      <c r="C100">
        <v>2015</v>
      </c>
      <c r="D100" t="s">
        <v>41</v>
      </c>
      <c r="E100" t="str">
        <f t="shared" si="8"/>
        <v>Sep-15</v>
      </c>
      <c r="F100">
        <f>VLOOKUP(D100,'Problem Statement 4'!$G$2:$H$13,2,0)</f>
        <v>9</v>
      </c>
      <c r="G100">
        <v>124.6</v>
      </c>
      <c r="H100">
        <v>130.4</v>
      </c>
      <c r="I100">
        <v>118.7</v>
      </c>
      <c r="J100">
        <v>128.9</v>
      </c>
      <c r="K100">
        <v>111.9</v>
      </c>
      <c r="L100">
        <v>128.4</v>
      </c>
      <c r="M100">
        <v>162.19999999999999</v>
      </c>
      <c r="N100">
        <v>150</v>
      </c>
      <c r="O100">
        <v>90.4</v>
      </c>
      <c r="P100">
        <v>128.4</v>
      </c>
      <c r="Q100">
        <v>120.7</v>
      </c>
      <c r="R100">
        <v>132.5</v>
      </c>
      <c r="S100">
        <v>131.19999999999999</v>
      </c>
      <c r="T100">
        <v>132</v>
      </c>
      <c r="U100">
        <v>127.9</v>
      </c>
      <c r="V100">
        <v>123.4</v>
      </c>
      <c r="W100">
        <v>127.2</v>
      </c>
      <c r="X100">
        <v>121.6</v>
      </c>
      <c r="Y100">
        <v>120.4</v>
      </c>
      <c r="Z100">
        <v>122.6</v>
      </c>
      <c r="AA100">
        <v>119.8</v>
      </c>
      <c r="AB100">
        <v>111.3</v>
      </c>
      <c r="AC100">
        <v>118.3</v>
      </c>
      <c r="AD100">
        <v>125.7</v>
      </c>
      <c r="AE100">
        <v>113.4</v>
      </c>
      <c r="AF100">
        <v>117.5</v>
      </c>
      <c r="AG100">
        <v>125.4</v>
      </c>
      <c r="AH100">
        <f t="shared" si="9"/>
        <v>1658.3000000000002</v>
      </c>
      <c r="AI100">
        <f t="shared" si="10"/>
        <v>120.4</v>
      </c>
      <c r="AJ100">
        <f t="shared" si="11"/>
        <v>111.3</v>
      </c>
      <c r="AK100">
        <f t="shared" si="12"/>
        <v>125.7</v>
      </c>
      <c r="AL100">
        <f t="shared" si="13"/>
        <v>1223.6999999999998</v>
      </c>
    </row>
    <row r="101" spans="1:38" x14ac:dyDescent="0.3">
      <c r="A101" t="s">
        <v>30</v>
      </c>
      <c r="B101" s="28">
        <f t="shared" si="7"/>
        <v>42278</v>
      </c>
      <c r="C101">
        <v>2015</v>
      </c>
      <c r="D101" t="s">
        <v>42</v>
      </c>
      <c r="E101" t="str">
        <f t="shared" si="8"/>
        <v>Oct-15</v>
      </c>
      <c r="F101">
        <f>VLOOKUP(D101,'Problem Statement 4'!$G$2:$H$13,2,0)</f>
        <v>10</v>
      </c>
      <c r="G101">
        <v>125.6</v>
      </c>
      <c r="H101">
        <v>130.4</v>
      </c>
      <c r="I101">
        <v>120.8</v>
      </c>
      <c r="J101">
        <v>129.4</v>
      </c>
      <c r="K101">
        <v>115.8</v>
      </c>
      <c r="L101">
        <v>133.19999999999999</v>
      </c>
      <c r="M101">
        <v>157.69999999999999</v>
      </c>
      <c r="N101">
        <v>154.19999999999999</v>
      </c>
      <c r="O101">
        <v>93.7</v>
      </c>
      <c r="P101">
        <v>126.6</v>
      </c>
      <c r="Q101">
        <v>122.3</v>
      </c>
      <c r="R101">
        <v>133.1</v>
      </c>
      <c r="S101">
        <v>131.80000000000001</v>
      </c>
      <c r="T101">
        <v>131.5</v>
      </c>
      <c r="U101">
        <v>131.1</v>
      </c>
      <c r="V101">
        <v>127.3</v>
      </c>
      <c r="W101">
        <v>130.6</v>
      </c>
      <c r="X101">
        <v>122.4</v>
      </c>
      <c r="Y101">
        <v>124.4</v>
      </c>
      <c r="Z101">
        <v>125.1</v>
      </c>
      <c r="AA101">
        <v>122</v>
      </c>
      <c r="AB101">
        <v>113.8</v>
      </c>
      <c r="AC101">
        <v>120.1</v>
      </c>
      <c r="AD101">
        <v>125.1</v>
      </c>
      <c r="AE101">
        <v>114.2</v>
      </c>
      <c r="AF101">
        <v>119.2</v>
      </c>
      <c r="AG101">
        <v>127.7</v>
      </c>
      <c r="AH101">
        <f t="shared" si="9"/>
        <v>1674.6</v>
      </c>
      <c r="AI101">
        <f t="shared" si="10"/>
        <v>124.4</v>
      </c>
      <c r="AJ101">
        <f t="shared" si="11"/>
        <v>113.8</v>
      </c>
      <c r="AK101">
        <f t="shared" si="12"/>
        <v>125.1</v>
      </c>
      <c r="AL101">
        <f t="shared" si="13"/>
        <v>1243.5</v>
      </c>
    </row>
    <row r="102" spans="1:38" x14ac:dyDescent="0.3">
      <c r="A102" t="s">
        <v>32</v>
      </c>
      <c r="B102" s="28">
        <f t="shared" si="7"/>
        <v>42278</v>
      </c>
      <c r="C102">
        <v>2015</v>
      </c>
      <c r="D102" t="s">
        <v>42</v>
      </c>
      <c r="E102" t="str">
        <f t="shared" si="8"/>
        <v>Oct-15</v>
      </c>
      <c r="F102">
        <f>VLOOKUP(D102,'Problem Statement 4'!$G$2:$H$13,2,0)</f>
        <v>10</v>
      </c>
      <c r="G102">
        <v>123.6</v>
      </c>
      <c r="H102">
        <v>128.6</v>
      </c>
      <c r="I102">
        <v>115.9</v>
      </c>
      <c r="J102">
        <v>128.5</v>
      </c>
      <c r="K102">
        <v>109</v>
      </c>
      <c r="L102">
        <v>124.1</v>
      </c>
      <c r="M102">
        <v>165.8</v>
      </c>
      <c r="N102">
        <v>187.2</v>
      </c>
      <c r="O102">
        <v>89.4</v>
      </c>
      <c r="P102">
        <v>135.80000000000001</v>
      </c>
      <c r="Q102">
        <v>119.4</v>
      </c>
      <c r="R102">
        <v>132.9</v>
      </c>
      <c r="S102">
        <v>132.6</v>
      </c>
      <c r="T102">
        <v>135.30000000000001</v>
      </c>
      <c r="U102">
        <v>124.4</v>
      </c>
      <c r="V102">
        <v>118.8</v>
      </c>
      <c r="W102">
        <v>123.6</v>
      </c>
      <c r="X102">
        <v>122.4</v>
      </c>
      <c r="Y102">
        <v>114.9</v>
      </c>
      <c r="Z102">
        <v>120.7</v>
      </c>
      <c r="AA102">
        <v>117.7</v>
      </c>
      <c r="AB102">
        <v>109.3</v>
      </c>
      <c r="AC102">
        <v>117.7</v>
      </c>
      <c r="AD102">
        <v>126.5</v>
      </c>
      <c r="AE102">
        <v>113.5</v>
      </c>
      <c r="AF102">
        <v>116.5</v>
      </c>
      <c r="AG102">
        <v>124.2</v>
      </c>
      <c r="AH102">
        <f t="shared" si="9"/>
        <v>1692.8000000000002</v>
      </c>
      <c r="AI102">
        <f t="shared" si="10"/>
        <v>114.9</v>
      </c>
      <c r="AJ102">
        <f t="shared" si="11"/>
        <v>109.3</v>
      </c>
      <c r="AK102">
        <f t="shared" si="12"/>
        <v>126.5</v>
      </c>
      <c r="AL102">
        <f t="shared" si="13"/>
        <v>1210.6000000000001</v>
      </c>
    </row>
    <row r="103" spans="1:38" x14ac:dyDescent="0.3">
      <c r="A103" t="s">
        <v>33</v>
      </c>
      <c r="B103" s="28">
        <f t="shared" si="7"/>
        <v>42278</v>
      </c>
      <c r="C103">
        <v>2015</v>
      </c>
      <c r="D103" t="s">
        <v>42</v>
      </c>
      <c r="E103" t="str">
        <f t="shared" si="8"/>
        <v>Oct-15</v>
      </c>
      <c r="F103">
        <f>VLOOKUP(D103,'Problem Statement 4'!$G$2:$H$13,2,0)</f>
        <v>10</v>
      </c>
      <c r="G103">
        <v>125</v>
      </c>
      <c r="H103">
        <v>129.80000000000001</v>
      </c>
      <c r="I103">
        <v>118.9</v>
      </c>
      <c r="J103">
        <v>129.1</v>
      </c>
      <c r="K103">
        <v>113.3</v>
      </c>
      <c r="L103">
        <v>129</v>
      </c>
      <c r="M103">
        <v>160.4</v>
      </c>
      <c r="N103">
        <v>165.3</v>
      </c>
      <c r="O103">
        <v>92.3</v>
      </c>
      <c r="P103">
        <v>129.69999999999999</v>
      </c>
      <c r="Q103">
        <v>121.1</v>
      </c>
      <c r="R103">
        <v>133</v>
      </c>
      <c r="S103">
        <v>132.1</v>
      </c>
      <c r="T103">
        <v>132.5</v>
      </c>
      <c r="U103">
        <v>128.5</v>
      </c>
      <c r="V103">
        <v>123.8</v>
      </c>
      <c r="W103">
        <v>127.8</v>
      </c>
      <c r="X103">
        <v>122.4</v>
      </c>
      <c r="Y103">
        <v>120.8</v>
      </c>
      <c r="Z103">
        <v>123</v>
      </c>
      <c r="AA103">
        <v>120.4</v>
      </c>
      <c r="AB103">
        <v>111.4</v>
      </c>
      <c r="AC103">
        <v>118.7</v>
      </c>
      <c r="AD103">
        <v>125.9</v>
      </c>
      <c r="AE103">
        <v>113.9</v>
      </c>
      <c r="AF103">
        <v>117.9</v>
      </c>
      <c r="AG103">
        <v>126.1</v>
      </c>
      <c r="AH103">
        <f t="shared" si="9"/>
        <v>1678.9999999999998</v>
      </c>
      <c r="AI103">
        <f t="shared" si="10"/>
        <v>120.8</v>
      </c>
      <c r="AJ103">
        <f t="shared" si="11"/>
        <v>111.4</v>
      </c>
      <c r="AK103">
        <f t="shared" si="12"/>
        <v>125.9</v>
      </c>
      <c r="AL103">
        <f t="shared" si="13"/>
        <v>1228.9000000000001</v>
      </c>
    </row>
    <row r="104" spans="1:38" x14ac:dyDescent="0.3">
      <c r="A104" t="s">
        <v>30</v>
      </c>
      <c r="B104" s="28">
        <f t="shared" si="7"/>
        <v>42309</v>
      </c>
      <c r="C104">
        <v>2015</v>
      </c>
      <c r="D104" t="s">
        <v>44</v>
      </c>
      <c r="E104" t="str">
        <f t="shared" si="8"/>
        <v>Nov-15</v>
      </c>
      <c r="F104">
        <f>VLOOKUP(D104,'Problem Statement 4'!$G$2:$H$13,2,0)</f>
        <v>11</v>
      </c>
      <c r="G104">
        <v>126.1</v>
      </c>
      <c r="H104">
        <v>130.6</v>
      </c>
      <c r="I104">
        <v>121.7</v>
      </c>
      <c r="J104">
        <v>129.5</v>
      </c>
      <c r="K104">
        <v>117.8</v>
      </c>
      <c r="L104">
        <v>132.1</v>
      </c>
      <c r="M104">
        <v>155.19999999999999</v>
      </c>
      <c r="N104">
        <v>160.80000000000001</v>
      </c>
      <c r="O104">
        <v>94.5</v>
      </c>
      <c r="P104">
        <v>128.30000000000001</v>
      </c>
      <c r="Q104">
        <v>123.1</v>
      </c>
      <c r="R104">
        <v>134.19999999999999</v>
      </c>
      <c r="S104">
        <v>132.4</v>
      </c>
      <c r="T104">
        <v>132.19999999999999</v>
      </c>
      <c r="U104">
        <v>132.1</v>
      </c>
      <c r="V104">
        <v>128.19999999999999</v>
      </c>
      <c r="W104">
        <v>131.5</v>
      </c>
      <c r="X104">
        <v>122.9</v>
      </c>
      <c r="Y104">
        <v>125.6</v>
      </c>
      <c r="Z104">
        <v>125.6</v>
      </c>
      <c r="AA104">
        <v>122.6</v>
      </c>
      <c r="AB104">
        <v>114</v>
      </c>
      <c r="AC104">
        <v>120.9</v>
      </c>
      <c r="AD104">
        <v>125.8</v>
      </c>
      <c r="AE104">
        <v>114.2</v>
      </c>
      <c r="AF104">
        <v>119.6</v>
      </c>
      <c r="AG104">
        <v>128.30000000000001</v>
      </c>
      <c r="AH104">
        <f t="shared" si="9"/>
        <v>1686.3</v>
      </c>
      <c r="AI104">
        <f t="shared" si="10"/>
        <v>125.6</v>
      </c>
      <c r="AJ104">
        <f t="shared" si="11"/>
        <v>114</v>
      </c>
      <c r="AK104">
        <f t="shared" si="12"/>
        <v>125.8</v>
      </c>
      <c r="AL104">
        <f t="shared" si="13"/>
        <v>1249.8</v>
      </c>
    </row>
    <row r="105" spans="1:38" x14ac:dyDescent="0.3">
      <c r="A105" t="s">
        <v>32</v>
      </c>
      <c r="B105" s="28">
        <f t="shared" si="7"/>
        <v>42309</v>
      </c>
      <c r="C105">
        <v>2015</v>
      </c>
      <c r="D105" t="s">
        <v>44</v>
      </c>
      <c r="E105" t="str">
        <f t="shared" si="8"/>
        <v>Nov-15</v>
      </c>
      <c r="F105">
        <f>VLOOKUP(D105,'Problem Statement 4'!$G$2:$H$13,2,0)</f>
        <v>11</v>
      </c>
      <c r="G105">
        <v>124</v>
      </c>
      <c r="H105">
        <v>129.80000000000001</v>
      </c>
      <c r="I105">
        <v>121.5</v>
      </c>
      <c r="J105">
        <v>128.6</v>
      </c>
      <c r="K105">
        <v>110</v>
      </c>
      <c r="L105">
        <v>123.7</v>
      </c>
      <c r="M105">
        <v>164.6</v>
      </c>
      <c r="N105">
        <v>191.6</v>
      </c>
      <c r="O105">
        <v>90.8</v>
      </c>
      <c r="P105">
        <v>137.1</v>
      </c>
      <c r="Q105">
        <v>119.8</v>
      </c>
      <c r="R105">
        <v>133.69999999999999</v>
      </c>
      <c r="S105">
        <v>133.30000000000001</v>
      </c>
      <c r="T105">
        <v>137.6</v>
      </c>
      <c r="U105">
        <v>125</v>
      </c>
      <c r="V105">
        <v>119.3</v>
      </c>
      <c r="W105">
        <v>124.2</v>
      </c>
      <c r="X105">
        <v>122.9</v>
      </c>
      <c r="Y105">
        <v>115.1</v>
      </c>
      <c r="Z105">
        <v>121</v>
      </c>
      <c r="AA105">
        <v>118.1</v>
      </c>
      <c r="AB105">
        <v>109.3</v>
      </c>
      <c r="AC105">
        <v>117.9</v>
      </c>
      <c r="AD105">
        <v>126.6</v>
      </c>
      <c r="AE105">
        <v>113.3</v>
      </c>
      <c r="AF105">
        <v>116.6</v>
      </c>
      <c r="AG105">
        <v>124.6</v>
      </c>
      <c r="AH105">
        <f t="shared" si="9"/>
        <v>1708.4999999999998</v>
      </c>
      <c r="AI105">
        <f t="shared" si="10"/>
        <v>115.1</v>
      </c>
      <c r="AJ105">
        <f t="shared" si="11"/>
        <v>109.3</v>
      </c>
      <c r="AK105">
        <f t="shared" si="12"/>
        <v>126.6</v>
      </c>
      <c r="AL105">
        <f t="shared" si="13"/>
        <v>1215.8999999999999</v>
      </c>
    </row>
    <row r="106" spans="1:38" x14ac:dyDescent="0.3">
      <c r="A106" t="s">
        <v>33</v>
      </c>
      <c r="B106" s="28">
        <f t="shared" si="7"/>
        <v>42309</v>
      </c>
      <c r="C106">
        <v>2015</v>
      </c>
      <c r="D106" t="s">
        <v>44</v>
      </c>
      <c r="E106" t="str">
        <f t="shared" si="8"/>
        <v>Nov-15</v>
      </c>
      <c r="F106">
        <f>VLOOKUP(D106,'Problem Statement 4'!$G$2:$H$13,2,0)</f>
        <v>11</v>
      </c>
      <c r="G106">
        <v>125.4</v>
      </c>
      <c r="H106">
        <v>130.30000000000001</v>
      </c>
      <c r="I106">
        <v>121.6</v>
      </c>
      <c r="J106">
        <v>129.19999999999999</v>
      </c>
      <c r="K106">
        <v>114.9</v>
      </c>
      <c r="L106">
        <v>128.19999999999999</v>
      </c>
      <c r="M106">
        <v>158.4</v>
      </c>
      <c r="N106">
        <v>171.2</v>
      </c>
      <c r="O106">
        <v>93.3</v>
      </c>
      <c r="P106">
        <v>131.19999999999999</v>
      </c>
      <c r="Q106">
        <v>121.7</v>
      </c>
      <c r="R106">
        <v>134</v>
      </c>
      <c r="S106">
        <v>132.69999999999999</v>
      </c>
      <c r="T106">
        <v>133.6</v>
      </c>
      <c r="U106">
        <v>129.30000000000001</v>
      </c>
      <c r="V106">
        <v>124.5</v>
      </c>
      <c r="W106">
        <v>128.6</v>
      </c>
      <c r="X106">
        <v>122.9</v>
      </c>
      <c r="Y106">
        <v>121.6</v>
      </c>
      <c r="Z106">
        <v>123.4</v>
      </c>
      <c r="AA106">
        <v>120.9</v>
      </c>
      <c r="AB106">
        <v>111.5</v>
      </c>
      <c r="AC106">
        <v>119.2</v>
      </c>
      <c r="AD106">
        <v>126.3</v>
      </c>
      <c r="AE106">
        <v>113.8</v>
      </c>
      <c r="AF106">
        <v>118.1</v>
      </c>
      <c r="AG106">
        <v>126.6</v>
      </c>
      <c r="AH106">
        <f t="shared" si="9"/>
        <v>1692.1</v>
      </c>
      <c r="AI106">
        <f t="shared" si="10"/>
        <v>121.6</v>
      </c>
      <c r="AJ106">
        <f t="shared" si="11"/>
        <v>111.5</v>
      </c>
      <c r="AK106">
        <f t="shared" si="12"/>
        <v>126.3</v>
      </c>
      <c r="AL106">
        <f t="shared" si="13"/>
        <v>1234.3</v>
      </c>
    </row>
    <row r="107" spans="1:38" x14ac:dyDescent="0.3">
      <c r="A107" t="s">
        <v>30</v>
      </c>
      <c r="B107" s="28">
        <f t="shared" si="7"/>
        <v>42339</v>
      </c>
      <c r="C107">
        <v>2015</v>
      </c>
      <c r="D107" t="s">
        <v>45</v>
      </c>
      <c r="E107" t="str">
        <f t="shared" si="8"/>
        <v>Dec-15</v>
      </c>
      <c r="F107">
        <f>VLOOKUP(D107,'Problem Statement 4'!$G$2:$H$13,2,0)</f>
        <v>12</v>
      </c>
      <c r="G107">
        <v>126.3</v>
      </c>
      <c r="H107">
        <v>131.30000000000001</v>
      </c>
      <c r="I107">
        <v>123.3</v>
      </c>
      <c r="J107">
        <v>129.80000000000001</v>
      </c>
      <c r="K107">
        <v>118.3</v>
      </c>
      <c r="L107">
        <v>131.6</v>
      </c>
      <c r="M107">
        <v>145.5</v>
      </c>
      <c r="N107">
        <v>162.1</v>
      </c>
      <c r="O107">
        <v>95.4</v>
      </c>
      <c r="P107">
        <v>128.9</v>
      </c>
      <c r="Q107">
        <v>123.3</v>
      </c>
      <c r="R107">
        <v>135.1</v>
      </c>
      <c r="S107">
        <v>131.4</v>
      </c>
      <c r="T107">
        <v>133.1</v>
      </c>
      <c r="U107">
        <v>132.5</v>
      </c>
      <c r="V107">
        <v>128.5</v>
      </c>
      <c r="W107">
        <v>131.9</v>
      </c>
      <c r="X107">
        <v>122.4</v>
      </c>
      <c r="Y107">
        <v>125.7</v>
      </c>
      <c r="Z107">
        <v>126</v>
      </c>
      <c r="AA107">
        <v>123.1</v>
      </c>
      <c r="AB107">
        <v>114</v>
      </c>
      <c r="AC107">
        <v>121.6</v>
      </c>
      <c r="AD107">
        <v>125.6</v>
      </c>
      <c r="AE107">
        <v>114.1</v>
      </c>
      <c r="AF107">
        <v>119.8</v>
      </c>
      <c r="AG107">
        <v>127.9</v>
      </c>
      <c r="AH107">
        <f t="shared" si="9"/>
        <v>1682.3000000000002</v>
      </c>
      <c r="AI107">
        <f t="shared" si="10"/>
        <v>125.7</v>
      </c>
      <c r="AJ107">
        <f t="shared" si="11"/>
        <v>114</v>
      </c>
      <c r="AK107">
        <f t="shared" si="12"/>
        <v>125.6</v>
      </c>
      <c r="AL107">
        <f t="shared" si="13"/>
        <v>1253</v>
      </c>
    </row>
    <row r="108" spans="1:38" x14ac:dyDescent="0.3">
      <c r="A108" t="s">
        <v>32</v>
      </c>
      <c r="B108" s="28">
        <f t="shared" si="7"/>
        <v>42339</v>
      </c>
      <c r="C108">
        <v>2015</v>
      </c>
      <c r="D108" t="s">
        <v>45</v>
      </c>
      <c r="E108" t="str">
        <f t="shared" si="8"/>
        <v>Dec-15</v>
      </c>
      <c r="F108">
        <f>VLOOKUP(D108,'Problem Statement 4'!$G$2:$H$13,2,0)</f>
        <v>12</v>
      </c>
      <c r="G108">
        <v>124.3</v>
      </c>
      <c r="H108">
        <v>131.69999999999999</v>
      </c>
      <c r="I108">
        <v>127.1</v>
      </c>
      <c r="J108">
        <v>128.6</v>
      </c>
      <c r="K108">
        <v>110</v>
      </c>
      <c r="L108">
        <v>120.8</v>
      </c>
      <c r="M108">
        <v>149</v>
      </c>
      <c r="N108">
        <v>190.1</v>
      </c>
      <c r="O108">
        <v>92.7</v>
      </c>
      <c r="P108">
        <v>138.6</v>
      </c>
      <c r="Q108">
        <v>120.2</v>
      </c>
      <c r="R108">
        <v>134.19999999999999</v>
      </c>
      <c r="S108">
        <v>131.5</v>
      </c>
      <c r="T108">
        <v>138.19999999999999</v>
      </c>
      <c r="U108">
        <v>125.4</v>
      </c>
      <c r="V108">
        <v>119.5</v>
      </c>
      <c r="W108">
        <v>124.5</v>
      </c>
      <c r="X108">
        <v>122.4</v>
      </c>
      <c r="Y108">
        <v>116</v>
      </c>
      <c r="Z108">
        <v>121</v>
      </c>
      <c r="AA108">
        <v>118.6</v>
      </c>
      <c r="AB108">
        <v>109.3</v>
      </c>
      <c r="AC108">
        <v>118.1</v>
      </c>
      <c r="AD108">
        <v>126.6</v>
      </c>
      <c r="AE108">
        <v>113.2</v>
      </c>
      <c r="AF108">
        <v>116.7</v>
      </c>
      <c r="AG108">
        <v>124</v>
      </c>
      <c r="AH108">
        <f t="shared" si="9"/>
        <v>1698.8</v>
      </c>
      <c r="AI108">
        <f t="shared" si="10"/>
        <v>116</v>
      </c>
      <c r="AJ108">
        <f t="shared" si="11"/>
        <v>109.3</v>
      </c>
      <c r="AK108">
        <f t="shared" si="12"/>
        <v>126.6</v>
      </c>
      <c r="AL108">
        <f t="shared" si="13"/>
        <v>1217.6000000000001</v>
      </c>
    </row>
    <row r="109" spans="1:38" x14ac:dyDescent="0.3">
      <c r="A109" t="s">
        <v>33</v>
      </c>
      <c r="B109" s="28">
        <f t="shared" si="7"/>
        <v>42339</v>
      </c>
      <c r="C109">
        <v>2015</v>
      </c>
      <c r="D109" t="s">
        <v>45</v>
      </c>
      <c r="E109" t="str">
        <f t="shared" si="8"/>
        <v>Dec-15</v>
      </c>
      <c r="F109">
        <f>VLOOKUP(D109,'Problem Statement 4'!$G$2:$H$13,2,0)</f>
        <v>12</v>
      </c>
      <c r="G109">
        <v>125.7</v>
      </c>
      <c r="H109">
        <v>131.4</v>
      </c>
      <c r="I109">
        <v>124.8</v>
      </c>
      <c r="J109">
        <v>129.4</v>
      </c>
      <c r="K109">
        <v>115.3</v>
      </c>
      <c r="L109">
        <v>126.6</v>
      </c>
      <c r="M109">
        <v>146.69999999999999</v>
      </c>
      <c r="N109">
        <v>171.5</v>
      </c>
      <c r="O109">
        <v>94.5</v>
      </c>
      <c r="P109">
        <v>132.1</v>
      </c>
      <c r="Q109">
        <v>122</v>
      </c>
      <c r="R109">
        <v>134.69999999999999</v>
      </c>
      <c r="S109">
        <v>131.4</v>
      </c>
      <c r="T109">
        <v>134.5</v>
      </c>
      <c r="U109">
        <v>129.69999999999999</v>
      </c>
      <c r="V109">
        <v>124.8</v>
      </c>
      <c r="W109">
        <v>129</v>
      </c>
      <c r="X109">
        <v>122.4</v>
      </c>
      <c r="Y109">
        <v>122</v>
      </c>
      <c r="Z109">
        <v>123.6</v>
      </c>
      <c r="AA109">
        <v>121.4</v>
      </c>
      <c r="AB109">
        <v>111.5</v>
      </c>
      <c r="AC109">
        <v>119.6</v>
      </c>
      <c r="AD109">
        <v>126.2</v>
      </c>
      <c r="AE109">
        <v>113.7</v>
      </c>
      <c r="AF109">
        <v>118.3</v>
      </c>
      <c r="AG109">
        <v>126.1</v>
      </c>
      <c r="AH109">
        <f t="shared" si="9"/>
        <v>1686.1000000000001</v>
      </c>
      <c r="AI109">
        <f t="shared" si="10"/>
        <v>122</v>
      </c>
      <c r="AJ109">
        <f t="shared" si="11"/>
        <v>111.5</v>
      </c>
      <c r="AK109">
        <f t="shared" si="12"/>
        <v>126.2</v>
      </c>
      <c r="AL109">
        <f t="shared" si="13"/>
        <v>1237</v>
      </c>
    </row>
    <row r="110" spans="1:38" x14ac:dyDescent="0.3">
      <c r="A110" t="s">
        <v>30</v>
      </c>
      <c r="B110" s="28">
        <f t="shared" si="7"/>
        <v>42370</v>
      </c>
      <c r="C110">
        <v>2016</v>
      </c>
      <c r="D110" t="s">
        <v>31</v>
      </c>
      <c r="E110" t="str">
        <f t="shared" si="8"/>
        <v>Jan-16</v>
      </c>
      <c r="F110">
        <f>VLOOKUP(D110,'Problem Statement 4'!$G$2:$H$13,2,0)</f>
        <v>1</v>
      </c>
      <c r="G110">
        <v>126.8</v>
      </c>
      <c r="H110">
        <v>133.19999999999999</v>
      </c>
      <c r="I110">
        <v>126.5</v>
      </c>
      <c r="J110">
        <v>130.30000000000001</v>
      </c>
      <c r="K110">
        <v>118.9</v>
      </c>
      <c r="L110">
        <v>131.6</v>
      </c>
      <c r="M110">
        <v>140.1</v>
      </c>
      <c r="N110">
        <v>163.80000000000001</v>
      </c>
      <c r="O110">
        <v>97.7</v>
      </c>
      <c r="P110">
        <v>129.6</v>
      </c>
      <c r="Q110">
        <v>124.3</v>
      </c>
      <c r="R110">
        <v>135.9</v>
      </c>
      <c r="S110">
        <v>131.4</v>
      </c>
      <c r="T110">
        <v>133.6</v>
      </c>
      <c r="U110">
        <v>133.19999999999999</v>
      </c>
      <c r="V110">
        <v>128.9</v>
      </c>
      <c r="W110">
        <v>132.6</v>
      </c>
      <c r="X110">
        <v>123.4</v>
      </c>
      <c r="Y110">
        <v>126.2</v>
      </c>
      <c r="Z110">
        <v>126.6</v>
      </c>
      <c r="AA110">
        <v>123.7</v>
      </c>
      <c r="AB110">
        <v>113.6</v>
      </c>
      <c r="AC110">
        <v>121.4</v>
      </c>
      <c r="AD110">
        <v>126.2</v>
      </c>
      <c r="AE110">
        <v>114.9</v>
      </c>
      <c r="AF110">
        <v>120.1</v>
      </c>
      <c r="AG110">
        <v>128.1</v>
      </c>
      <c r="AH110">
        <f t="shared" si="9"/>
        <v>1690.1000000000001</v>
      </c>
      <c r="AI110">
        <f t="shared" si="10"/>
        <v>126.2</v>
      </c>
      <c r="AJ110">
        <f t="shared" si="11"/>
        <v>113.6</v>
      </c>
      <c r="AK110">
        <f t="shared" si="12"/>
        <v>126.2</v>
      </c>
      <c r="AL110">
        <f t="shared" si="13"/>
        <v>1258.3999999999999</v>
      </c>
    </row>
    <row r="111" spans="1:38" x14ac:dyDescent="0.3">
      <c r="A111" t="s">
        <v>32</v>
      </c>
      <c r="B111" s="28">
        <f t="shared" si="7"/>
        <v>42370</v>
      </c>
      <c r="C111">
        <v>2016</v>
      </c>
      <c r="D111" t="s">
        <v>31</v>
      </c>
      <c r="E111" t="str">
        <f t="shared" si="8"/>
        <v>Jan-16</v>
      </c>
      <c r="F111">
        <f>VLOOKUP(D111,'Problem Statement 4'!$G$2:$H$13,2,0)</f>
        <v>1</v>
      </c>
      <c r="G111">
        <v>124.7</v>
      </c>
      <c r="H111">
        <v>135.9</v>
      </c>
      <c r="I111">
        <v>132</v>
      </c>
      <c r="J111">
        <v>129.19999999999999</v>
      </c>
      <c r="K111">
        <v>109.7</v>
      </c>
      <c r="L111">
        <v>119</v>
      </c>
      <c r="M111">
        <v>144.1</v>
      </c>
      <c r="N111">
        <v>184.2</v>
      </c>
      <c r="O111">
        <v>96.7</v>
      </c>
      <c r="P111">
        <v>139.5</v>
      </c>
      <c r="Q111">
        <v>120.5</v>
      </c>
      <c r="R111">
        <v>134.69999999999999</v>
      </c>
      <c r="S111">
        <v>131.19999999999999</v>
      </c>
      <c r="T111">
        <v>139.5</v>
      </c>
      <c r="U111">
        <v>125.8</v>
      </c>
      <c r="V111">
        <v>119.8</v>
      </c>
      <c r="W111">
        <v>124.9</v>
      </c>
      <c r="X111">
        <v>123.4</v>
      </c>
      <c r="Y111">
        <v>116.9</v>
      </c>
      <c r="Z111">
        <v>121.6</v>
      </c>
      <c r="AA111">
        <v>119.1</v>
      </c>
      <c r="AB111">
        <v>108.9</v>
      </c>
      <c r="AC111">
        <v>118.5</v>
      </c>
      <c r="AD111">
        <v>126.4</v>
      </c>
      <c r="AE111">
        <v>114</v>
      </c>
      <c r="AF111">
        <v>116.8</v>
      </c>
      <c r="AG111">
        <v>124.2</v>
      </c>
      <c r="AH111">
        <f t="shared" si="9"/>
        <v>1701.4</v>
      </c>
      <c r="AI111">
        <f t="shared" si="10"/>
        <v>116.9</v>
      </c>
      <c r="AJ111">
        <f t="shared" si="11"/>
        <v>108.9</v>
      </c>
      <c r="AK111">
        <f t="shared" si="12"/>
        <v>126.4</v>
      </c>
      <c r="AL111">
        <f t="shared" si="13"/>
        <v>1223.3999999999999</v>
      </c>
    </row>
    <row r="112" spans="1:38" x14ac:dyDescent="0.3">
      <c r="A112" t="s">
        <v>33</v>
      </c>
      <c r="B112" s="28">
        <f t="shared" si="7"/>
        <v>42370</v>
      </c>
      <c r="C112">
        <v>2016</v>
      </c>
      <c r="D112" t="s">
        <v>31</v>
      </c>
      <c r="E112" t="str">
        <f t="shared" si="8"/>
        <v>Jan-16</v>
      </c>
      <c r="F112">
        <f>VLOOKUP(D112,'Problem Statement 4'!$G$2:$H$13,2,0)</f>
        <v>1</v>
      </c>
      <c r="G112">
        <v>126.1</v>
      </c>
      <c r="H112">
        <v>134.1</v>
      </c>
      <c r="I112">
        <v>128.6</v>
      </c>
      <c r="J112">
        <v>129.9</v>
      </c>
      <c r="K112">
        <v>115.5</v>
      </c>
      <c r="L112">
        <v>125.7</v>
      </c>
      <c r="M112">
        <v>141.5</v>
      </c>
      <c r="N112">
        <v>170.7</v>
      </c>
      <c r="O112">
        <v>97.4</v>
      </c>
      <c r="P112">
        <v>132.9</v>
      </c>
      <c r="Q112">
        <v>122.7</v>
      </c>
      <c r="R112">
        <v>135.30000000000001</v>
      </c>
      <c r="S112">
        <v>131.30000000000001</v>
      </c>
      <c r="T112">
        <v>135.19999999999999</v>
      </c>
      <c r="U112">
        <v>130.30000000000001</v>
      </c>
      <c r="V112">
        <v>125.1</v>
      </c>
      <c r="W112">
        <v>129.5</v>
      </c>
      <c r="X112">
        <v>123.4</v>
      </c>
      <c r="Y112">
        <v>122.7</v>
      </c>
      <c r="Z112">
        <v>124.2</v>
      </c>
      <c r="AA112">
        <v>122</v>
      </c>
      <c r="AB112">
        <v>111.1</v>
      </c>
      <c r="AC112">
        <v>119.8</v>
      </c>
      <c r="AD112">
        <v>126.3</v>
      </c>
      <c r="AE112">
        <v>114.5</v>
      </c>
      <c r="AF112">
        <v>118.5</v>
      </c>
      <c r="AG112">
        <v>126.3</v>
      </c>
      <c r="AH112">
        <f t="shared" si="9"/>
        <v>1691.7</v>
      </c>
      <c r="AI112">
        <f t="shared" si="10"/>
        <v>122.7</v>
      </c>
      <c r="AJ112">
        <f t="shared" si="11"/>
        <v>111.1</v>
      </c>
      <c r="AK112">
        <f t="shared" si="12"/>
        <v>126.3</v>
      </c>
      <c r="AL112">
        <f t="shared" si="13"/>
        <v>1242.5</v>
      </c>
    </row>
    <row r="113" spans="1:38" x14ac:dyDescent="0.3">
      <c r="A113" t="s">
        <v>30</v>
      </c>
      <c r="B113" s="28">
        <f t="shared" si="7"/>
        <v>42401</v>
      </c>
      <c r="C113">
        <v>2016</v>
      </c>
      <c r="D113" t="s">
        <v>34</v>
      </c>
      <c r="E113" t="str">
        <f t="shared" si="8"/>
        <v>Feb-16</v>
      </c>
      <c r="F113">
        <f>VLOOKUP(D113,'Problem Statement 4'!$G$2:$H$13,2,0)</f>
        <v>2</v>
      </c>
      <c r="G113">
        <v>127.1</v>
      </c>
      <c r="H113">
        <v>133.69999999999999</v>
      </c>
      <c r="I113">
        <v>127.7</v>
      </c>
      <c r="J113">
        <v>130.69999999999999</v>
      </c>
      <c r="K113">
        <v>118.5</v>
      </c>
      <c r="L113">
        <v>130.4</v>
      </c>
      <c r="M113">
        <v>130.9</v>
      </c>
      <c r="N113">
        <v>162.80000000000001</v>
      </c>
      <c r="O113">
        <v>98.7</v>
      </c>
      <c r="P113">
        <v>130.6</v>
      </c>
      <c r="Q113">
        <v>124.8</v>
      </c>
      <c r="R113">
        <v>136.4</v>
      </c>
      <c r="S113">
        <v>130.30000000000001</v>
      </c>
      <c r="T113">
        <v>134.4</v>
      </c>
      <c r="U113">
        <v>133.9</v>
      </c>
      <c r="V113">
        <v>129.80000000000001</v>
      </c>
      <c r="W113">
        <v>133.4</v>
      </c>
      <c r="X113">
        <v>124.4</v>
      </c>
      <c r="Y113">
        <v>127.5</v>
      </c>
      <c r="Z113">
        <v>127.1</v>
      </c>
      <c r="AA113">
        <v>124.3</v>
      </c>
      <c r="AB113">
        <v>113.9</v>
      </c>
      <c r="AC113">
        <v>122.3</v>
      </c>
      <c r="AD113">
        <v>127.1</v>
      </c>
      <c r="AE113">
        <v>116.8</v>
      </c>
      <c r="AF113">
        <v>120.9</v>
      </c>
      <c r="AG113">
        <v>127.9</v>
      </c>
      <c r="AH113">
        <f t="shared" si="9"/>
        <v>1682.6</v>
      </c>
      <c r="AI113">
        <f t="shared" si="10"/>
        <v>127.5</v>
      </c>
      <c r="AJ113">
        <f t="shared" si="11"/>
        <v>113.9</v>
      </c>
      <c r="AK113">
        <f t="shared" si="12"/>
        <v>127.1</v>
      </c>
      <c r="AL113">
        <f t="shared" si="13"/>
        <v>1267.3</v>
      </c>
    </row>
    <row r="114" spans="1:38" x14ac:dyDescent="0.3">
      <c r="A114" t="s">
        <v>32</v>
      </c>
      <c r="B114" s="28">
        <f t="shared" si="7"/>
        <v>42401</v>
      </c>
      <c r="C114">
        <v>2016</v>
      </c>
      <c r="D114" t="s">
        <v>34</v>
      </c>
      <c r="E114" t="str">
        <f t="shared" si="8"/>
        <v>Feb-16</v>
      </c>
      <c r="F114">
        <f>VLOOKUP(D114,'Problem Statement 4'!$G$2:$H$13,2,0)</f>
        <v>2</v>
      </c>
      <c r="G114">
        <v>124.8</v>
      </c>
      <c r="H114">
        <v>135.1</v>
      </c>
      <c r="I114">
        <v>130.30000000000001</v>
      </c>
      <c r="J114">
        <v>129.6</v>
      </c>
      <c r="K114">
        <v>108.4</v>
      </c>
      <c r="L114">
        <v>118.6</v>
      </c>
      <c r="M114">
        <v>129.19999999999999</v>
      </c>
      <c r="N114">
        <v>176.4</v>
      </c>
      <c r="O114">
        <v>99.1</v>
      </c>
      <c r="P114">
        <v>139.69999999999999</v>
      </c>
      <c r="Q114">
        <v>120.6</v>
      </c>
      <c r="R114">
        <v>135.19999999999999</v>
      </c>
      <c r="S114">
        <v>129.1</v>
      </c>
      <c r="T114">
        <v>140</v>
      </c>
      <c r="U114">
        <v>126.2</v>
      </c>
      <c r="V114">
        <v>120.1</v>
      </c>
      <c r="W114">
        <v>125.3</v>
      </c>
      <c r="X114">
        <v>124.4</v>
      </c>
      <c r="Y114">
        <v>116</v>
      </c>
      <c r="Z114">
        <v>121.8</v>
      </c>
      <c r="AA114">
        <v>119.5</v>
      </c>
      <c r="AB114">
        <v>109.1</v>
      </c>
      <c r="AC114">
        <v>118.8</v>
      </c>
      <c r="AD114">
        <v>126.3</v>
      </c>
      <c r="AE114">
        <v>116.2</v>
      </c>
      <c r="AF114">
        <v>117.2</v>
      </c>
      <c r="AG114">
        <v>123.8</v>
      </c>
      <c r="AH114">
        <f t="shared" si="9"/>
        <v>1676.1</v>
      </c>
      <c r="AI114">
        <f t="shared" si="10"/>
        <v>116</v>
      </c>
      <c r="AJ114">
        <f t="shared" si="11"/>
        <v>109.1</v>
      </c>
      <c r="AK114">
        <f t="shared" si="12"/>
        <v>126.3</v>
      </c>
      <c r="AL114">
        <f t="shared" si="13"/>
        <v>1229.5</v>
      </c>
    </row>
    <row r="115" spans="1:38" x14ac:dyDescent="0.3">
      <c r="A115" t="s">
        <v>33</v>
      </c>
      <c r="B115" s="28">
        <f t="shared" si="7"/>
        <v>42401</v>
      </c>
      <c r="C115">
        <v>2016</v>
      </c>
      <c r="D115" t="s">
        <v>34</v>
      </c>
      <c r="E115" t="str">
        <f t="shared" si="8"/>
        <v>Feb-16</v>
      </c>
      <c r="F115">
        <f>VLOOKUP(D115,'Problem Statement 4'!$G$2:$H$13,2,0)</f>
        <v>2</v>
      </c>
      <c r="G115">
        <v>126.4</v>
      </c>
      <c r="H115">
        <v>134.19999999999999</v>
      </c>
      <c r="I115">
        <v>128.69999999999999</v>
      </c>
      <c r="J115">
        <v>130.30000000000001</v>
      </c>
      <c r="K115">
        <v>114.8</v>
      </c>
      <c r="L115">
        <v>124.9</v>
      </c>
      <c r="M115">
        <v>130.30000000000001</v>
      </c>
      <c r="N115">
        <v>167.4</v>
      </c>
      <c r="O115">
        <v>98.8</v>
      </c>
      <c r="P115">
        <v>133.6</v>
      </c>
      <c r="Q115">
        <v>123</v>
      </c>
      <c r="R115">
        <v>135.80000000000001</v>
      </c>
      <c r="S115">
        <v>129.9</v>
      </c>
      <c r="T115">
        <v>135.9</v>
      </c>
      <c r="U115">
        <v>130.9</v>
      </c>
      <c r="V115">
        <v>125.8</v>
      </c>
      <c r="W115">
        <v>130.19999999999999</v>
      </c>
      <c r="X115">
        <v>124.4</v>
      </c>
      <c r="Y115">
        <v>123.1</v>
      </c>
      <c r="Z115">
        <v>124.6</v>
      </c>
      <c r="AA115">
        <v>122.5</v>
      </c>
      <c r="AB115">
        <v>111.4</v>
      </c>
      <c r="AC115">
        <v>120.3</v>
      </c>
      <c r="AD115">
        <v>126.6</v>
      </c>
      <c r="AE115">
        <v>116.6</v>
      </c>
      <c r="AF115">
        <v>119.1</v>
      </c>
      <c r="AG115">
        <v>126</v>
      </c>
      <c r="AH115">
        <f t="shared" si="9"/>
        <v>1678.1</v>
      </c>
      <c r="AI115">
        <f t="shared" si="10"/>
        <v>123.1</v>
      </c>
      <c r="AJ115">
        <f t="shared" si="11"/>
        <v>111.4</v>
      </c>
      <c r="AK115">
        <f t="shared" si="12"/>
        <v>126.6</v>
      </c>
      <c r="AL115">
        <f t="shared" si="13"/>
        <v>1250.2999999999997</v>
      </c>
    </row>
    <row r="116" spans="1:38" x14ac:dyDescent="0.3">
      <c r="A116" t="s">
        <v>30</v>
      </c>
      <c r="B116" s="28">
        <f t="shared" si="7"/>
        <v>42430</v>
      </c>
      <c r="C116">
        <v>2016</v>
      </c>
      <c r="D116" t="s">
        <v>35</v>
      </c>
      <c r="E116" t="str">
        <f t="shared" si="8"/>
        <v>Mar-16</v>
      </c>
      <c r="F116">
        <f>VLOOKUP(D116,'Problem Statement 4'!$G$2:$H$13,2,0)</f>
        <v>3</v>
      </c>
      <c r="G116">
        <v>127.3</v>
      </c>
      <c r="H116">
        <v>134.4</v>
      </c>
      <c r="I116">
        <v>125.1</v>
      </c>
      <c r="J116">
        <v>130.5</v>
      </c>
      <c r="K116">
        <v>118.3</v>
      </c>
      <c r="L116">
        <v>131.69999999999999</v>
      </c>
      <c r="M116">
        <v>130.69999999999999</v>
      </c>
      <c r="N116">
        <v>161.19999999999999</v>
      </c>
      <c r="O116">
        <v>100.4</v>
      </c>
      <c r="P116">
        <v>130.80000000000001</v>
      </c>
      <c r="Q116">
        <v>124.9</v>
      </c>
      <c r="R116">
        <v>137</v>
      </c>
      <c r="S116">
        <v>130.4</v>
      </c>
      <c r="T116">
        <v>135</v>
      </c>
      <c r="U116">
        <v>134.4</v>
      </c>
      <c r="V116">
        <v>130.19999999999999</v>
      </c>
      <c r="W116">
        <v>133.80000000000001</v>
      </c>
      <c r="X116">
        <v>124.9</v>
      </c>
      <c r="Y116">
        <v>127</v>
      </c>
      <c r="Z116">
        <v>127.7</v>
      </c>
      <c r="AA116">
        <v>124.8</v>
      </c>
      <c r="AB116">
        <v>113.6</v>
      </c>
      <c r="AC116">
        <v>122.5</v>
      </c>
      <c r="AD116">
        <v>127.5</v>
      </c>
      <c r="AE116">
        <v>117.4</v>
      </c>
      <c r="AF116">
        <v>121.1</v>
      </c>
      <c r="AG116">
        <v>128</v>
      </c>
      <c r="AH116">
        <f t="shared" si="9"/>
        <v>1682.7000000000003</v>
      </c>
      <c r="AI116">
        <f t="shared" si="10"/>
        <v>127</v>
      </c>
      <c r="AJ116">
        <f t="shared" si="11"/>
        <v>113.6</v>
      </c>
      <c r="AK116">
        <f t="shared" si="12"/>
        <v>127.5</v>
      </c>
      <c r="AL116">
        <f t="shared" si="13"/>
        <v>1271.8</v>
      </c>
    </row>
    <row r="117" spans="1:38" x14ac:dyDescent="0.3">
      <c r="A117" t="s">
        <v>32</v>
      </c>
      <c r="B117" s="28">
        <f t="shared" si="7"/>
        <v>42430</v>
      </c>
      <c r="C117">
        <v>2016</v>
      </c>
      <c r="D117" t="s">
        <v>35</v>
      </c>
      <c r="E117" t="str">
        <f t="shared" si="8"/>
        <v>Mar-16</v>
      </c>
      <c r="F117">
        <f>VLOOKUP(D117,'Problem Statement 4'!$G$2:$H$13,2,0)</f>
        <v>3</v>
      </c>
      <c r="G117">
        <v>124.8</v>
      </c>
      <c r="H117">
        <v>136.30000000000001</v>
      </c>
      <c r="I117">
        <v>123.7</v>
      </c>
      <c r="J117">
        <v>129.69999999999999</v>
      </c>
      <c r="K117">
        <v>107.9</v>
      </c>
      <c r="L117">
        <v>119.9</v>
      </c>
      <c r="M117">
        <v>128.1</v>
      </c>
      <c r="N117">
        <v>170.3</v>
      </c>
      <c r="O117">
        <v>101.8</v>
      </c>
      <c r="P117">
        <v>140.1</v>
      </c>
      <c r="Q117">
        <v>120.7</v>
      </c>
      <c r="R117">
        <v>135.4</v>
      </c>
      <c r="S117">
        <v>128.9</v>
      </c>
      <c r="T117">
        <v>140.6</v>
      </c>
      <c r="U117">
        <v>126.4</v>
      </c>
      <c r="V117">
        <v>120.3</v>
      </c>
      <c r="W117">
        <v>125.5</v>
      </c>
      <c r="X117">
        <v>124.9</v>
      </c>
      <c r="Y117">
        <v>114.8</v>
      </c>
      <c r="Z117">
        <v>122.3</v>
      </c>
      <c r="AA117">
        <v>119.7</v>
      </c>
      <c r="AB117">
        <v>108.5</v>
      </c>
      <c r="AC117">
        <v>119.1</v>
      </c>
      <c r="AD117">
        <v>126.4</v>
      </c>
      <c r="AE117">
        <v>117.1</v>
      </c>
      <c r="AF117">
        <v>117.3</v>
      </c>
      <c r="AG117">
        <v>123.8</v>
      </c>
      <c r="AH117">
        <f t="shared" si="9"/>
        <v>1667.6000000000001</v>
      </c>
      <c r="AI117">
        <f t="shared" si="10"/>
        <v>114.8</v>
      </c>
      <c r="AJ117">
        <f t="shared" si="11"/>
        <v>108.5</v>
      </c>
      <c r="AK117">
        <f t="shared" si="12"/>
        <v>126.4</v>
      </c>
      <c r="AL117">
        <f t="shared" si="13"/>
        <v>1233.1999999999998</v>
      </c>
    </row>
    <row r="118" spans="1:38" x14ac:dyDescent="0.3">
      <c r="A118" t="s">
        <v>33</v>
      </c>
      <c r="B118" s="28">
        <f t="shared" si="7"/>
        <v>42430</v>
      </c>
      <c r="C118">
        <v>2016</v>
      </c>
      <c r="D118" t="s">
        <v>35</v>
      </c>
      <c r="E118" t="str">
        <f t="shared" si="8"/>
        <v>Mar-16</v>
      </c>
      <c r="F118">
        <f>VLOOKUP(D118,'Problem Statement 4'!$G$2:$H$13,2,0)</f>
        <v>3</v>
      </c>
      <c r="G118">
        <v>126.5</v>
      </c>
      <c r="H118">
        <v>135.1</v>
      </c>
      <c r="I118">
        <v>124.6</v>
      </c>
      <c r="J118">
        <v>130.19999999999999</v>
      </c>
      <c r="K118">
        <v>114.5</v>
      </c>
      <c r="L118">
        <v>126.2</v>
      </c>
      <c r="M118">
        <v>129.80000000000001</v>
      </c>
      <c r="N118">
        <v>164.3</v>
      </c>
      <c r="O118">
        <v>100.9</v>
      </c>
      <c r="P118">
        <v>133.9</v>
      </c>
      <c r="Q118">
        <v>123.1</v>
      </c>
      <c r="R118">
        <v>136.30000000000001</v>
      </c>
      <c r="S118">
        <v>129.80000000000001</v>
      </c>
      <c r="T118">
        <v>136.5</v>
      </c>
      <c r="U118">
        <v>131.30000000000001</v>
      </c>
      <c r="V118">
        <v>126.1</v>
      </c>
      <c r="W118">
        <v>130.5</v>
      </c>
      <c r="X118">
        <v>124.9</v>
      </c>
      <c r="Y118">
        <v>122.4</v>
      </c>
      <c r="Z118">
        <v>125.1</v>
      </c>
      <c r="AA118">
        <v>122.9</v>
      </c>
      <c r="AB118">
        <v>110.9</v>
      </c>
      <c r="AC118">
        <v>120.6</v>
      </c>
      <c r="AD118">
        <v>126.9</v>
      </c>
      <c r="AE118">
        <v>117.3</v>
      </c>
      <c r="AF118">
        <v>119.3</v>
      </c>
      <c r="AG118">
        <v>126</v>
      </c>
      <c r="AH118">
        <f t="shared" si="9"/>
        <v>1675.2</v>
      </c>
      <c r="AI118">
        <f t="shared" si="10"/>
        <v>122.4</v>
      </c>
      <c r="AJ118">
        <f t="shared" si="11"/>
        <v>110.9</v>
      </c>
      <c r="AK118">
        <f t="shared" si="12"/>
        <v>126.9</v>
      </c>
      <c r="AL118">
        <f t="shared" si="13"/>
        <v>1254.5</v>
      </c>
    </row>
    <row r="119" spans="1:38" x14ac:dyDescent="0.3">
      <c r="A119" t="s">
        <v>30</v>
      </c>
      <c r="B119" s="28">
        <f t="shared" si="7"/>
        <v>42461</v>
      </c>
      <c r="C119">
        <v>2016</v>
      </c>
      <c r="D119" t="s">
        <v>36</v>
      </c>
      <c r="E119" t="str">
        <f t="shared" si="8"/>
        <v>Apr-16</v>
      </c>
      <c r="F119">
        <f>VLOOKUP(D119,'Problem Statement 4'!$G$2:$H$13,2,0)</f>
        <v>4</v>
      </c>
      <c r="G119">
        <v>127.4</v>
      </c>
      <c r="H119">
        <v>135.4</v>
      </c>
      <c r="I119">
        <v>123.4</v>
      </c>
      <c r="J119">
        <v>131.30000000000001</v>
      </c>
      <c r="K119">
        <v>118.2</v>
      </c>
      <c r="L119">
        <v>138.1</v>
      </c>
      <c r="M119">
        <v>134.1</v>
      </c>
      <c r="N119">
        <v>162.69999999999999</v>
      </c>
      <c r="O119">
        <v>105</v>
      </c>
      <c r="P119">
        <v>131.4</v>
      </c>
      <c r="Q119">
        <v>125.4</v>
      </c>
      <c r="R119">
        <v>137.4</v>
      </c>
      <c r="S119">
        <v>131.80000000000001</v>
      </c>
      <c r="T119">
        <v>135.5</v>
      </c>
      <c r="U119">
        <v>135</v>
      </c>
      <c r="V119">
        <v>130.6</v>
      </c>
      <c r="W119">
        <v>134.4</v>
      </c>
      <c r="X119">
        <v>125.6</v>
      </c>
      <c r="Y119">
        <v>127</v>
      </c>
      <c r="Z119">
        <v>128</v>
      </c>
      <c r="AA119">
        <v>125.2</v>
      </c>
      <c r="AB119">
        <v>114.4</v>
      </c>
      <c r="AC119">
        <v>123.2</v>
      </c>
      <c r="AD119">
        <v>127.9</v>
      </c>
      <c r="AE119">
        <v>118.4</v>
      </c>
      <c r="AF119">
        <v>121.7</v>
      </c>
      <c r="AG119">
        <v>129</v>
      </c>
      <c r="AH119">
        <f t="shared" si="9"/>
        <v>1701.6000000000004</v>
      </c>
      <c r="AI119">
        <f t="shared" si="10"/>
        <v>127</v>
      </c>
      <c r="AJ119">
        <f t="shared" si="11"/>
        <v>114.4</v>
      </c>
      <c r="AK119">
        <f t="shared" si="12"/>
        <v>127.9</v>
      </c>
      <c r="AL119">
        <f t="shared" si="13"/>
        <v>1277.6000000000001</v>
      </c>
    </row>
    <row r="120" spans="1:38" x14ac:dyDescent="0.3">
      <c r="A120" t="s">
        <v>32</v>
      </c>
      <c r="B120" s="28">
        <f t="shared" si="7"/>
        <v>42461</v>
      </c>
      <c r="C120">
        <v>2016</v>
      </c>
      <c r="D120" t="s">
        <v>36</v>
      </c>
      <c r="E120" t="str">
        <f t="shared" si="8"/>
        <v>Apr-16</v>
      </c>
      <c r="F120">
        <f>VLOOKUP(D120,'Problem Statement 4'!$G$2:$H$13,2,0)</f>
        <v>4</v>
      </c>
      <c r="G120">
        <v>124.9</v>
      </c>
      <c r="H120">
        <v>139.30000000000001</v>
      </c>
      <c r="I120">
        <v>119.9</v>
      </c>
      <c r="J120">
        <v>130.19999999999999</v>
      </c>
      <c r="K120">
        <v>108.9</v>
      </c>
      <c r="L120">
        <v>131.1</v>
      </c>
      <c r="M120">
        <v>136.80000000000001</v>
      </c>
      <c r="N120">
        <v>176.9</v>
      </c>
      <c r="O120">
        <v>109.1</v>
      </c>
      <c r="P120">
        <v>140.4</v>
      </c>
      <c r="Q120">
        <v>121.1</v>
      </c>
      <c r="R120">
        <v>135.9</v>
      </c>
      <c r="S120">
        <v>131.80000000000001</v>
      </c>
      <c r="T120">
        <v>141.5</v>
      </c>
      <c r="U120">
        <v>126.8</v>
      </c>
      <c r="V120">
        <v>120.5</v>
      </c>
      <c r="W120">
        <v>125.8</v>
      </c>
      <c r="X120">
        <v>125.6</v>
      </c>
      <c r="Y120">
        <v>114.6</v>
      </c>
      <c r="Z120">
        <v>122.8</v>
      </c>
      <c r="AA120">
        <v>120</v>
      </c>
      <c r="AB120">
        <v>110</v>
      </c>
      <c r="AC120">
        <v>119.5</v>
      </c>
      <c r="AD120">
        <v>127.6</v>
      </c>
      <c r="AE120">
        <v>117.6</v>
      </c>
      <c r="AF120">
        <v>118.2</v>
      </c>
      <c r="AG120">
        <v>125.3</v>
      </c>
      <c r="AH120">
        <f t="shared" si="9"/>
        <v>1706.3</v>
      </c>
      <c r="AI120">
        <f t="shared" si="10"/>
        <v>114.6</v>
      </c>
      <c r="AJ120">
        <f t="shared" si="11"/>
        <v>110</v>
      </c>
      <c r="AK120">
        <f t="shared" si="12"/>
        <v>127.6</v>
      </c>
      <c r="AL120">
        <f t="shared" si="13"/>
        <v>1238.3</v>
      </c>
    </row>
    <row r="121" spans="1:38" x14ac:dyDescent="0.3">
      <c r="A121" t="s">
        <v>33</v>
      </c>
      <c r="B121" s="28">
        <f t="shared" si="7"/>
        <v>42461</v>
      </c>
      <c r="C121">
        <v>2016</v>
      </c>
      <c r="D121" t="s">
        <v>36</v>
      </c>
      <c r="E121" t="str">
        <f t="shared" si="8"/>
        <v>Apr-16</v>
      </c>
      <c r="F121">
        <f>VLOOKUP(D121,'Problem Statement 4'!$G$2:$H$13,2,0)</f>
        <v>4</v>
      </c>
      <c r="G121">
        <v>126.6</v>
      </c>
      <c r="H121">
        <v>136.80000000000001</v>
      </c>
      <c r="I121">
        <v>122</v>
      </c>
      <c r="J121">
        <v>130.9</v>
      </c>
      <c r="K121">
        <v>114.8</v>
      </c>
      <c r="L121">
        <v>134.80000000000001</v>
      </c>
      <c r="M121">
        <v>135</v>
      </c>
      <c r="N121">
        <v>167.5</v>
      </c>
      <c r="O121">
        <v>106.4</v>
      </c>
      <c r="P121">
        <v>134.4</v>
      </c>
      <c r="Q121">
        <v>123.6</v>
      </c>
      <c r="R121">
        <v>136.69999999999999</v>
      </c>
      <c r="S121">
        <v>131.80000000000001</v>
      </c>
      <c r="T121">
        <v>137.1</v>
      </c>
      <c r="U121">
        <v>131.80000000000001</v>
      </c>
      <c r="V121">
        <v>126.4</v>
      </c>
      <c r="W121">
        <v>131</v>
      </c>
      <c r="X121">
        <v>125.6</v>
      </c>
      <c r="Y121">
        <v>122.3</v>
      </c>
      <c r="Z121">
        <v>125.5</v>
      </c>
      <c r="AA121">
        <v>123.2</v>
      </c>
      <c r="AB121">
        <v>112.1</v>
      </c>
      <c r="AC121">
        <v>121.1</v>
      </c>
      <c r="AD121">
        <v>127.7</v>
      </c>
      <c r="AE121">
        <v>118.1</v>
      </c>
      <c r="AF121">
        <v>120</v>
      </c>
      <c r="AG121">
        <v>127.3</v>
      </c>
      <c r="AH121">
        <f t="shared" si="9"/>
        <v>1701.3</v>
      </c>
      <c r="AI121">
        <f t="shared" si="10"/>
        <v>122.3</v>
      </c>
      <c r="AJ121">
        <f t="shared" si="11"/>
        <v>112.1</v>
      </c>
      <c r="AK121">
        <f t="shared" si="12"/>
        <v>127.7</v>
      </c>
      <c r="AL121">
        <f t="shared" si="13"/>
        <v>1259.8</v>
      </c>
    </row>
    <row r="122" spans="1:38" x14ac:dyDescent="0.3">
      <c r="A122" t="s">
        <v>30</v>
      </c>
      <c r="B122" s="28">
        <f t="shared" si="7"/>
        <v>42491</v>
      </c>
      <c r="C122">
        <v>2016</v>
      </c>
      <c r="D122" t="s">
        <v>37</v>
      </c>
      <c r="E122" t="str">
        <f t="shared" si="8"/>
        <v>May-16</v>
      </c>
      <c r="F122">
        <f>VLOOKUP(D122,'Problem Statement 4'!$G$2:$H$13,2,0)</f>
        <v>5</v>
      </c>
      <c r="G122">
        <v>127.6</v>
      </c>
      <c r="H122">
        <v>137.5</v>
      </c>
      <c r="I122">
        <v>124.4</v>
      </c>
      <c r="J122">
        <v>132.4</v>
      </c>
      <c r="K122">
        <v>118.2</v>
      </c>
      <c r="L122">
        <v>138.1</v>
      </c>
      <c r="M122">
        <v>141.80000000000001</v>
      </c>
      <c r="N122">
        <v>166</v>
      </c>
      <c r="O122">
        <v>107.5</v>
      </c>
      <c r="P122">
        <v>132.19999999999999</v>
      </c>
      <c r="Q122">
        <v>126.1</v>
      </c>
      <c r="R122">
        <v>138.30000000000001</v>
      </c>
      <c r="S122">
        <v>133.6</v>
      </c>
      <c r="T122">
        <v>136</v>
      </c>
      <c r="U122">
        <v>135.4</v>
      </c>
      <c r="V122">
        <v>131.1</v>
      </c>
      <c r="W122">
        <v>134.80000000000001</v>
      </c>
      <c r="X122">
        <v>126</v>
      </c>
      <c r="Y122">
        <v>127.4</v>
      </c>
      <c r="Z122">
        <v>128.5</v>
      </c>
      <c r="AA122">
        <v>125.8</v>
      </c>
      <c r="AB122">
        <v>115.1</v>
      </c>
      <c r="AC122">
        <v>123.6</v>
      </c>
      <c r="AD122">
        <v>129.1</v>
      </c>
      <c r="AE122">
        <v>119.7</v>
      </c>
      <c r="AF122">
        <v>122.5</v>
      </c>
      <c r="AG122">
        <v>130.30000000000001</v>
      </c>
      <c r="AH122">
        <f t="shared" si="9"/>
        <v>1723.6999999999998</v>
      </c>
      <c r="AI122">
        <f t="shared" si="10"/>
        <v>127.4</v>
      </c>
      <c r="AJ122">
        <f t="shared" si="11"/>
        <v>115.1</v>
      </c>
      <c r="AK122">
        <f t="shared" si="12"/>
        <v>129.1</v>
      </c>
      <c r="AL122">
        <f t="shared" si="13"/>
        <v>1283.3999999999999</v>
      </c>
    </row>
    <row r="123" spans="1:38" x14ac:dyDescent="0.3">
      <c r="A123" t="s">
        <v>32</v>
      </c>
      <c r="B123" s="28">
        <f t="shared" si="7"/>
        <v>42491</v>
      </c>
      <c r="C123">
        <v>2016</v>
      </c>
      <c r="D123" t="s">
        <v>37</v>
      </c>
      <c r="E123" t="str">
        <f t="shared" si="8"/>
        <v>May-16</v>
      </c>
      <c r="F123">
        <f>VLOOKUP(D123,'Problem Statement 4'!$G$2:$H$13,2,0)</f>
        <v>5</v>
      </c>
      <c r="G123">
        <v>125</v>
      </c>
      <c r="H123">
        <v>142.1</v>
      </c>
      <c r="I123">
        <v>127</v>
      </c>
      <c r="J123">
        <v>130.4</v>
      </c>
      <c r="K123">
        <v>109.6</v>
      </c>
      <c r="L123">
        <v>133.5</v>
      </c>
      <c r="M123">
        <v>151.4</v>
      </c>
      <c r="N123">
        <v>182.8</v>
      </c>
      <c r="O123">
        <v>111.1</v>
      </c>
      <c r="P123">
        <v>141.5</v>
      </c>
      <c r="Q123">
        <v>121.5</v>
      </c>
      <c r="R123">
        <v>136.30000000000001</v>
      </c>
      <c r="S123">
        <v>134.6</v>
      </c>
      <c r="T123">
        <v>142.19999999999999</v>
      </c>
      <c r="U123">
        <v>127.2</v>
      </c>
      <c r="V123">
        <v>120.7</v>
      </c>
      <c r="W123">
        <v>126.2</v>
      </c>
      <c r="X123">
        <v>126</v>
      </c>
      <c r="Y123">
        <v>115</v>
      </c>
      <c r="Z123">
        <v>123.2</v>
      </c>
      <c r="AA123">
        <v>120.3</v>
      </c>
      <c r="AB123">
        <v>110.7</v>
      </c>
      <c r="AC123">
        <v>119.8</v>
      </c>
      <c r="AD123">
        <v>128</v>
      </c>
      <c r="AE123">
        <v>118.5</v>
      </c>
      <c r="AF123">
        <v>118.7</v>
      </c>
      <c r="AG123">
        <v>126.6</v>
      </c>
      <c r="AH123">
        <f t="shared" si="9"/>
        <v>1746.7999999999997</v>
      </c>
      <c r="AI123">
        <f t="shared" si="10"/>
        <v>115</v>
      </c>
      <c r="AJ123">
        <f t="shared" si="11"/>
        <v>110.7</v>
      </c>
      <c r="AK123">
        <f t="shared" si="12"/>
        <v>128</v>
      </c>
      <c r="AL123">
        <f t="shared" si="13"/>
        <v>1242.8</v>
      </c>
    </row>
    <row r="124" spans="1:38" x14ac:dyDescent="0.3">
      <c r="A124" t="s">
        <v>33</v>
      </c>
      <c r="B124" s="28">
        <f t="shared" si="7"/>
        <v>42491</v>
      </c>
      <c r="C124">
        <v>2016</v>
      </c>
      <c r="D124" t="s">
        <v>37</v>
      </c>
      <c r="E124" t="str">
        <f t="shared" si="8"/>
        <v>May-16</v>
      </c>
      <c r="F124">
        <f>VLOOKUP(D124,'Problem Statement 4'!$G$2:$H$13,2,0)</f>
        <v>5</v>
      </c>
      <c r="G124">
        <v>126.8</v>
      </c>
      <c r="H124">
        <v>139.1</v>
      </c>
      <c r="I124">
        <v>125.4</v>
      </c>
      <c r="J124">
        <v>131.69999999999999</v>
      </c>
      <c r="K124">
        <v>115</v>
      </c>
      <c r="L124">
        <v>136</v>
      </c>
      <c r="M124">
        <v>145.1</v>
      </c>
      <c r="N124">
        <v>171.7</v>
      </c>
      <c r="O124">
        <v>108.7</v>
      </c>
      <c r="P124">
        <v>135.30000000000001</v>
      </c>
      <c r="Q124">
        <v>124.2</v>
      </c>
      <c r="R124">
        <v>137.4</v>
      </c>
      <c r="S124">
        <v>134</v>
      </c>
      <c r="T124">
        <v>137.69999999999999</v>
      </c>
      <c r="U124">
        <v>132.19999999999999</v>
      </c>
      <c r="V124">
        <v>126.8</v>
      </c>
      <c r="W124">
        <v>131.4</v>
      </c>
      <c r="X124">
        <v>126</v>
      </c>
      <c r="Y124">
        <v>122.7</v>
      </c>
      <c r="Z124">
        <v>126</v>
      </c>
      <c r="AA124">
        <v>123.7</v>
      </c>
      <c r="AB124">
        <v>112.8</v>
      </c>
      <c r="AC124">
        <v>121.5</v>
      </c>
      <c r="AD124">
        <v>128.5</v>
      </c>
      <c r="AE124">
        <v>119.2</v>
      </c>
      <c r="AF124">
        <v>120.7</v>
      </c>
      <c r="AG124">
        <v>128.6</v>
      </c>
      <c r="AH124">
        <f t="shared" si="9"/>
        <v>1730.4</v>
      </c>
      <c r="AI124">
        <f t="shared" si="10"/>
        <v>122.7</v>
      </c>
      <c r="AJ124">
        <f t="shared" si="11"/>
        <v>112.8</v>
      </c>
      <c r="AK124">
        <f t="shared" si="12"/>
        <v>128.5</v>
      </c>
      <c r="AL124">
        <f t="shared" si="13"/>
        <v>1265.2000000000003</v>
      </c>
    </row>
    <row r="125" spans="1:38" x14ac:dyDescent="0.3">
      <c r="A125" t="s">
        <v>30</v>
      </c>
      <c r="B125" s="28">
        <f t="shared" si="7"/>
        <v>42522</v>
      </c>
      <c r="C125">
        <v>2016</v>
      </c>
      <c r="D125" t="s">
        <v>38</v>
      </c>
      <c r="E125" t="str">
        <f t="shared" si="8"/>
        <v>Jun-16</v>
      </c>
      <c r="F125">
        <f>VLOOKUP(D125,'Problem Statement 4'!$G$2:$H$13,2,0)</f>
        <v>6</v>
      </c>
      <c r="G125">
        <v>128.6</v>
      </c>
      <c r="H125">
        <v>138.6</v>
      </c>
      <c r="I125">
        <v>126.6</v>
      </c>
      <c r="J125">
        <v>133.6</v>
      </c>
      <c r="K125">
        <v>118.6</v>
      </c>
      <c r="L125">
        <v>137.4</v>
      </c>
      <c r="M125">
        <v>152.5</v>
      </c>
      <c r="N125">
        <v>169.2</v>
      </c>
      <c r="O125">
        <v>108.8</v>
      </c>
      <c r="P125">
        <v>133.1</v>
      </c>
      <c r="Q125">
        <v>126.4</v>
      </c>
      <c r="R125">
        <v>139.19999999999999</v>
      </c>
      <c r="S125">
        <v>136</v>
      </c>
      <c r="T125">
        <v>137.19999999999999</v>
      </c>
      <c r="U125">
        <v>136.30000000000001</v>
      </c>
      <c r="V125">
        <v>131.6</v>
      </c>
      <c r="W125">
        <v>135.6</v>
      </c>
      <c r="X125">
        <v>125.5</v>
      </c>
      <c r="Y125">
        <v>128</v>
      </c>
      <c r="Z125">
        <v>129.30000000000001</v>
      </c>
      <c r="AA125">
        <v>126.2</v>
      </c>
      <c r="AB125">
        <v>116.3</v>
      </c>
      <c r="AC125">
        <v>124.1</v>
      </c>
      <c r="AD125">
        <v>130.19999999999999</v>
      </c>
      <c r="AE125">
        <v>119.9</v>
      </c>
      <c r="AF125">
        <v>123.3</v>
      </c>
      <c r="AG125">
        <v>131.9</v>
      </c>
      <c r="AH125">
        <f t="shared" si="9"/>
        <v>1748.6</v>
      </c>
      <c r="AI125">
        <f t="shared" si="10"/>
        <v>128</v>
      </c>
      <c r="AJ125">
        <f t="shared" si="11"/>
        <v>116.3</v>
      </c>
      <c r="AK125">
        <f t="shared" si="12"/>
        <v>130.19999999999999</v>
      </c>
      <c r="AL125">
        <f t="shared" si="13"/>
        <v>1289</v>
      </c>
    </row>
    <row r="126" spans="1:38" x14ac:dyDescent="0.3">
      <c r="A126" t="s">
        <v>32</v>
      </c>
      <c r="B126" s="28">
        <f t="shared" si="7"/>
        <v>42522</v>
      </c>
      <c r="C126">
        <v>2016</v>
      </c>
      <c r="D126" t="s">
        <v>38</v>
      </c>
      <c r="E126" t="str">
        <f t="shared" si="8"/>
        <v>Jun-16</v>
      </c>
      <c r="F126">
        <f>VLOOKUP(D126,'Problem Statement 4'!$G$2:$H$13,2,0)</f>
        <v>6</v>
      </c>
      <c r="G126">
        <v>125.9</v>
      </c>
      <c r="H126">
        <v>143.9</v>
      </c>
      <c r="I126">
        <v>130.9</v>
      </c>
      <c r="J126">
        <v>131</v>
      </c>
      <c r="K126">
        <v>110.2</v>
      </c>
      <c r="L126">
        <v>135.5</v>
      </c>
      <c r="M126">
        <v>173.7</v>
      </c>
      <c r="N126">
        <v>184.4</v>
      </c>
      <c r="O126">
        <v>112</v>
      </c>
      <c r="P126">
        <v>142.80000000000001</v>
      </c>
      <c r="Q126">
        <v>121.6</v>
      </c>
      <c r="R126">
        <v>136.9</v>
      </c>
      <c r="S126">
        <v>138.19999999999999</v>
      </c>
      <c r="T126">
        <v>142.69999999999999</v>
      </c>
      <c r="U126">
        <v>127.6</v>
      </c>
      <c r="V126">
        <v>121.1</v>
      </c>
      <c r="W126">
        <v>126.6</v>
      </c>
      <c r="X126">
        <v>125.5</v>
      </c>
      <c r="Y126">
        <v>115.5</v>
      </c>
      <c r="Z126">
        <v>123.2</v>
      </c>
      <c r="AA126">
        <v>120.6</v>
      </c>
      <c r="AB126">
        <v>112.3</v>
      </c>
      <c r="AC126">
        <v>119.9</v>
      </c>
      <c r="AD126">
        <v>129.30000000000001</v>
      </c>
      <c r="AE126">
        <v>118.8</v>
      </c>
      <c r="AF126">
        <v>119.6</v>
      </c>
      <c r="AG126">
        <v>128.1</v>
      </c>
      <c r="AH126">
        <f t="shared" si="9"/>
        <v>1787.0000000000002</v>
      </c>
      <c r="AI126">
        <f t="shared" si="10"/>
        <v>115.5</v>
      </c>
      <c r="AJ126">
        <f t="shared" si="11"/>
        <v>112.3</v>
      </c>
      <c r="AK126">
        <f t="shared" si="12"/>
        <v>129.30000000000001</v>
      </c>
      <c r="AL126">
        <f t="shared" si="13"/>
        <v>1245.5999999999999</v>
      </c>
    </row>
    <row r="127" spans="1:38" x14ac:dyDescent="0.3">
      <c r="A127" t="s">
        <v>33</v>
      </c>
      <c r="B127" s="28">
        <f t="shared" si="7"/>
        <v>42522</v>
      </c>
      <c r="C127">
        <v>2016</v>
      </c>
      <c r="D127" t="s">
        <v>38</v>
      </c>
      <c r="E127" t="str">
        <f t="shared" si="8"/>
        <v>Jun-16</v>
      </c>
      <c r="F127">
        <f>VLOOKUP(D127,'Problem Statement 4'!$G$2:$H$13,2,0)</f>
        <v>6</v>
      </c>
      <c r="G127">
        <v>127.7</v>
      </c>
      <c r="H127">
        <v>140.5</v>
      </c>
      <c r="I127">
        <v>128.30000000000001</v>
      </c>
      <c r="J127">
        <v>132.6</v>
      </c>
      <c r="K127">
        <v>115.5</v>
      </c>
      <c r="L127">
        <v>136.5</v>
      </c>
      <c r="M127">
        <v>159.69999999999999</v>
      </c>
      <c r="N127">
        <v>174.3</v>
      </c>
      <c r="O127">
        <v>109.9</v>
      </c>
      <c r="P127">
        <v>136.30000000000001</v>
      </c>
      <c r="Q127">
        <v>124.4</v>
      </c>
      <c r="R127">
        <v>138.1</v>
      </c>
      <c r="S127">
        <v>136.80000000000001</v>
      </c>
      <c r="T127">
        <v>138.69999999999999</v>
      </c>
      <c r="U127">
        <v>132.9</v>
      </c>
      <c r="V127">
        <v>127.2</v>
      </c>
      <c r="W127">
        <v>132</v>
      </c>
      <c r="X127">
        <v>125.5</v>
      </c>
      <c r="Y127">
        <v>123.3</v>
      </c>
      <c r="Z127">
        <v>126.4</v>
      </c>
      <c r="AA127">
        <v>124.1</v>
      </c>
      <c r="AB127">
        <v>114.2</v>
      </c>
      <c r="AC127">
        <v>121.7</v>
      </c>
      <c r="AD127">
        <v>129.69999999999999</v>
      </c>
      <c r="AE127">
        <v>119.4</v>
      </c>
      <c r="AF127">
        <v>121.5</v>
      </c>
      <c r="AG127">
        <v>130.1</v>
      </c>
      <c r="AH127">
        <f t="shared" si="9"/>
        <v>1760.6</v>
      </c>
      <c r="AI127">
        <f t="shared" si="10"/>
        <v>123.3</v>
      </c>
      <c r="AJ127">
        <f t="shared" si="11"/>
        <v>114.2</v>
      </c>
      <c r="AK127">
        <f t="shared" si="12"/>
        <v>129.69999999999999</v>
      </c>
      <c r="AL127">
        <f t="shared" si="13"/>
        <v>1269.4000000000001</v>
      </c>
    </row>
    <row r="128" spans="1:38" x14ac:dyDescent="0.3">
      <c r="A128" t="s">
        <v>30</v>
      </c>
      <c r="B128" s="28">
        <f t="shared" si="7"/>
        <v>42552</v>
      </c>
      <c r="C128">
        <v>2016</v>
      </c>
      <c r="D128" t="s">
        <v>39</v>
      </c>
      <c r="E128" t="str">
        <f t="shared" si="8"/>
        <v>Jul-16</v>
      </c>
      <c r="F128">
        <f>VLOOKUP(D128,'Problem Statement 4'!$G$2:$H$13,2,0)</f>
        <v>7</v>
      </c>
      <c r="G128">
        <v>129.30000000000001</v>
      </c>
      <c r="H128">
        <v>139.5</v>
      </c>
      <c r="I128">
        <v>129.6</v>
      </c>
      <c r="J128">
        <v>134.5</v>
      </c>
      <c r="K128">
        <v>119.5</v>
      </c>
      <c r="L128">
        <v>138.5</v>
      </c>
      <c r="M128">
        <v>158.19999999999999</v>
      </c>
      <c r="N128">
        <v>171.8</v>
      </c>
      <c r="O128">
        <v>110.3</v>
      </c>
      <c r="P128">
        <v>134.30000000000001</v>
      </c>
      <c r="Q128">
        <v>127.3</v>
      </c>
      <c r="R128">
        <v>139.9</v>
      </c>
      <c r="S128">
        <v>137.6</v>
      </c>
      <c r="T128">
        <v>138</v>
      </c>
      <c r="U128">
        <v>137.19999999999999</v>
      </c>
      <c r="V128">
        <v>132.19999999999999</v>
      </c>
      <c r="W128">
        <v>136.5</v>
      </c>
      <c r="X128">
        <v>126.4</v>
      </c>
      <c r="Y128">
        <v>128.19999999999999</v>
      </c>
      <c r="Z128">
        <v>130</v>
      </c>
      <c r="AA128">
        <v>126.7</v>
      </c>
      <c r="AB128">
        <v>116.4</v>
      </c>
      <c r="AC128">
        <v>125.2</v>
      </c>
      <c r="AD128">
        <v>130.80000000000001</v>
      </c>
      <c r="AE128">
        <v>120.9</v>
      </c>
      <c r="AF128">
        <v>123.8</v>
      </c>
      <c r="AG128">
        <v>133</v>
      </c>
      <c r="AH128">
        <f t="shared" si="9"/>
        <v>1770.2999999999997</v>
      </c>
      <c r="AI128">
        <f t="shared" si="10"/>
        <v>128.19999999999999</v>
      </c>
      <c r="AJ128">
        <f t="shared" si="11"/>
        <v>116.4</v>
      </c>
      <c r="AK128">
        <f t="shared" si="12"/>
        <v>130.80000000000001</v>
      </c>
      <c r="AL128">
        <f t="shared" si="13"/>
        <v>1296.9000000000001</v>
      </c>
    </row>
    <row r="129" spans="1:38" x14ac:dyDescent="0.3">
      <c r="A129" t="s">
        <v>32</v>
      </c>
      <c r="B129" s="28">
        <f t="shared" si="7"/>
        <v>42552</v>
      </c>
      <c r="C129">
        <v>2016</v>
      </c>
      <c r="D129" t="s">
        <v>39</v>
      </c>
      <c r="E129" t="str">
        <f t="shared" si="8"/>
        <v>Jul-16</v>
      </c>
      <c r="F129">
        <f>VLOOKUP(D129,'Problem Statement 4'!$G$2:$H$13,2,0)</f>
        <v>7</v>
      </c>
      <c r="G129">
        <v>126.8</v>
      </c>
      <c r="H129">
        <v>144.19999999999999</v>
      </c>
      <c r="I129">
        <v>136.6</v>
      </c>
      <c r="J129">
        <v>131.80000000000001</v>
      </c>
      <c r="K129">
        <v>111</v>
      </c>
      <c r="L129">
        <v>137</v>
      </c>
      <c r="M129">
        <v>179.5</v>
      </c>
      <c r="N129">
        <v>188.4</v>
      </c>
      <c r="O129">
        <v>113.3</v>
      </c>
      <c r="P129">
        <v>143.9</v>
      </c>
      <c r="Q129">
        <v>121.7</v>
      </c>
      <c r="R129">
        <v>137.5</v>
      </c>
      <c r="S129">
        <v>139.80000000000001</v>
      </c>
      <c r="T129">
        <v>142.9</v>
      </c>
      <c r="U129">
        <v>127.9</v>
      </c>
      <c r="V129">
        <v>121.1</v>
      </c>
      <c r="W129">
        <v>126.9</v>
      </c>
      <c r="X129">
        <v>126.4</v>
      </c>
      <c r="Y129">
        <v>115.5</v>
      </c>
      <c r="Z129">
        <v>123.5</v>
      </c>
      <c r="AA129">
        <v>120.9</v>
      </c>
      <c r="AB129">
        <v>111.7</v>
      </c>
      <c r="AC129">
        <v>120.3</v>
      </c>
      <c r="AD129">
        <v>130.80000000000001</v>
      </c>
      <c r="AE129">
        <v>120</v>
      </c>
      <c r="AF129">
        <v>119.9</v>
      </c>
      <c r="AG129">
        <v>129</v>
      </c>
      <c r="AH129">
        <f t="shared" si="9"/>
        <v>1811.5000000000002</v>
      </c>
      <c r="AI129">
        <f t="shared" si="10"/>
        <v>115.5</v>
      </c>
      <c r="AJ129">
        <f t="shared" si="11"/>
        <v>111.7</v>
      </c>
      <c r="AK129">
        <f t="shared" si="12"/>
        <v>130.80000000000001</v>
      </c>
      <c r="AL129">
        <f t="shared" si="13"/>
        <v>1249.8</v>
      </c>
    </row>
    <row r="130" spans="1:38" x14ac:dyDescent="0.3">
      <c r="A130" t="s">
        <v>33</v>
      </c>
      <c r="B130" s="28">
        <f t="shared" si="7"/>
        <v>42552</v>
      </c>
      <c r="C130">
        <v>2016</v>
      </c>
      <c r="D130" t="s">
        <v>39</v>
      </c>
      <c r="E130" t="str">
        <f t="shared" si="8"/>
        <v>Jul-16</v>
      </c>
      <c r="F130">
        <f>VLOOKUP(D130,'Problem Statement 4'!$G$2:$H$13,2,0)</f>
        <v>7</v>
      </c>
      <c r="G130">
        <v>128.5</v>
      </c>
      <c r="H130">
        <v>141.19999999999999</v>
      </c>
      <c r="I130">
        <v>132.30000000000001</v>
      </c>
      <c r="J130">
        <v>133.5</v>
      </c>
      <c r="K130">
        <v>116.4</v>
      </c>
      <c r="L130">
        <v>137.80000000000001</v>
      </c>
      <c r="M130">
        <v>165.4</v>
      </c>
      <c r="N130">
        <v>177.4</v>
      </c>
      <c r="O130">
        <v>111.3</v>
      </c>
      <c r="P130">
        <v>137.5</v>
      </c>
      <c r="Q130">
        <v>125</v>
      </c>
      <c r="R130">
        <v>138.80000000000001</v>
      </c>
      <c r="S130">
        <v>138.4</v>
      </c>
      <c r="T130">
        <v>139.30000000000001</v>
      </c>
      <c r="U130">
        <v>133.5</v>
      </c>
      <c r="V130">
        <v>127.6</v>
      </c>
      <c r="W130">
        <v>132.69999999999999</v>
      </c>
      <c r="X130">
        <v>126.4</v>
      </c>
      <c r="Y130">
        <v>123.4</v>
      </c>
      <c r="Z130">
        <v>126.9</v>
      </c>
      <c r="AA130">
        <v>124.5</v>
      </c>
      <c r="AB130">
        <v>113.9</v>
      </c>
      <c r="AC130">
        <v>122.4</v>
      </c>
      <c r="AD130">
        <v>130.80000000000001</v>
      </c>
      <c r="AE130">
        <v>120.5</v>
      </c>
      <c r="AF130">
        <v>121.9</v>
      </c>
      <c r="AG130">
        <v>131.1</v>
      </c>
      <c r="AH130">
        <f t="shared" si="9"/>
        <v>1783.5</v>
      </c>
      <c r="AI130">
        <f t="shared" si="10"/>
        <v>123.4</v>
      </c>
      <c r="AJ130">
        <f t="shared" si="11"/>
        <v>113.9</v>
      </c>
      <c r="AK130">
        <f t="shared" si="12"/>
        <v>130.80000000000001</v>
      </c>
      <c r="AL130">
        <f t="shared" si="13"/>
        <v>1275.7</v>
      </c>
    </row>
    <row r="131" spans="1:38" x14ac:dyDescent="0.3">
      <c r="A131" t="s">
        <v>30</v>
      </c>
      <c r="B131" s="28">
        <f t="shared" ref="B131:B194" si="14">DATE(C131,F131,1)</f>
        <v>42583</v>
      </c>
      <c r="C131">
        <v>2016</v>
      </c>
      <c r="D131" t="s">
        <v>40</v>
      </c>
      <c r="E131" t="str">
        <f t="shared" ref="E131:E194" si="15">_xlfn.CONCAT(TEXT(B131,"mmm"),,"-",RIGHT(C131,2))</f>
        <v>Aug-16</v>
      </c>
      <c r="F131">
        <f>VLOOKUP(D131,'Problem Statement 4'!$G$2:$H$13,2,0)</f>
        <v>8</v>
      </c>
      <c r="G131">
        <v>130.1</v>
      </c>
      <c r="H131">
        <v>138.80000000000001</v>
      </c>
      <c r="I131">
        <v>130.30000000000001</v>
      </c>
      <c r="J131">
        <v>135.30000000000001</v>
      </c>
      <c r="K131">
        <v>119.9</v>
      </c>
      <c r="L131">
        <v>140.19999999999999</v>
      </c>
      <c r="M131">
        <v>156.9</v>
      </c>
      <c r="N131">
        <v>172.2</v>
      </c>
      <c r="O131">
        <v>112.1</v>
      </c>
      <c r="P131">
        <v>134.9</v>
      </c>
      <c r="Q131">
        <v>128.1</v>
      </c>
      <c r="R131">
        <v>140.69999999999999</v>
      </c>
      <c r="S131">
        <v>138</v>
      </c>
      <c r="T131">
        <v>138.9</v>
      </c>
      <c r="U131">
        <v>137.80000000000001</v>
      </c>
      <c r="V131">
        <v>133</v>
      </c>
      <c r="W131">
        <v>137.1</v>
      </c>
      <c r="X131">
        <v>127.3</v>
      </c>
      <c r="Y131">
        <v>129.1</v>
      </c>
      <c r="Z131">
        <v>130.6</v>
      </c>
      <c r="AA131">
        <v>127</v>
      </c>
      <c r="AB131">
        <v>116</v>
      </c>
      <c r="AC131">
        <v>125.5</v>
      </c>
      <c r="AD131">
        <v>131.9</v>
      </c>
      <c r="AE131">
        <v>122</v>
      </c>
      <c r="AF131">
        <v>124.2</v>
      </c>
      <c r="AG131">
        <v>133.5</v>
      </c>
      <c r="AH131">
        <f t="shared" ref="AH131:AH194" si="16">SUM(G131:S131)</f>
        <v>1777.4999999999998</v>
      </c>
      <c r="AI131">
        <f t="shared" ref="AI131:AI194" si="17">SUM(Y131)</f>
        <v>129.1</v>
      </c>
      <c r="AJ131">
        <f t="shared" ref="AJ131:AJ194" si="18">SUM(AB131)</f>
        <v>116</v>
      </c>
      <c r="AK131">
        <f t="shared" ref="AK131:AK194" si="19">SUM(AD131)</f>
        <v>131.9</v>
      </c>
      <c r="AL131">
        <f t="shared" ref="AL131:AL194" si="20">SUM(T131:X131,Z131:AA131,AC131,AE131:AF131)</f>
        <v>1303.4000000000001</v>
      </c>
    </row>
    <row r="132" spans="1:38" x14ac:dyDescent="0.3">
      <c r="A132" t="s">
        <v>32</v>
      </c>
      <c r="B132" s="28">
        <f t="shared" si="14"/>
        <v>42583</v>
      </c>
      <c r="C132">
        <v>2016</v>
      </c>
      <c r="D132" t="s">
        <v>40</v>
      </c>
      <c r="E132" t="str">
        <f t="shared" si="15"/>
        <v>Aug-16</v>
      </c>
      <c r="F132">
        <f>VLOOKUP(D132,'Problem Statement 4'!$G$2:$H$13,2,0)</f>
        <v>8</v>
      </c>
      <c r="G132">
        <v>127.6</v>
      </c>
      <c r="H132">
        <v>140.30000000000001</v>
      </c>
      <c r="I132">
        <v>133.69999999999999</v>
      </c>
      <c r="J132">
        <v>132.19999999999999</v>
      </c>
      <c r="K132">
        <v>111.8</v>
      </c>
      <c r="L132">
        <v>135.80000000000001</v>
      </c>
      <c r="M132">
        <v>163.5</v>
      </c>
      <c r="N132">
        <v>182.3</v>
      </c>
      <c r="O132">
        <v>114.6</v>
      </c>
      <c r="P132">
        <v>144.6</v>
      </c>
      <c r="Q132">
        <v>121.9</v>
      </c>
      <c r="R132">
        <v>138.1</v>
      </c>
      <c r="S132">
        <v>137.6</v>
      </c>
      <c r="T132">
        <v>143.6</v>
      </c>
      <c r="U132">
        <v>128.30000000000001</v>
      </c>
      <c r="V132">
        <v>121.4</v>
      </c>
      <c r="W132">
        <v>127.3</v>
      </c>
      <c r="X132">
        <v>127.3</v>
      </c>
      <c r="Y132">
        <v>114.7</v>
      </c>
      <c r="Z132">
        <v>123.9</v>
      </c>
      <c r="AA132">
        <v>121.2</v>
      </c>
      <c r="AB132">
        <v>110.4</v>
      </c>
      <c r="AC132">
        <v>120.6</v>
      </c>
      <c r="AD132">
        <v>131.5</v>
      </c>
      <c r="AE132">
        <v>120.9</v>
      </c>
      <c r="AF132">
        <v>119.9</v>
      </c>
      <c r="AG132">
        <v>128.4</v>
      </c>
      <c r="AH132">
        <f t="shared" si="16"/>
        <v>1783.9999999999995</v>
      </c>
      <c r="AI132">
        <f t="shared" si="17"/>
        <v>114.7</v>
      </c>
      <c r="AJ132">
        <f t="shared" si="18"/>
        <v>110.4</v>
      </c>
      <c r="AK132">
        <f t="shared" si="19"/>
        <v>131.5</v>
      </c>
      <c r="AL132">
        <f t="shared" si="20"/>
        <v>1254.4000000000001</v>
      </c>
    </row>
    <row r="133" spans="1:38" x14ac:dyDescent="0.3">
      <c r="A133" t="s">
        <v>33</v>
      </c>
      <c r="B133" s="28">
        <f t="shared" si="14"/>
        <v>42583</v>
      </c>
      <c r="C133">
        <v>2016</v>
      </c>
      <c r="D133" t="s">
        <v>40</v>
      </c>
      <c r="E133" t="str">
        <f t="shared" si="15"/>
        <v>Aug-16</v>
      </c>
      <c r="F133">
        <f>VLOOKUP(D133,'Problem Statement 4'!$G$2:$H$13,2,0)</f>
        <v>8</v>
      </c>
      <c r="G133">
        <v>129.30000000000001</v>
      </c>
      <c r="H133">
        <v>139.30000000000001</v>
      </c>
      <c r="I133">
        <v>131.6</v>
      </c>
      <c r="J133">
        <v>134.1</v>
      </c>
      <c r="K133">
        <v>116.9</v>
      </c>
      <c r="L133">
        <v>138.1</v>
      </c>
      <c r="M133">
        <v>159.1</v>
      </c>
      <c r="N133">
        <v>175.6</v>
      </c>
      <c r="O133">
        <v>112.9</v>
      </c>
      <c r="P133">
        <v>138.1</v>
      </c>
      <c r="Q133">
        <v>125.5</v>
      </c>
      <c r="R133">
        <v>139.5</v>
      </c>
      <c r="S133">
        <v>137.9</v>
      </c>
      <c r="T133">
        <v>140.19999999999999</v>
      </c>
      <c r="U133">
        <v>134.1</v>
      </c>
      <c r="V133">
        <v>128.19999999999999</v>
      </c>
      <c r="W133">
        <v>133.19999999999999</v>
      </c>
      <c r="X133">
        <v>127.3</v>
      </c>
      <c r="Y133">
        <v>123.6</v>
      </c>
      <c r="Z133">
        <v>127.4</v>
      </c>
      <c r="AA133">
        <v>124.8</v>
      </c>
      <c r="AB133">
        <v>113.1</v>
      </c>
      <c r="AC133">
        <v>122.7</v>
      </c>
      <c r="AD133">
        <v>131.69999999999999</v>
      </c>
      <c r="AE133">
        <v>121.5</v>
      </c>
      <c r="AF133">
        <v>122.1</v>
      </c>
      <c r="AG133">
        <v>131.1</v>
      </c>
      <c r="AH133">
        <f t="shared" si="16"/>
        <v>1777.9</v>
      </c>
      <c r="AI133">
        <f t="shared" si="17"/>
        <v>123.6</v>
      </c>
      <c r="AJ133">
        <f t="shared" si="18"/>
        <v>113.1</v>
      </c>
      <c r="AK133">
        <f t="shared" si="19"/>
        <v>131.69999999999999</v>
      </c>
      <c r="AL133">
        <f t="shared" si="20"/>
        <v>1281.4999999999998</v>
      </c>
    </row>
    <row r="134" spans="1:38" x14ac:dyDescent="0.3">
      <c r="A134" t="s">
        <v>30</v>
      </c>
      <c r="B134" s="28">
        <f t="shared" si="14"/>
        <v>42614</v>
      </c>
      <c r="C134">
        <v>2016</v>
      </c>
      <c r="D134" t="s">
        <v>41</v>
      </c>
      <c r="E134" t="str">
        <f t="shared" si="15"/>
        <v>Sep-16</v>
      </c>
      <c r="F134">
        <f>VLOOKUP(D134,'Problem Statement 4'!$G$2:$H$13,2,0)</f>
        <v>9</v>
      </c>
      <c r="G134">
        <v>130.80000000000001</v>
      </c>
      <c r="H134">
        <v>138.19999999999999</v>
      </c>
      <c r="I134">
        <v>130.5</v>
      </c>
      <c r="J134">
        <v>135.5</v>
      </c>
      <c r="K134">
        <v>120.2</v>
      </c>
      <c r="L134">
        <v>139.19999999999999</v>
      </c>
      <c r="M134">
        <v>149.5</v>
      </c>
      <c r="N134">
        <v>170.4</v>
      </c>
      <c r="O134">
        <v>113.1</v>
      </c>
      <c r="P134">
        <v>135.80000000000001</v>
      </c>
      <c r="Q134">
        <v>128.80000000000001</v>
      </c>
      <c r="R134">
        <v>141.5</v>
      </c>
      <c r="S134">
        <v>137.19999999999999</v>
      </c>
      <c r="T134">
        <v>139.9</v>
      </c>
      <c r="U134">
        <v>138.5</v>
      </c>
      <c r="V134">
        <v>133.5</v>
      </c>
      <c r="W134">
        <v>137.80000000000001</v>
      </c>
      <c r="X134">
        <v>127.9</v>
      </c>
      <c r="Y134">
        <v>129.69999999999999</v>
      </c>
      <c r="Z134">
        <v>131.1</v>
      </c>
      <c r="AA134">
        <v>127.8</v>
      </c>
      <c r="AB134">
        <v>117</v>
      </c>
      <c r="AC134">
        <v>125.7</v>
      </c>
      <c r="AD134">
        <v>132.19999999999999</v>
      </c>
      <c r="AE134">
        <v>122.8</v>
      </c>
      <c r="AF134">
        <v>124.9</v>
      </c>
      <c r="AG134">
        <v>133.4</v>
      </c>
      <c r="AH134">
        <f t="shared" si="16"/>
        <v>1770.7</v>
      </c>
      <c r="AI134">
        <f t="shared" si="17"/>
        <v>129.69999999999999</v>
      </c>
      <c r="AJ134">
        <f t="shared" si="18"/>
        <v>117</v>
      </c>
      <c r="AK134">
        <f t="shared" si="19"/>
        <v>132.19999999999999</v>
      </c>
      <c r="AL134">
        <f t="shared" si="20"/>
        <v>1309.9000000000001</v>
      </c>
    </row>
    <row r="135" spans="1:38" x14ac:dyDescent="0.3">
      <c r="A135" t="s">
        <v>32</v>
      </c>
      <c r="B135" s="28">
        <f t="shared" si="14"/>
        <v>42614</v>
      </c>
      <c r="C135">
        <v>2016</v>
      </c>
      <c r="D135" t="s">
        <v>41</v>
      </c>
      <c r="E135" t="str">
        <f t="shared" si="15"/>
        <v>Sep-16</v>
      </c>
      <c r="F135">
        <f>VLOOKUP(D135,'Problem Statement 4'!$G$2:$H$13,2,0)</f>
        <v>9</v>
      </c>
      <c r="G135">
        <v>128.1</v>
      </c>
      <c r="H135">
        <v>137.69999999999999</v>
      </c>
      <c r="I135">
        <v>130.6</v>
      </c>
      <c r="J135">
        <v>132.6</v>
      </c>
      <c r="K135">
        <v>111.9</v>
      </c>
      <c r="L135">
        <v>132.5</v>
      </c>
      <c r="M135">
        <v>152.9</v>
      </c>
      <c r="N135">
        <v>173.6</v>
      </c>
      <c r="O135">
        <v>115.1</v>
      </c>
      <c r="P135">
        <v>144.80000000000001</v>
      </c>
      <c r="Q135">
        <v>122.1</v>
      </c>
      <c r="R135">
        <v>138.80000000000001</v>
      </c>
      <c r="S135">
        <v>135.69999999999999</v>
      </c>
      <c r="T135">
        <v>143.9</v>
      </c>
      <c r="U135">
        <v>128.69999999999999</v>
      </c>
      <c r="V135">
        <v>121.6</v>
      </c>
      <c r="W135">
        <v>127.7</v>
      </c>
      <c r="X135">
        <v>127.9</v>
      </c>
      <c r="Y135">
        <v>114.8</v>
      </c>
      <c r="Z135">
        <v>124.3</v>
      </c>
      <c r="AA135">
        <v>121.4</v>
      </c>
      <c r="AB135">
        <v>111.8</v>
      </c>
      <c r="AC135">
        <v>120.8</v>
      </c>
      <c r="AD135">
        <v>131.6</v>
      </c>
      <c r="AE135">
        <v>121.2</v>
      </c>
      <c r="AF135">
        <v>120.5</v>
      </c>
      <c r="AG135">
        <v>128</v>
      </c>
      <c r="AH135">
        <f t="shared" si="16"/>
        <v>1756.3999999999996</v>
      </c>
      <c r="AI135">
        <f t="shared" si="17"/>
        <v>114.8</v>
      </c>
      <c r="AJ135">
        <f t="shared" si="18"/>
        <v>111.8</v>
      </c>
      <c r="AK135">
        <f t="shared" si="19"/>
        <v>131.6</v>
      </c>
      <c r="AL135">
        <f t="shared" si="20"/>
        <v>1258</v>
      </c>
    </row>
    <row r="136" spans="1:38" x14ac:dyDescent="0.3">
      <c r="A136" t="s">
        <v>33</v>
      </c>
      <c r="B136" s="28">
        <f t="shared" si="14"/>
        <v>42614</v>
      </c>
      <c r="C136">
        <v>2016</v>
      </c>
      <c r="D136" t="s">
        <v>41</v>
      </c>
      <c r="E136" t="str">
        <f t="shared" si="15"/>
        <v>Sep-16</v>
      </c>
      <c r="F136">
        <f>VLOOKUP(D136,'Problem Statement 4'!$G$2:$H$13,2,0)</f>
        <v>9</v>
      </c>
      <c r="G136">
        <v>129.9</v>
      </c>
      <c r="H136">
        <v>138</v>
      </c>
      <c r="I136">
        <v>130.5</v>
      </c>
      <c r="J136">
        <v>134.4</v>
      </c>
      <c r="K136">
        <v>117.2</v>
      </c>
      <c r="L136">
        <v>136.1</v>
      </c>
      <c r="M136">
        <v>150.69999999999999</v>
      </c>
      <c r="N136">
        <v>171.5</v>
      </c>
      <c r="O136">
        <v>113.8</v>
      </c>
      <c r="P136">
        <v>138.80000000000001</v>
      </c>
      <c r="Q136">
        <v>126</v>
      </c>
      <c r="R136">
        <v>140.19999999999999</v>
      </c>
      <c r="S136">
        <v>136.6</v>
      </c>
      <c r="T136">
        <v>141</v>
      </c>
      <c r="U136">
        <v>134.6</v>
      </c>
      <c r="V136">
        <v>128.6</v>
      </c>
      <c r="W136">
        <v>133.80000000000001</v>
      </c>
      <c r="X136">
        <v>127.9</v>
      </c>
      <c r="Y136">
        <v>124.1</v>
      </c>
      <c r="Z136">
        <v>127.9</v>
      </c>
      <c r="AA136">
        <v>125.4</v>
      </c>
      <c r="AB136">
        <v>114.3</v>
      </c>
      <c r="AC136">
        <v>122.9</v>
      </c>
      <c r="AD136">
        <v>131.80000000000001</v>
      </c>
      <c r="AE136">
        <v>122.1</v>
      </c>
      <c r="AF136">
        <v>122.8</v>
      </c>
      <c r="AG136">
        <v>130.9</v>
      </c>
      <c r="AH136">
        <f t="shared" si="16"/>
        <v>1763.6999999999998</v>
      </c>
      <c r="AI136">
        <f t="shared" si="17"/>
        <v>124.1</v>
      </c>
      <c r="AJ136">
        <f t="shared" si="18"/>
        <v>114.3</v>
      </c>
      <c r="AK136">
        <f t="shared" si="19"/>
        <v>131.80000000000001</v>
      </c>
      <c r="AL136">
        <f t="shared" si="20"/>
        <v>1286.9999999999998</v>
      </c>
    </row>
    <row r="137" spans="1:38" x14ac:dyDescent="0.3">
      <c r="A137" t="s">
        <v>30</v>
      </c>
      <c r="B137" s="28">
        <f t="shared" si="14"/>
        <v>42644</v>
      </c>
      <c r="C137">
        <v>2016</v>
      </c>
      <c r="D137" t="s">
        <v>42</v>
      </c>
      <c r="E137" t="str">
        <f t="shared" si="15"/>
        <v>Oct-16</v>
      </c>
      <c r="F137">
        <f>VLOOKUP(D137,'Problem Statement 4'!$G$2:$H$13,2,0)</f>
        <v>10</v>
      </c>
      <c r="G137">
        <v>131.30000000000001</v>
      </c>
      <c r="H137">
        <v>137.6</v>
      </c>
      <c r="I137">
        <v>130.1</v>
      </c>
      <c r="J137">
        <v>136</v>
      </c>
      <c r="K137">
        <v>120.8</v>
      </c>
      <c r="L137">
        <v>138.4</v>
      </c>
      <c r="M137">
        <v>149.19999999999999</v>
      </c>
      <c r="N137">
        <v>170.2</v>
      </c>
      <c r="O137">
        <v>113.4</v>
      </c>
      <c r="P137">
        <v>136.30000000000001</v>
      </c>
      <c r="Q137">
        <v>128.69999999999999</v>
      </c>
      <c r="R137">
        <v>142.4</v>
      </c>
      <c r="S137">
        <v>137.4</v>
      </c>
      <c r="T137">
        <v>140.9</v>
      </c>
      <c r="U137">
        <v>139.6</v>
      </c>
      <c r="V137">
        <v>134.30000000000001</v>
      </c>
      <c r="W137">
        <v>138.80000000000001</v>
      </c>
      <c r="X137">
        <v>128.69999999999999</v>
      </c>
      <c r="Y137">
        <v>129.80000000000001</v>
      </c>
      <c r="Z137">
        <v>131.80000000000001</v>
      </c>
      <c r="AA137">
        <v>128.69999999999999</v>
      </c>
      <c r="AB137">
        <v>117.8</v>
      </c>
      <c r="AC137">
        <v>126.5</v>
      </c>
      <c r="AD137">
        <v>133</v>
      </c>
      <c r="AE137">
        <v>123</v>
      </c>
      <c r="AF137">
        <v>125.7</v>
      </c>
      <c r="AG137">
        <v>133.80000000000001</v>
      </c>
      <c r="AH137">
        <f t="shared" si="16"/>
        <v>1771.8000000000002</v>
      </c>
      <c r="AI137">
        <f t="shared" si="17"/>
        <v>129.80000000000001</v>
      </c>
      <c r="AJ137">
        <f t="shared" si="18"/>
        <v>117.8</v>
      </c>
      <c r="AK137">
        <f t="shared" si="19"/>
        <v>133</v>
      </c>
      <c r="AL137">
        <f t="shared" si="20"/>
        <v>1318</v>
      </c>
    </row>
    <row r="138" spans="1:38" x14ac:dyDescent="0.3">
      <c r="A138" t="s">
        <v>32</v>
      </c>
      <c r="B138" s="28">
        <f t="shared" si="14"/>
        <v>42644</v>
      </c>
      <c r="C138">
        <v>2016</v>
      </c>
      <c r="D138" t="s">
        <v>42</v>
      </c>
      <c r="E138" t="str">
        <f t="shared" si="15"/>
        <v>Oct-16</v>
      </c>
      <c r="F138">
        <f>VLOOKUP(D138,'Problem Statement 4'!$G$2:$H$13,2,0)</f>
        <v>10</v>
      </c>
      <c r="G138">
        <v>128.69999999999999</v>
      </c>
      <c r="H138">
        <v>138.4</v>
      </c>
      <c r="I138">
        <v>130.30000000000001</v>
      </c>
      <c r="J138">
        <v>132.69999999999999</v>
      </c>
      <c r="K138">
        <v>112.5</v>
      </c>
      <c r="L138">
        <v>130.4</v>
      </c>
      <c r="M138">
        <v>155.1</v>
      </c>
      <c r="N138">
        <v>175.7</v>
      </c>
      <c r="O138">
        <v>115.4</v>
      </c>
      <c r="P138">
        <v>145.30000000000001</v>
      </c>
      <c r="Q138">
        <v>122.5</v>
      </c>
      <c r="R138">
        <v>139.6</v>
      </c>
      <c r="S138">
        <v>136.30000000000001</v>
      </c>
      <c r="T138">
        <v>144.30000000000001</v>
      </c>
      <c r="U138">
        <v>129.1</v>
      </c>
      <c r="V138">
        <v>121.9</v>
      </c>
      <c r="W138">
        <v>128</v>
      </c>
      <c r="X138">
        <v>128.69999999999999</v>
      </c>
      <c r="Y138">
        <v>115.2</v>
      </c>
      <c r="Z138">
        <v>124.5</v>
      </c>
      <c r="AA138">
        <v>121.8</v>
      </c>
      <c r="AB138">
        <v>112.8</v>
      </c>
      <c r="AC138">
        <v>121.2</v>
      </c>
      <c r="AD138">
        <v>131.9</v>
      </c>
      <c r="AE138">
        <v>120.8</v>
      </c>
      <c r="AF138">
        <v>120.9</v>
      </c>
      <c r="AG138">
        <v>128.6</v>
      </c>
      <c r="AH138">
        <f t="shared" si="16"/>
        <v>1762.8999999999999</v>
      </c>
      <c r="AI138">
        <f t="shared" si="17"/>
        <v>115.2</v>
      </c>
      <c r="AJ138">
        <f t="shared" si="18"/>
        <v>112.8</v>
      </c>
      <c r="AK138">
        <f t="shared" si="19"/>
        <v>131.9</v>
      </c>
      <c r="AL138">
        <f t="shared" si="20"/>
        <v>1261.2</v>
      </c>
    </row>
    <row r="139" spans="1:38" x14ac:dyDescent="0.3">
      <c r="A139" t="s">
        <v>33</v>
      </c>
      <c r="B139" s="28">
        <f t="shared" si="14"/>
        <v>42644</v>
      </c>
      <c r="C139">
        <v>2016</v>
      </c>
      <c r="D139" t="s">
        <v>42</v>
      </c>
      <c r="E139" t="str">
        <f t="shared" si="15"/>
        <v>Oct-16</v>
      </c>
      <c r="F139">
        <f>VLOOKUP(D139,'Problem Statement 4'!$G$2:$H$13,2,0)</f>
        <v>10</v>
      </c>
      <c r="G139">
        <v>130.5</v>
      </c>
      <c r="H139">
        <v>137.9</v>
      </c>
      <c r="I139">
        <v>130.19999999999999</v>
      </c>
      <c r="J139">
        <v>134.80000000000001</v>
      </c>
      <c r="K139">
        <v>117.8</v>
      </c>
      <c r="L139">
        <v>134.69999999999999</v>
      </c>
      <c r="M139">
        <v>151.19999999999999</v>
      </c>
      <c r="N139">
        <v>172.1</v>
      </c>
      <c r="O139">
        <v>114.1</v>
      </c>
      <c r="P139">
        <v>139.30000000000001</v>
      </c>
      <c r="Q139">
        <v>126.1</v>
      </c>
      <c r="R139">
        <v>141.1</v>
      </c>
      <c r="S139">
        <v>137</v>
      </c>
      <c r="T139">
        <v>141.80000000000001</v>
      </c>
      <c r="U139">
        <v>135.5</v>
      </c>
      <c r="V139">
        <v>129.1</v>
      </c>
      <c r="W139">
        <v>134.5</v>
      </c>
      <c r="X139">
        <v>128.69999999999999</v>
      </c>
      <c r="Y139">
        <v>124.3</v>
      </c>
      <c r="Z139">
        <v>128.4</v>
      </c>
      <c r="AA139">
        <v>126.1</v>
      </c>
      <c r="AB139">
        <v>115.2</v>
      </c>
      <c r="AC139">
        <v>123.5</v>
      </c>
      <c r="AD139">
        <v>132.4</v>
      </c>
      <c r="AE139">
        <v>122.1</v>
      </c>
      <c r="AF139">
        <v>123.4</v>
      </c>
      <c r="AG139">
        <v>131.4</v>
      </c>
      <c r="AH139">
        <f t="shared" si="16"/>
        <v>1766.7999999999995</v>
      </c>
      <c r="AI139">
        <f t="shared" si="17"/>
        <v>124.3</v>
      </c>
      <c r="AJ139">
        <f t="shared" si="18"/>
        <v>115.2</v>
      </c>
      <c r="AK139">
        <f t="shared" si="19"/>
        <v>132.4</v>
      </c>
      <c r="AL139">
        <f t="shared" si="20"/>
        <v>1293.0999999999999</v>
      </c>
    </row>
    <row r="140" spans="1:38" x14ac:dyDescent="0.3">
      <c r="A140" t="s">
        <v>30</v>
      </c>
      <c r="B140" s="28">
        <f t="shared" si="14"/>
        <v>42675</v>
      </c>
      <c r="C140">
        <v>2016</v>
      </c>
      <c r="D140" t="s">
        <v>44</v>
      </c>
      <c r="E140" t="str">
        <f t="shared" si="15"/>
        <v>Nov-16</v>
      </c>
      <c r="F140">
        <f>VLOOKUP(D140,'Problem Statement 4'!$G$2:$H$13,2,0)</f>
        <v>11</v>
      </c>
      <c r="G140">
        <v>132</v>
      </c>
      <c r="H140">
        <v>137.4</v>
      </c>
      <c r="I140">
        <v>130.6</v>
      </c>
      <c r="J140">
        <v>136.19999999999999</v>
      </c>
      <c r="K140">
        <v>121.1</v>
      </c>
      <c r="L140">
        <v>136.9</v>
      </c>
      <c r="M140">
        <v>141.80000000000001</v>
      </c>
      <c r="N140">
        <v>170</v>
      </c>
      <c r="O140">
        <v>113.4</v>
      </c>
      <c r="P140">
        <v>136.80000000000001</v>
      </c>
      <c r="Q140">
        <v>128.69999999999999</v>
      </c>
      <c r="R140">
        <v>143.1</v>
      </c>
      <c r="S140">
        <v>136.6</v>
      </c>
      <c r="T140">
        <v>141.19999999999999</v>
      </c>
      <c r="U140">
        <v>139.9</v>
      </c>
      <c r="V140">
        <v>134.5</v>
      </c>
      <c r="W140">
        <v>139.19999999999999</v>
      </c>
      <c r="X140">
        <v>129.1</v>
      </c>
      <c r="Y140">
        <v>130.30000000000001</v>
      </c>
      <c r="Z140">
        <v>132.1</v>
      </c>
      <c r="AA140">
        <v>129.1</v>
      </c>
      <c r="AB140">
        <v>118.2</v>
      </c>
      <c r="AC140">
        <v>126.9</v>
      </c>
      <c r="AD140">
        <v>133.69999999999999</v>
      </c>
      <c r="AE140">
        <v>123.5</v>
      </c>
      <c r="AF140">
        <v>126.1</v>
      </c>
      <c r="AG140">
        <v>133.6</v>
      </c>
      <c r="AH140">
        <f t="shared" si="16"/>
        <v>1764.6</v>
      </c>
      <c r="AI140">
        <f t="shared" si="17"/>
        <v>130.30000000000001</v>
      </c>
      <c r="AJ140">
        <f t="shared" si="18"/>
        <v>118.2</v>
      </c>
      <c r="AK140">
        <f t="shared" si="19"/>
        <v>133.69999999999999</v>
      </c>
      <c r="AL140">
        <f t="shared" si="20"/>
        <v>1321.6</v>
      </c>
    </row>
    <row r="141" spans="1:38" x14ac:dyDescent="0.3">
      <c r="A141" t="s">
        <v>32</v>
      </c>
      <c r="B141" s="28">
        <f t="shared" si="14"/>
        <v>42675</v>
      </c>
      <c r="C141">
        <v>2016</v>
      </c>
      <c r="D141" t="s">
        <v>44</v>
      </c>
      <c r="E141" t="str">
        <f t="shared" si="15"/>
        <v>Nov-16</v>
      </c>
      <c r="F141">
        <f>VLOOKUP(D141,'Problem Statement 4'!$G$2:$H$13,2,0)</f>
        <v>11</v>
      </c>
      <c r="G141">
        <v>130.19999999999999</v>
      </c>
      <c r="H141">
        <v>138.5</v>
      </c>
      <c r="I141">
        <v>134.1</v>
      </c>
      <c r="J141">
        <v>132.9</v>
      </c>
      <c r="K141">
        <v>112.6</v>
      </c>
      <c r="L141">
        <v>130.80000000000001</v>
      </c>
      <c r="M141">
        <v>142</v>
      </c>
      <c r="N141">
        <v>174.9</v>
      </c>
      <c r="O141">
        <v>115.6</v>
      </c>
      <c r="P141">
        <v>145.4</v>
      </c>
      <c r="Q141">
        <v>122.7</v>
      </c>
      <c r="R141">
        <v>140.30000000000001</v>
      </c>
      <c r="S141">
        <v>135.19999999999999</v>
      </c>
      <c r="T141">
        <v>144.30000000000001</v>
      </c>
      <c r="U141">
        <v>129.6</v>
      </c>
      <c r="V141">
        <v>122.1</v>
      </c>
      <c r="W141">
        <v>128.5</v>
      </c>
      <c r="X141">
        <v>129.1</v>
      </c>
      <c r="Y141">
        <v>116.2</v>
      </c>
      <c r="Z141">
        <v>124.7</v>
      </c>
      <c r="AA141">
        <v>122.1</v>
      </c>
      <c r="AB141">
        <v>113.4</v>
      </c>
      <c r="AC141">
        <v>121.7</v>
      </c>
      <c r="AD141">
        <v>132.1</v>
      </c>
      <c r="AE141">
        <v>121.3</v>
      </c>
      <c r="AF141">
        <v>121.3</v>
      </c>
      <c r="AG141">
        <v>128.5</v>
      </c>
      <c r="AH141">
        <f t="shared" si="16"/>
        <v>1755.2</v>
      </c>
      <c r="AI141">
        <f t="shared" si="17"/>
        <v>116.2</v>
      </c>
      <c r="AJ141">
        <f t="shared" si="18"/>
        <v>113.4</v>
      </c>
      <c r="AK141">
        <f t="shared" si="19"/>
        <v>132.1</v>
      </c>
      <c r="AL141">
        <f t="shared" si="20"/>
        <v>1264.7</v>
      </c>
    </row>
    <row r="142" spans="1:38" x14ac:dyDescent="0.3">
      <c r="A142" t="s">
        <v>33</v>
      </c>
      <c r="B142" s="28">
        <f t="shared" si="14"/>
        <v>42675</v>
      </c>
      <c r="C142">
        <v>2016</v>
      </c>
      <c r="D142" t="s">
        <v>44</v>
      </c>
      <c r="E142" t="str">
        <f t="shared" si="15"/>
        <v>Nov-16</v>
      </c>
      <c r="F142">
        <f>VLOOKUP(D142,'Problem Statement 4'!$G$2:$H$13,2,0)</f>
        <v>11</v>
      </c>
      <c r="G142">
        <v>131.4</v>
      </c>
      <c r="H142">
        <v>137.80000000000001</v>
      </c>
      <c r="I142">
        <v>132</v>
      </c>
      <c r="J142">
        <v>135</v>
      </c>
      <c r="K142">
        <v>118</v>
      </c>
      <c r="L142">
        <v>134.1</v>
      </c>
      <c r="M142">
        <v>141.9</v>
      </c>
      <c r="N142">
        <v>171.7</v>
      </c>
      <c r="O142">
        <v>114.1</v>
      </c>
      <c r="P142">
        <v>139.69999999999999</v>
      </c>
      <c r="Q142">
        <v>126.2</v>
      </c>
      <c r="R142">
        <v>141.80000000000001</v>
      </c>
      <c r="S142">
        <v>136.1</v>
      </c>
      <c r="T142">
        <v>142</v>
      </c>
      <c r="U142">
        <v>135.80000000000001</v>
      </c>
      <c r="V142">
        <v>129.30000000000001</v>
      </c>
      <c r="W142">
        <v>135</v>
      </c>
      <c r="X142">
        <v>129.1</v>
      </c>
      <c r="Y142">
        <v>125</v>
      </c>
      <c r="Z142">
        <v>128.6</v>
      </c>
      <c r="AA142">
        <v>126.4</v>
      </c>
      <c r="AB142">
        <v>115.7</v>
      </c>
      <c r="AC142">
        <v>124</v>
      </c>
      <c r="AD142">
        <v>132.80000000000001</v>
      </c>
      <c r="AE142">
        <v>122.6</v>
      </c>
      <c r="AF142">
        <v>123.8</v>
      </c>
      <c r="AG142">
        <v>131.19999999999999</v>
      </c>
      <c r="AH142">
        <f t="shared" si="16"/>
        <v>1759.8</v>
      </c>
      <c r="AI142">
        <f t="shared" si="17"/>
        <v>125</v>
      </c>
      <c r="AJ142">
        <f t="shared" si="18"/>
        <v>115.7</v>
      </c>
      <c r="AK142">
        <f t="shared" si="19"/>
        <v>132.80000000000001</v>
      </c>
      <c r="AL142">
        <f t="shared" si="20"/>
        <v>1296.5999999999999</v>
      </c>
    </row>
    <row r="143" spans="1:38" x14ac:dyDescent="0.3">
      <c r="A143" t="s">
        <v>30</v>
      </c>
      <c r="B143" s="28">
        <f t="shared" si="14"/>
        <v>42705</v>
      </c>
      <c r="C143">
        <v>2016</v>
      </c>
      <c r="D143" t="s">
        <v>45</v>
      </c>
      <c r="E143" t="str">
        <f t="shared" si="15"/>
        <v>Dec-16</v>
      </c>
      <c r="F143">
        <f>VLOOKUP(D143,'Problem Statement 4'!$G$2:$H$13,2,0)</f>
        <v>12</v>
      </c>
      <c r="G143">
        <v>132.6</v>
      </c>
      <c r="H143">
        <v>137.30000000000001</v>
      </c>
      <c r="I143">
        <v>131.6</v>
      </c>
      <c r="J143">
        <v>136.30000000000001</v>
      </c>
      <c r="K143">
        <v>121.6</v>
      </c>
      <c r="L143">
        <v>135.6</v>
      </c>
      <c r="M143">
        <v>127.5</v>
      </c>
      <c r="N143">
        <v>167.9</v>
      </c>
      <c r="O143">
        <v>113.8</v>
      </c>
      <c r="P143">
        <v>137.5</v>
      </c>
      <c r="Q143">
        <v>129.1</v>
      </c>
      <c r="R143">
        <v>143.6</v>
      </c>
      <c r="S143">
        <v>134.69999999999999</v>
      </c>
      <c r="T143">
        <v>142.4</v>
      </c>
      <c r="U143">
        <v>140.4</v>
      </c>
      <c r="V143">
        <v>135.19999999999999</v>
      </c>
      <c r="W143">
        <v>139.69999999999999</v>
      </c>
      <c r="X143">
        <v>128.5</v>
      </c>
      <c r="Y143">
        <v>132</v>
      </c>
      <c r="Z143">
        <v>132.9</v>
      </c>
      <c r="AA143">
        <v>129.69999999999999</v>
      </c>
      <c r="AB143">
        <v>118.6</v>
      </c>
      <c r="AC143">
        <v>127.3</v>
      </c>
      <c r="AD143">
        <v>134.19999999999999</v>
      </c>
      <c r="AE143">
        <v>121.9</v>
      </c>
      <c r="AF143">
        <v>126.3</v>
      </c>
      <c r="AG143">
        <v>132.80000000000001</v>
      </c>
      <c r="AH143">
        <f t="shared" si="16"/>
        <v>1749.1</v>
      </c>
      <c r="AI143">
        <f t="shared" si="17"/>
        <v>132</v>
      </c>
      <c r="AJ143">
        <f t="shared" si="18"/>
        <v>118.6</v>
      </c>
      <c r="AK143">
        <f t="shared" si="19"/>
        <v>134.19999999999999</v>
      </c>
      <c r="AL143">
        <f t="shared" si="20"/>
        <v>1324.3</v>
      </c>
    </row>
    <row r="144" spans="1:38" x14ac:dyDescent="0.3">
      <c r="A144" t="s">
        <v>32</v>
      </c>
      <c r="B144" s="28">
        <f t="shared" si="14"/>
        <v>42705</v>
      </c>
      <c r="C144">
        <v>2016</v>
      </c>
      <c r="D144" t="s">
        <v>45</v>
      </c>
      <c r="E144" t="str">
        <f t="shared" si="15"/>
        <v>Dec-16</v>
      </c>
      <c r="F144">
        <f>VLOOKUP(D144,'Problem Statement 4'!$G$2:$H$13,2,0)</f>
        <v>12</v>
      </c>
      <c r="G144">
        <v>131.6</v>
      </c>
      <c r="H144">
        <v>138.19999999999999</v>
      </c>
      <c r="I144">
        <v>134.9</v>
      </c>
      <c r="J144">
        <v>133.1</v>
      </c>
      <c r="K144">
        <v>113.5</v>
      </c>
      <c r="L144">
        <v>129.30000000000001</v>
      </c>
      <c r="M144">
        <v>121.1</v>
      </c>
      <c r="N144">
        <v>170.3</v>
      </c>
      <c r="O144">
        <v>115.5</v>
      </c>
      <c r="P144">
        <v>145.5</v>
      </c>
      <c r="Q144">
        <v>123.1</v>
      </c>
      <c r="R144">
        <v>140.9</v>
      </c>
      <c r="S144">
        <v>132.80000000000001</v>
      </c>
      <c r="T144">
        <v>145</v>
      </c>
      <c r="U144">
        <v>130</v>
      </c>
      <c r="V144">
        <v>122.2</v>
      </c>
      <c r="W144">
        <v>128.80000000000001</v>
      </c>
      <c r="X144">
        <v>128.5</v>
      </c>
      <c r="Y144">
        <v>117.8</v>
      </c>
      <c r="Z144">
        <v>125</v>
      </c>
      <c r="AA144">
        <v>122.3</v>
      </c>
      <c r="AB144">
        <v>113.7</v>
      </c>
      <c r="AC144">
        <v>121.8</v>
      </c>
      <c r="AD144">
        <v>132.30000000000001</v>
      </c>
      <c r="AE144">
        <v>119.9</v>
      </c>
      <c r="AF144">
        <v>121.4</v>
      </c>
      <c r="AG144">
        <v>127.6</v>
      </c>
      <c r="AH144">
        <f t="shared" si="16"/>
        <v>1729.8</v>
      </c>
      <c r="AI144">
        <f t="shared" si="17"/>
        <v>117.8</v>
      </c>
      <c r="AJ144">
        <f t="shared" si="18"/>
        <v>113.7</v>
      </c>
      <c r="AK144">
        <f t="shared" si="19"/>
        <v>132.30000000000001</v>
      </c>
      <c r="AL144">
        <f t="shared" si="20"/>
        <v>1264.9000000000001</v>
      </c>
    </row>
    <row r="145" spans="1:38" x14ac:dyDescent="0.3">
      <c r="A145" t="s">
        <v>33</v>
      </c>
      <c r="B145" s="28">
        <f t="shared" si="14"/>
        <v>42705</v>
      </c>
      <c r="C145">
        <v>2016</v>
      </c>
      <c r="D145" t="s">
        <v>45</v>
      </c>
      <c r="E145" t="str">
        <f t="shared" si="15"/>
        <v>Dec-16</v>
      </c>
      <c r="F145">
        <f>VLOOKUP(D145,'Problem Statement 4'!$G$2:$H$13,2,0)</f>
        <v>12</v>
      </c>
      <c r="G145">
        <v>132.30000000000001</v>
      </c>
      <c r="H145">
        <v>137.6</v>
      </c>
      <c r="I145">
        <v>132.9</v>
      </c>
      <c r="J145">
        <v>135.1</v>
      </c>
      <c r="K145">
        <v>118.6</v>
      </c>
      <c r="L145">
        <v>132.69999999999999</v>
      </c>
      <c r="M145">
        <v>125.3</v>
      </c>
      <c r="N145">
        <v>168.7</v>
      </c>
      <c r="O145">
        <v>114.4</v>
      </c>
      <c r="P145">
        <v>140.19999999999999</v>
      </c>
      <c r="Q145">
        <v>126.6</v>
      </c>
      <c r="R145">
        <v>142.30000000000001</v>
      </c>
      <c r="S145">
        <v>134</v>
      </c>
      <c r="T145">
        <v>143.1</v>
      </c>
      <c r="U145">
        <v>136.30000000000001</v>
      </c>
      <c r="V145">
        <v>129.80000000000001</v>
      </c>
      <c r="W145">
        <v>135.4</v>
      </c>
      <c r="X145">
        <v>128.5</v>
      </c>
      <c r="Y145">
        <v>126.6</v>
      </c>
      <c r="Z145">
        <v>129.19999999999999</v>
      </c>
      <c r="AA145">
        <v>126.9</v>
      </c>
      <c r="AB145">
        <v>116</v>
      </c>
      <c r="AC145">
        <v>124.2</v>
      </c>
      <c r="AD145">
        <v>133.1</v>
      </c>
      <c r="AE145">
        <v>121.1</v>
      </c>
      <c r="AF145">
        <v>123.9</v>
      </c>
      <c r="AG145">
        <v>130.4</v>
      </c>
      <c r="AH145">
        <f t="shared" si="16"/>
        <v>1740.7</v>
      </c>
      <c r="AI145">
        <f t="shared" si="17"/>
        <v>126.6</v>
      </c>
      <c r="AJ145">
        <f t="shared" si="18"/>
        <v>116</v>
      </c>
      <c r="AK145">
        <f t="shared" si="19"/>
        <v>133.1</v>
      </c>
      <c r="AL145">
        <f t="shared" si="20"/>
        <v>1298.3999999999999</v>
      </c>
    </row>
    <row r="146" spans="1:38" x14ac:dyDescent="0.3">
      <c r="A146" t="s">
        <v>30</v>
      </c>
      <c r="B146" s="28">
        <f t="shared" si="14"/>
        <v>42736</v>
      </c>
      <c r="C146">
        <v>2017</v>
      </c>
      <c r="D146" t="s">
        <v>31</v>
      </c>
      <c r="E146" t="str">
        <f t="shared" si="15"/>
        <v>Jan-17</v>
      </c>
      <c r="F146">
        <f>VLOOKUP(D146,'Problem Statement 4'!$G$2:$H$13,2,0)</f>
        <v>1</v>
      </c>
      <c r="G146">
        <v>133.1</v>
      </c>
      <c r="H146">
        <v>137.80000000000001</v>
      </c>
      <c r="I146">
        <v>131.9</v>
      </c>
      <c r="J146">
        <v>136.69999999999999</v>
      </c>
      <c r="K146">
        <v>122</v>
      </c>
      <c r="L146">
        <v>136</v>
      </c>
      <c r="M146">
        <v>119.8</v>
      </c>
      <c r="N146">
        <v>161.69999999999999</v>
      </c>
      <c r="O146">
        <v>114.8</v>
      </c>
      <c r="P146">
        <v>136.9</v>
      </c>
      <c r="Q146">
        <v>129</v>
      </c>
      <c r="R146">
        <v>143.9</v>
      </c>
      <c r="S146">
        <v>133.69999999999999</v>
      </c>
      <c r="T146">
        <v>143.1</v>
      </c>
      <c r="U146">
        <v>140.69999999999999</v>
      </c>
      <c r="V146">
        <v>135.80000000000001</v>
      </c>
      <c r="W146">
        <v>140</v>
      </c>
      <c r="X146">
        <v>129.6</v>
      </c>
      <c r="Y146">
        <v>132.1</v>
      </c>
      <c r="Z146">
        <v>133.19999999999999</v>
      </c>
      <c r="AA146">
        <v>129.9</v>
      </c>
      <c r="AB146">
        <v>119.1</v>
      </c>
      <c r="AC146">
        <v>127</v>
      </c>
      <c r="AD146">
        <v>134.6</v>
      </c>
      <c r="AE146">
        <v>122.3</v>
      </c>
      <c r="AF146">
        <v>126.6</v>
      </c>
      <c r="AG146">
        <v>132.4</v>
      </c>
      <c r="AH146">
        <f t="shared" si="16"/>
        <v>1737.3000000000002</v>
      </c>
      <c r="AI146">
        <f t="shared" si="17"/>
        <v>132.1</v>
      </c>
      <c r="AJ146">
        <f t="shared" si="18"/>
        <v>119.1</v>
      </c>
      <c r="AK146">
        <f t="shared" si="19"/>
        <v>134.6</v>
      </c>
      <c r="AL146">
        <f t="shared" si="20"/>
        <v>1328.1999999999996</v>
      </c>
    </row>
    <row r="147" spans="1:38" x14ac:dyDescent="0.3">
      <c r="A147" t="s">
        <v>32</v>
      </c>
      <c r="B147" s="28">
        <f t="shared" si="14"/>
        <v>42736</v>
      </c>
      <c r="C147">
        <v>2017</v>
      </c>
      <c r="D147" t="s">
        <v>31</v>
      </c>
      <c r="E147" t="str">
        <f t="shared" si="15"/>
        <v>Jan-17</v>
      </c>
      <c r="F147">
        <f>VLOOKUP(D147,'Problem Statement 4'!$G$2:$H$13,2,0)</f>
        <v>1</v>
      </c>
      <c r="G147">
        <v>132.19999999999999</v>
      </c>
      <c r="H147">
        <v>138.9</v>
      </c>
      <c r="I147">
        <v>132.6</v>
      </c>
      <c r="J147">
        <v>133.1</v>
      </c>
      <c r="K147">
        <v>114</v>
      </c>
      <c r="L147">
        <v>129.6</v>
      </c>
      <c r="M147">
        <v>118.7</v>
      </c>
      <c r="N147">
        <v>155.1</v>
      </c>
      <c r="O147">
        <v>117.3</v>
      </c>
      <c r="P147">
        <v>144.9</v>
      </c>
      <c r="Q147">
        <v>123.2</v>
      </c>
      <c r="R147">
        <v>141.6</v>
      </c>
      <c r="S147">
        <v>132</v>
      </c>
      <c r="T147">
        <v>145.6</v>
      </c>
      <c r="U147">
        <v>130.19999999999999</v>
      </c>
      <c r="V147">
        <v>122.3</v>
      </c>
      <c r="W147">
        <v>129</v>
      </c>
      <c r="X147">
        <v>129.6</v>
      </c>
      <c r="Y147">
        <v>118</v>
      </c>
      <c r="Z147">
        <v>125.1</v>
      </c>
      <c r="AA147">
        <v>122.6</v>
      </c>
      <c r="AB147">
        <v>115.2</v>
      </c>
      <c r="AC147">
        <v>122</v>
      </c>
      <c r="AD147">
        <v>132.4</v>
      </c>
      <c r="AE147">
        <v>120.9</v>
      </c>
      <c r="AF147">
        <v>122.1</v>
      </c>
      <c r="AG147">
        <v>127.8</v>
      </c>
      <c r="AH147">
        <f t="shared" si="16"/>
        <v>1713.2</v>
      </c>
      <c r="AI147">
        <f t="shared" si="17"/>
        <v>118</v>
      </c>
      <c r="AJ147">
        <f t="shared" si="18"/>
        <v>115.2</v>
      </c>
      <c r="AK147">
        <f t="shared" si="19"/>
        <v>132.4</v>
      </c>
      <c r="AL147">
        <f t="shared" si="20"/>
        <v>1269.4000000000001</v>
      </c>
    </row>
    <row r="148" spans="1:38" x14ac:dyDescent="0.3">
      <c r="A148" t="s">
        <v>33</v>
      </c>
      <c r="B148" s="28">
        <f t="shared" si="14"/>
        <v>42736</v>
      </c>
      <c r="C148">
        <v>2017</v>
      </c>
      <c r="D148" t="s">
        <v>31</v>
      </c>
      <c r="E148" t="str">
        <f t="shared" si="15"/>
        <v>Jan-17</v>
      </c>
      <c r="F148">
        <f>VLOOKUP(D148,'Problem Statement 4'!$G$2:$H$13,2,0)</f>
        <v>1</v>
      </c>
      <c r="G148">
        <v>132.80000000000001</v>
      </c>
      <c r="H148">
        <v>138.19999999999999</v>
      </c>
      <c r="I148">
        <v>132.19999999999999</v>
      </c>
      <c r="J148">
        <v>135.4</v>
      </c>
      <c r="K148">
        <v>119.1</v>
      </c>
      <c r="L148">
        <v>133</v>
      </c>
      <c r="M148">
        <v>119.4</v>
      </c>
      <c r="N148">
        <v>159.5</v>
      </c>
      <c r="O148">
        <v>115.6</v>
      </c>
      <c r="P148">
        <v>139.6</v>
      </c>
      <c r="Q148">
        <v>126.6</v>
      </c>
      <c r="R148">
        <v>142.80000000000001</v>
      </c>
      <c r="S148">
        <v>133.1</v>
      </c>
      <c r="T148">
        <v>143.80000000000001</v>
      </c>
      <c r="U148">
        <v>136.6</v>
      </c>
      <c r="V148">
        <v>130.19999999999999</v>
      </c>
      <c r="W148">
        <v>135.6</v>
      </c>
      <c r="X148">
        <v>129.6</v>
      </c>
      <c r="Y148">
        <v>126.8</v>
      </c>
      <c r="Z148">
        <v>129.4</v>
      </c>
      <c r="AA148">
        <v>127.1</v>
      </c>
      <c r="AB148">
        <v>117</v>
      </c>
      <c r="AC148">
        <v>124.2</v>
      </c>
      <c r="AD148">
        <v>133.30000000000001</v>
      </c>
      <c r="AE148">
        <v>121.7</v>
      </c>
      <c r="AF148">
        <v>124.4</v>
      </c>
      <c r="AG148">
        <v>130.30000000000001</v>
      </c>
      <c r="AH148">
        <f t="shared" si="16"/>
        <v>1727.2999999999995</v>
      </c>
      <c r="AI148">
        <f t="shared" si="17"/>
        <v>126.8</v>
      </c>
      <c r="AJ148">
        <f t="shared" si="18"/>
        <v>117</v>
      </c>
      <c r="AK148">
        <f t="shared" si="19"/>
        <v>133.30000000000001</v>
      </c>
      <c r="AL148">
        <f t="shared" si="20"/>
        <v>1302.6000000000001</v>
      </c>
    </row>
    <row r="149" spans="1:38" x14ac:dyDescent="0.3">
      <c r="A149" t="s">
        <v>30</v>
      </c>
      <c r="B149" s="28">
        <f t="shared" si="14"/>
        <v>42767</v>
      </c>
      <c r="C149">
        <v>2017</v>
      </c>
      <c r="D149" t="s">
        <v>34</v>
      </c>
      <c r="E149" t="str">
        <f t="shared" si="15"/>
        <v>Feb-17</v>
      </c>
      <c r="F149">
        <f>VLOOKUP(D149,'Problem Statement 4'!$G$2:$H$13,2,0)</f>
        <v>2</v>
      </c>
      <c r="G149">
        <v>133.30000000000001</v>
      </c>
      <c r="H149">
        <v>138.30000000000001</v>
      </c>
      <c r="I149">
        <v>129.30000000000001</v>
      </c>
      <c r="J149">
        <v>137.19999999999999</v>
      </c>
      <c r="K149">
        <v>122.1</v>
      </c>
      <c r="L149">
        <v>138.69999999999999</v>
      </c>
      <c r="M149">
        <v>119.1</v>
      </c>
      <c r="N149">
        <v>156.9</v>
      </c>
      <c r="O149">
        <v>116.2</v>
      </c>
      <c r="P149">
        <v>136</v>
      </c>
      <c r="Q149">
        <v>129.4</v>
      </c>
      <c r="R149">
        <v>144.4</v>
      </c>
      <c r="S149">
        <v>133.6</v>
      </c>
      <c r="T149">
        <v>143.69999999999999</v>
      </c>
      <c r="U149">
        <v>140.9</v>
      </c>
      <c r="V149">
        <v>135.80000000000001</v>
      </c>
      <c r="W149">
        <v>140.19999999999999</v>
      </c>
      <c r="X149">
        <v>130.5</v>
      </c>
      <c r="Y149">
        <v>133.19999999999999</v>
      </c>
      <c r="Z149">
        <v>133.6</v>
      </c>
      <c r="AA149">
        <v>130.1</v>
      </c>
      <c r="AB149">
        <v>119.5</v>
      </c>
      <c r="AC149">
        <v>127.7</v>
      </c>
      <c r="AD149">
        <v>134.9</v>
      </c>
      <c r="AE149">
        <v>123.2</v>
      </c>
      <c r="AF149">
        <v>127</v>
      </c>
      <c r="AG149">
        <v>132.6</v>
      </c>
      <c r="AH149">
        <f t="shared" si="16"/>
        <v>1734.5000000000002</v>
      </c>
      <c r="AI149">
        <f t="shared" si="17"/>
        <v>133.19999999999999</v>
      </c>
      <c r="AJ149">
        <f t="shared" si="18"/>
        <v>119.5</v>
      </c>
      <c r="AK149">
        <f t="shared" si="19"/>
        <v>134.9</v>
      </c>
      <c r="AL149">
        <f t="shared" si="20"/>
        <v>1332.7</v>
      </c>
    </row>
    <row r="150" spans="1:38" x14ac:dyDescent="0.3">
      <c r="A150" t="s">
        <v>32</v>
      </c>
      <c r="B150" s="28">
        <f t="shared" si="14"/>
        <v>42767</v>
      </c>
      <c r="C150">
        <v>2017</v>
      </c>
      <c r="D150" t="s">
        <v>34</v>
      </c>
      <c r="E150" t="str">
        <f t="shared" si="15"/>
        <v>Feb-17</v>
      </c>
      <c r="F150">
        <f>VLOOKUP(D150,'Problem Statement 4'!$G$2:$H$13,2,0)</f>
        <v>2</v>
      </c>
      <c r="G150">
        <v>132.80000000000001</v>
      </c>
      <c r="H150">
        <v>139.80000000000001</v>
      </c>
      <c r="I150">
        <v>129.30000000000001</v>
      </c>
      <c r="J150">
        <v>133.5</v>
      </c>
      <c r="K150">
        <v>114.3</v>
      </c>
      <c r="L150">
        <v>131.4</v>
      </c>
      <c r="M150">
        <v>120.2</v>
      </c>
      <c r="N150">
        <v>143.1</v>
      </c>
      <c r="O150">
        <v>119.5</v>
      </c>
      <c r="P150">
        <v>144</v>
      </c>
      <c r="Q150">
        <v>123.4</v>
      </c>
      <c r="R150">
        <v>141.9</v>
      </c>
      <c r="S150">
        <v>132.1</v>
      </c>
      <c r="T150">
        <v>146.30000000000001</v>
      </c>
      <c r="U150">
        <v>130.5</v>
      </c>
      <c r="V150">
        <v>122.5</v>
      </c>
      <c r="W150">
        <v>129.30000000000001</v>
      </c>
      <c r="X150">
        <v>130.5</v>
      </c>
      <c r="Y150">
        <v>119.2</v>
      </c>
      <c r="Z150">
        <v>125.3</v>
      </c>
      <c r="AA150">
        <v>122.9</v>
      </c>
      <c r="AB150">
        <v>115.5</v>
      </c>
      <c r="AC150">
        <v>122.2</v>
      </c>
      <c r="AD150">
        <v>132.4</v>
      </c>
      <c r="AE150">
        <v>121.7</v>
      </c>
      <c r="AF150">
        <v>122.4</v>
      </c>
      <c r="AG150">
        <v>128.19999999999999</v>
      </c>
      <c r="AH150">
        <f t="shared" si="16"/>
        <v>1705.3000000000002</v>
      </c>
      <c r="AI150">
        <f t="shared" si="17"/>
        <v>119.2</v>
      </c>
      <c r="AJ150">
        <f t="shared" si="18"/>
        <v>115.5</v>
      </c>
      <c r="AK150">
        <f t="shared" si="19"/>
        <v>132.4</v>
      </c>
      <c r="AL150">
        <f t="shared" si="20"/>
        <v>1273.6000000000001</v>
      </c>
    </row>
    <row r="151" spans="1:38" x14ac:dyDescent="0.3">
      <c r="A151" t="s">
        <v>33</v>
      </c>
      <c r="B151" s="28">
        <f t="shared" si="14"/>
        <v>42767</v>
      </c>
      <c r="C151">
        <v>2017</v>
      </c>
      <c r="D151" t="s">
        <v>34</v>
      </c>
      <c r="E151" t="str">
        <f t="shared" si="15"/>
        <v>Feb-17</v>
      </c>
      <c r="F151">
        <f>VLOOKUP(D151,'Problem Statement 4'!$G$2:$H$13,2,0)</f>
        <v>2</v>
      </c>
      <c r="G151">
        <v>133.1</v>
      </c>
      <c r="H151">
        <v>138.80000000000001</v>
      </c>
      <c r="I151">
        <v>129.30000000000001</v>
      </c>
      <c r="J151">
        <v>135.80000000000001</v>
      </c>
      <c r="K151">
        <v>119.2</v>
      </c>
      <c r="L151">
        <v>135.30000000000001</v>
      </c>
      <c r="M151">
        <v>119.5</v>
      </c>
      <c r="N151">
        <v>152.19999999999999</v>
      </c>
      <c r="O151">
        <v>117.3</v>
      </c>
      <c r="P151">
        <v>138.69999999999999</v>
      </c>
      <c r="Q151">
        <v>126.9</v>
      </c>
      <c r="R151">
        <v>143.19999999999999</v>
      </c>
      <c r="S151">
        <v>133</v>
      </c>
      <c r="T151">
        <v>144.4</v>
      </c>
      <c r="U151">
        <v>136.80000000000001</v>
      </c>
      <c r="V151">
        <v>130.30000000000001</v>
      </c>
      <c r="W151">
        <v>135.9</v>
      </c>
      <c r="X151">
        <v>130.5</v>
      </c>
      <c r="Y151">
        <v>127.9</v>
      </c>
      <c r="Z151">
        <v>129.69999999999999</v>
      </c>
      <c r="AA151">
        <v>127.4</v>
      </c>
      <c r="AB151">
        <v>117.4</v>
      </c>
      <c r="AC151">
        <v>124.6</v>
      </c>
      <c r="AD151">
        <v>133.4</v>
      </c>
      <c r="AE151">
        <v>122.6</v>
      </c>
      <c r="AF151">
        <v>124.8</v>
      </c>
      <c r="AG151">
        <v>130.6</v>
      </c>
      <c r="AH151">
        <f t="shared" si="16"/>
        <v>1722.3000000000002</v>
      </c>
      <c r="AI151">
        <f t="shared" si="17"/>
        <v>127.9</v>
      </c>
      <c r="AJ151">
        <f t="shared" si="18"/>
        <v>117.4</v>
      </c>
      <c r="AK151">
        <f t="shared" si="19"/>
        <v>133.4</v>
      </c>
      <c r="AL151">
        <f t="shared" si="20"/>
        <v>1307</v>
      </c>
    </row>
    <row r="152" spans="1:38" x14ac:dyDescent="0.3">
      <c r="A152" t="s">
        <v>30</v>
      </c>
      <c r="B152" s="28">
        <f t="shared" si="14"/>
        <v>42795</v>
      </c>
      <c r="C152">
        <v>2017</v>
      </c>
      <c r="D152" t="s">
        <v>35</v>
      </c>
      <c r="E152" t="str">
        <f t="shared" si="15"/>
        <v>Mar-17</v>
      </c>
      <c r="F152">
        <f>VLOOKUP(D152,'Problem Statement 4'!$G$2:$H$13,2,0)</f>
        <v>3</v>
      </c>
      <c r="G152">
        <v>133.6</v>
      </c>
      <c r="H152">
        <v>138.80000000000001</v>
      </c>
      <c r="I152">
        <v>128.80000000000001</v>
      </c>
      <c r="J152">
        <v>137.19999999999999</v>
      </c>
      <c r="K152">
        <v>121.6</v>
      </c>
      <c r="L152">
        <v>139.69999999999999</v>
      </c>
      <c r="M152">
        <v>119.7</v>
      </c>
      <c r="N152">
        <v>148</v>
      </c>
      <c r="O152">
        <v>116.9</v>
      </c>
      <c r="P152">
        <v>135.6</v>
      </c>
      <c r="Q152">
        <v>129.80000000000001</v>
      </c>
      <c r="R152">
        <v>145.4</v>
      </c>
      <c r="S152">
        <v>133.4</v>
      </c>
      <c r="T152">
        <v>144.19999999999999</v>
      </c>
      <c r="U152">
        <v>141.6</v>
      </c>
      <c r="V152">
        <v>136.19999999999999</v>
      </c>
      <c r="W152">
        <v>140.80000000000001</v>
      </c>
      <c r="X152">
        <v>131.1</v>
      </c>
      <c r="Y152">
        <v>134.19999999999999</v>
      </c>
      <c r="Z152">
        <v>134.1</v>
      </c>
      <c r="AA152">
        <v>130.6</v>
      </c>
      <c r="AB152">
        <v>119.8</v>
      </c>
      <c r="AC152">
        <v>128.30000000000001</v>
      </c>
      <c r="AD152">
        <v>135.19999999999999</v>
      </c>
      <c r="AE152">
        <v>123.3</v>
      </c>
      <c r="AF152">
        <v>127.4</v>
      </c>
      <c r="AG152">
        <v>132.80000000000001</v>
      </c>
      <c r="AH152">
        <f t="shared" si="16"/>
        <v>1728.5000000000002</v>
      </c>
      <c r="AI152">
        <f t="shared" si="17"/>
        <v>134.19999999999999</v>
      </c>
      <c r="AJ152">
        <f t="shared" si="18"/>
        <v>119.8</v>
      </c>
      <c r="AK152">
        <f t="shared" si="19"/>
        <v>135.19999999999999</v>
      </c>
      <c r="AL152">
        <f t="shared" si="20"/>
        <v>1337.6000000000001</v>
      </c>
    </row>
    <row r="153" spans="1:38" x14ac:dyDescent="0.3">
      <c r="A153" t="s">
        <v>32</v>
      </c>
      <c r="B153" s="28">
        <f t="shared" si="14"/>
        <v>42795</v>
      </c>
      <c r="C153">
        <v>2017</v>
      </c>
      <c r="D153" t="s">
        <v>35</v>
      </c>
      <c r="E153" t="str">
        <f t="shared" si="15"/>
        <v>Mar-17</v>
      </c>
      <c r="F153">
        <f>VLOOKUP(D153,'Problem Statement 4'!$G$2:$H$13,2,0)</f>
        <v>3</v>
      </c>
      <c r="G153">
        <v>132.69999999999999</v>
      </c>
      <c r="H153">
        <v>139.4</v>
      </c>
      <c r="I153">
        <v>128.4</v>
      </c>
      <c r="J153">
        <v>134.9</v>
      </c>
      <c r="K153">
        <v>114</v>
      </c>
      <c r="L153">
        <v>136.80000000000001</v>
      </c>
      <c r="M153">
        <v>122.2</v>
      </c>
      <c r="N153">
        <v>135.80000000000001</v>
      </c>
      <c r="O153">
        <v>120.3</v>
      </c>
      <c r="P153">
        <v>142.6</v>
      </c>
      <c r="Q153">
        <v>123.6</v>
      </c>
      <c r="R153">
        <v>142.4</v>
      </c>
      <c r="S153">
        <v>132.6</v>
      </c>
      <c r="T153">
        <v>147.5</v>
      </c>
      <c r="U153">
        <v>130.80000000000001</v>
      </c>
      <c r="V153">
        <v>122.8</v>
      </c>
      <c r="W153">
        <v>129.6</v>
      </c>
      <c r="X153">
        <v>131.1</v>
      </c>
      <c r="Y153">
        <v>120.8</v>
      </c>
      <c r="Z153">
        <v>125.6</v>
      </c>
      <c r="AA153">
        <v>123.1</v>
      </c>
      <c r="AB153">
        <v>115.6</v>
      </c>
      <c r="AC153">
        <v>122.4</v>
      </c>
      <c r="AD153">
        <v>132.80000000000001</v>
      </c>
      <c r="AE153">
        <v>121.7</v>
      </c>
      <c r="AF153">
        <v>122.6</v>
      </c>
      <c r="AG153">
        <v>128.69999999999999</v>
      </c>
      <c r="AH153">
        <f t="shared" si="16"/>
        <v>1705.6999999999998</v>
      </c>
      <c r="AI153">
        <f t="shared" si="17"/>
        <v>120.8</v>
      </c>
      <c r="AJ153">
        <f t="shared" si="18"/>
        <v>115.6</v>
      </c>
      <c r="AK153">
        <f t="shared" si="19"/>
        <v>132.80000000000001</v>
      </c>
      <c r="AL153">
        <f t="shared" si="20"/>
        <v>1277.2</v>
      </c>
    </row>
    <row r="154" spans="1:38" x14ac:dyDescent="0.3">
      <c r="A154" t="s">
        <v>33</v>
      </c>
      <c r="B154" s="28">
        <f t="shared" si="14"/>
        <v>42795</v>
      </c>
      <c r="C154">
        <v>2017</v>
      </c>
      <c r="D154" t="s">
        <v>35</v>
      </c>
      <c r="E154" t="str">
        <f t="shared" si="15"/>
        <v>Mar-17</v>
      </c>
      <c r="F154">
        <f>VLOOKUP(D154,'Problem Statement 4'!$G$2:$H$13,2,0)</f>
        <v>3</v>
      </c>
      <c r="G154">
        <v>133.30000000000001</v>
      </c>
      <c r="H154">
        <v>139</v>
      </c>
      <c r="I154">
        <v>128.6</v>
      </c>
      <c r="J154">
        <v>136.30000000000001</v>
      </c>
      <c r="K154">
        <v>118.8</v>
      </c>
      <c r="L154">
        <v>138.30000000000001</v>
      </c>
      <c r="M154">
        <v>120.5</v>
      </c>
      <c r="N154">
        <v>143.9</v>
      </c>
      <c r="O154">
        <v>118</v>
      </c>
      <c r="P154">
        <v>137.9</v>
      </c>
      <c r="Q154">
        <v>127.2</v>
      </c>
      <c r="R154">
        <v>144</v>
      </c>
      <c r="S154">
        <v>133.1</v>
      </c>
      <c r="T154">
        <v>145.1</v>
      </c>
      <c r="U154">
        <v>137.30000000000001</v>
      </c>
      <c r="V154">
        <v>130.6</v>
      </c>
      <c r="W154">
        <v>136.4</v>
      </c>
      <c r="X154">
        <v>131.1</v>
      </c>
      <c r="Y154">
        <v>129.1</v>
      </c>
      <c r="Z154">
        <v>130.1</v>
      </c>
      <c r="AA154">
        <v>127.8</v>
      </c>
      <c r="AB154">
        <v>117.6</v>
      </c>
      <c r="AC154">
        <v>125</v>
      </c>
      <c r="AD154">
        <v>133.80000000000001</v>
      </c>
      <c r="AE154">
        <v>122.6</v>
      </c>
      <c r="AF154">
        <v>125.1</v>
      </c>
      <c r="AG154">
        <v>130.9</v>
      </c>
      <c r="AH154">
        <f t="shared" si="16"/>
        <v>1718.9</v>
      </c>
      <c r="AI154">
        <f t="shared" si="17"/>
        <v>129.1</v>
      </c>
      <c r="AJ154">
        <f t="shared" si="18"/>
        <v>117.6</v>
      </c>
      <c r="AK154">
        <f t="shared" si="19"/>
        <v>133.80000000000001</v>
      </c>
      <c r="AL154">
        <f t="shared" si="20"/>
        <v>1311.1</v>
      </c>
    </row>
    <row r="155" spans="1:38" x14ac:dyDescent="0.3">
      <c r="A155" t="s">
        <v>30</v>
      </c>
      <c r="B155" s="28">
        <f t="shared" si="14"/>
        <v>42826</v>
      </c>
      <c r="C155">
        <v>2017</v>
      </c>
      <c r="D155" t="s">
        <v>36</v>
      </c>
      <c r="E155" t="str">
        <f t="shared" si="15"/>
        <v>Apr-17</v>
      </c>
      <c r="F155">
        <f>VLOOKUP(D155,'Problem Statement 4'!$G$2:$H$13,2,0)</f>
        <v>4</v>
      </c>
      <c r="G155">
        <v>133.19999999999999</v>
      </c>
      <c r="H155">
        <v>138.69999999999999</v>
      </c>
      <c r="I155">
        <v>127.1</v>
      </c>
      <c r="J155">
        <v>137.69999999999999</v>
      </c>
      <c r="K155">
        <v>121.3</v>
      </c>
      <c r="L155">
        <v>141.80000000000001</v>
      </c>
      <c r="M155">
        <v>121.5</v>
      </c>
      <c r="N155">
        <v>144.5</v>
      </c>
      <c r="O155">
        <v>117.4</v>
      </c>
      <c r="P155">
        <v>134.1</v>
      </c>
      <c r="Q155">
        <v>130</v>
      </c>
      <c r="R155">
        <v>145.5</v>
      </c>
      <c r="S155">
        <v>133.5</v>
      </c>
      <c r="T155">
        <v>144.4</v>
      </c>
      <c r="U155">
        <v>142.4</v>
      </c>
      <c r="V155">
        <v>136.80000000000001</v>
      </c>
      <c r="W155">
        <v>141.6</v>
      </c>
      <c r="X155">
        <v>131.69999999999999</v>
      </c>
      <c r="Y155">
        <v>135</v>
      </c>
      <c r="Z155">
        <v>134.30000000000001</v>
      </c>
      <c r="AA155">
        <v>131</v>
      </c>
      <c r="AB155">
        <v>119.2</v>
      </c>
      <c r="AC155">
        <v>128.30000000000001</v>
      </c>
      <c r="AD155">
        <v>135.69999999999999</v>
      </c>
      <c r="AE155">
        <v>123.7</v>
      </c>
      <c r="AF155">
        <v>127.5</v>
      </c>
      <c r="AG155">
        <v>132.9</v>
      </c>
      <c r="AH155">
        <f t="shared" si="16"/>
        <v>1726.3</v>
      </c>
      <c r="AI155">
        <f t="shared" si="17"/>
        <v>135</v>
      </c>
      <c r="AJ155">
        <f t="shared" si="18"/>
        <v>119.2</v>
      </c>
      <c r="AK155">
        <f t="shared" si="19"/>
        <v>135.69999999999999</v>
      </c>
      <c r="AL155">
        <f t="shared" si="20"/>
        <v>1341.7</v>
      </c>
    </row>
    <row r="156" spans="1:38" x14ac:dyDescent="0.3">
      <c r="A156" t="s">
        <v>32</v>
      </c>
      <c r="B156" s="28">
        <f t="shared" si="14"/>
        <v>42826</v>
      </c>
      <c r="C156">
        <v>2017</v>
      </c>
      <c r="D156" t="s">
        <v>36</v>
      </c>
      <c r="E156" t="str">
        <f t="shared" si="15"/>
        <v>Apr-17</v>
      </c>
      <c r="F156">
        <f>VLOOKUP(D156,'Problem Statement 4'!$G$2:$H$13,2,0)</f>
        <v>4</v>
      </c>
      <c r="G156">
        <v>132.69999999999999</v>
      </c>
      <c r="H156">
        <v>140.6</v>
      </c>
      <c r="I156">
        <v>124.5</v>
      </c>
      <c r="J156">
        <v>136.30000000000001</v>
      </c>
      <c r="K156">
        <v>113.5</v>
      </c>
      <c r="L156">
        <v>137.69999999999999</v>
      </c>
      <c r="M156">
        <v>127.1</v>
      </c>
      <c r="N156">
        <v>133.80000000000001</v>
      </c>
      <c r="O156">
        <v>120.8</v>
      </c>
      <c r="P156">
        <v>141.30000000000001</v>
      </c>
      <c r="Q156">
        <v>123.8</v>
      </c>
      <c r="R156">
        <v>142.6</v>
      </c>
      <c r="S156">
        <v>133.4</v>
      </c>
      <c r="T156">
        <v>148</v>
      </c>
      <c r="U156">
        <v>131.19999999999999</v>
      </c>
      <c r="V156">
        <v>123</v>
      </c>
      <c r="W156">
        <v>130</v>
      </c>
      <c r="X156">
        <v>131.69999999999999</v>
      </c>
      <c r="Y156">
        <v>121.4</v>
      </c>
      <c r="Z156">
        <v>126</v>
      </c>
      <c r="AA156">
        <v>123.4</v>
      </c>
      <c r="AB156">
        <v>114.3</v>
      </c>
      <c r="AC156">
        <v>122.6</v>
      </c>
      <c r="AD156">
        <v>133.6</v>
      </c>
      <c r="AE156">
        <v>122.2</v>
      </c>
      <c r="AF156">
        <v>122.5</v>
      </c>
      <c r="AG156">
        <v>129.1</v>
      </c>
      <c r="AH156">
        <f t="shared" si="16"/>
        <v>1708.1</v>
      </c>
      <c r="AI156">
        <f t="shared" si="17"/>
        <v>121.4</v>
      </c>
      <c r="AJ156">
        <f t="shared" si="18"/>
        <v>114.3</v>
      </c>
      <c r="AK156">
        <f t="shared" si="19"/>
        <v>133.6</v>
      </c>
      <c r="AL156">
        <f t="shared" si="20"/>
        <v>1280.6000000000001</v>
      </c>
    </row>
    <row r="157" spans="1:38" x14ac:dyDescent="0.3">
      <c r="A157" t="s">
        <v>33</v>
      </c>
      <c r="B157" s="28">
        <f t="shared" si="14"/>
        <v>42826</v>
      </c>
      <c r="C157">
        <v>2017</v>
      </c>
      <c r="D157" t="s">
        <v>36</v>
      </c>
      <c r="E157" t="str">
        <f t="shared" si="15"/>
        <v>Apr-17</v>
      </c>
      <c r="F157">
        <f>VLOOKUP(D157,'Problem Statement 4'!$G$2:$H$13,2,0)</f>
        <v>4</v>
      </c>
      <c r="G157">
        <v>133</v>
      </c>
      <c r="H157">
        <v>139.4</v>
      </c>
      <c r="I157">
        <v>126.1</v>
      </c>
      <c r="J157">
        <v>137.19999999999999</v>
      </c>
      <c r="K157">
        <v>118.4</v>
      </c>
      <c r="L157">
        <v>139.9</v>
      </c>
      <c r="M157">
        <v>123.4</v>
      </c>
      <c r="N157">
        <v>140.9</v>
      </c>
      <c r="O157">
        <v>118.5</v>
      </c>
      <c r="P157">
        <v>136.5</v>
      </c>
      <c r="Q157">
        <v>127.4</v>
      </c>
      <c r="R157">
        <v>144.19999999999999</v>
      </c>
      <c r="S157">
        <v>133.5</v>
      </c>
      <c r="T157">
        <v>145.4</v>
      </c>
      <c r="U157">
        <v>138</v>
      </c>
      <c r="V157">
        <v>131.1</v>
      </c>
      <c r="W157">
        <v>137</v>
      </c>
      <c r="X157">
        <v>131.69999999999999</v>
      </c>
      <c r="Y157">
        <v>129.80000000000001</v>
      </c>
      <c r="Z157">
        <v>130.4</v>
      </c>
      <c r="AA157">
        <v>128.1</v>
      </c>
      <c r="AB157">
        <v>116.6</v>
      </c>
      <c r="AC157">
        <v>125.1</v>
      </c>
      <c r="AD157">
        <v>134.5</v>
      </c>
      <c r="AE157">
        <v>123.1</v>
      </c>
      <c r="AF157">
        <v>125.1</v>
      </c>
      <c r="AG157">
        <v>131.1</v>
      </c>
      <c r="AH157">
        <f t="shared" si="16"/>
        <v>1718.4</v>
      </c>
      <c r="AI157">
        <f t="shared" si="17"/>
        <v>129.80000000000001</v>
      </c>
      <c r="AJ157">
        <f t="shared" si="18"/>
        <v>116.6</v>
      </c>
      <c r="AK157">
        <f t="shared" si="19"/>
        <v>134.5</v>
      </c>
      <c r="AL157">
        <f t="shared" si="20"/>
        <v>1314.9999999999998</v>
      </c>
    </row>
    <row r="158" spans="1:38" x14ac:dyDescent="0.3">
      <c r="A158" t="s">
        <v>30</v>
      </c>
      <c r="B158" s="28">
        <f t="shared" si="14"/>
        <v>42856</v>
      </c>
      <c r="C158">
        <v>2017</v>
      </c>
      <c r="D158" t="s">
        <v>37</v>
      </c>
      <c r="E158" t="str">
        <f t="shared" si="15"/>
        <v>May-17</v>
      </c>
      <c r="F158">
        <f>VLOOKUP(D158,'Problem Statement 4'!$G$2:$H$13,2,0)</f>
        <v>5</v>
      </c>
      <c r="G158">
        <v>133.1</v>
      </c>
      <c r="H158">
        <v>140.30000000000001</v>
      </c>
      <c r="I158">
        <v>126.8</v>
      </c>
      <c r="J158">
        <v>138.19999999999999</v>
      </c>
      <c r="K158">
        <v>120.8</v>
      </c>
      <c r="L158">
        <v>140.19999999999999</v>
      </c>
      <c r="M158">
        <v>123.8</v>
      </c>
      <c r="N158">
        <v>141.80000000000001</v>
      </c>
      <c r="O158">
        <v>118.6</v>
      </c>
      <c r="P158">
        <v>134</v>
      </c>
      <c r="Q158">
        <v>130.30000000000001</v>
      </c>
      <c r="R158">
        <v>145.80000000000001</v>
      </c>
      <c r="S158">
        <v>133.80000000000001</v>
      </c>
      <c r="T158">
        <v>145.5</v>
      </c>
      <c r="U158">
        <v>142.5</v>
      </c>
      <c r="V158">
        <v>137.30000000000001</v>
      </c>
      <c r="W158">
        <v>141.80000000000001</v>
      </c>
      <c r="X158">
        <v>132.1</v>
      </c>
      <c r="Y158">
        <v>135</v>
      </c>
      <c r="Z158">
        <v>134.9</v>
      </c>
      <c r="AA158">
        <v>131.4</v>
      </c>
      <c r="AB158">
        <v>119.4</v>
      </c>
      <c r="AC158">
        <v>129.4</v>
      </c>
      <c r="AD158">
        <v>136.30000000000001</v>
      </c>
      <c r="AE158">
        <v>123.7</v>
      </c>
      <c r="AF158">
        <v>127.9</v>
      </c>
      <c r="AG158">
        <v>133.30000000000001</v>
      </c>
      <c r="AH158">
        <f t="shared" si="16"/>
        <v>1727.4999999999995</v>
      </c>
      <c r="AI158">
        <f t="shared" si="17"/>
        <v>135</v>
      </c>
      <c r="AJ158">
        <f t="shared" si="18"/>
        <v>119.4</v>
      </c>
      <c r="AK158">
        <f t="shared" si="19"/>
        <v>136.30000000000001</v>
      </c>
      <c r="AL158">
        <f t="shared" si="20"/>
        <v>1346.5000000000002</v>
      </c>
    </row>
    <row r="159" spans="1:38" x14ac:dyDescent="0.3">
      <c r="A159" t="s">
        <v>32</v>
      </c>
      <c r="B159" s="28">
        <f t="shared" si="14"/>
        <v>42856</v>
      </c>
      <c r="C159">
        <v>2017</v>
      </c>
      <c r="D159" t="s">
        <v>37</v>
      </c>
      <c r="E159" t="str">
        <f t="shared" si="15"/>
        <v>May-17</v>
      </c>
      <c r="F159">
        <f>VLOOKUP(D159,'Problem Statement 4'!$G$2:$H$13,2,0)</f>
        <v>5</v>
      </c>
      <c r="G159">
        <v>132.6</v>
      </c>
      <c r="H159">
        <v>144.1</v>
      </c>
      <c r="I159">
        <v>125.6</v>
      </c>
      <c r="J159">
        <v>136.80000000000001</v>
      </c>
      <c r="K159">
        <v>113.4</v>
      </c>
      <c r="L159">
        <v>135.19999999999999</v>
      </c>
      <c r="M159">
        <v>129.19999999999999</v>
      </c>
      <c r="N159">
        <v>131.5</v>
      </c>
      <c r="O159">
        <v>121</v>
      </c>
      <c r="P159">
        <v>139.9</v>
      </c>
      <c r="Q159">
        <v>123.8</v>
      </c>
      <c r="R159">
        <v>142.9</v>
      </c>
      <c r="S159">
        <v>133.6</v>
      </c>
      <c r="T159">
        <v>148.30000000000001</v>
      </c>
      <c r="U159">
        <v>131.5</v>
      </c>
      <c r="V159">
        <v>123.2</v>
      </c>
      <c r="W159">
        <v>130.19999999999999</v>
      </c>
      <c r="X159">
        <v>132.1</v>
      </c>
      <c r="Y159">
        <v>120.1</v>
      </c>
      <c r="Z159">
        <v>126.5</v>
      </c>
      <c r="AA159">
        <v>123.6</v>
      </c>
      <c r="AB159">
        <v>114.3</v>
      </c>
      <c r="AC159">
        <v>122.8</v>
      </c>
      <c r="AD159">
        <v>133.80000000000001</v>
      </c>
      <c r="AE159">
        <v>122</v>
      </c>
      <c r="AF159">
        <v>122.6</v>
      </c>
      <c r="AG159">
        <v>129.30000000000001</v>
      </c>
      <c r="AH159">
        <f t="shared" si="16"/>
        <v>1709.6</v>
      </c>
      <c r="AI159">
        <f t="shared" si="17"/>
        <v>120.1</v>
      </c>
      <c r="AJ159">
        <f t="shared" si="18"/>
        <v>114.3</v>
      </c>
      <c r="AK159">
        <f t="shared" si="19"/>
        <v>133.80000000000001</v>
      </c>
      <c r="AL159">
        <f t="shared" si="20"/>
        <v>1282.8</v>
      </c>
    </row>
    <row r="160" spans="1:38" x14ac:dyDescent="0.3">
      <c r="A160" t="s">
        <v>33</v>
      </c>
      <c r="B160" s="28">
        <f t="shared" si="14"/>
        <v>42856</v>
      </c>
      <c r="C160">
        <v>2017</v>
      </c>
      <c r="D160" t="s">
        <v>37</v>
      </c>
      <c r="E160" t="str">
        <f t="shared" si="15"/>
        <v>May-17</v>
      </c>
      <c r="F160">
        <f>VLOOKUP(D160,'Problem Statement 4'!$G$2:$H$13,2,0)</f>
        <v>5</v>
      </c>
      <c r="G160">
        <v>132.9</v>
      </c>
      <c r="H160">
        <v>141.6</v>
      </c>
      <c r="I160">
        <v>126.3</v>
      </c>
      <c r="J160">
        <v>137.69999999999999</v>
      </c>
      <c r="K160">
        <v>118.1</v>
      </c>
      <c r="L160">
        <v>137.9</v>
      </c>
      <c r="M160">
        <v>125.6</v>
      </c>
      <c r="N160">
        <v>138.30000000000001</v>
      </c>
      <c r="O160">
        <v>119.4</v>
      </c>
      <c r="P160">
        <v>136</v>
      </c>
      <c r="Q160">
        <v>127.6</v>
      </c>
      <c r="R160">
        <v>144.5</v>
      </c>
      <c r="S160">
        <v>133.69999999999999</v>
      </c>
      <c r="T160">
        <v>146.19999999999999</v>
      </c>
      <c r="U160">
        <v>138.19999999999999</v>
      </c>
      <c r="V160">
        <v>131.4</v>
      </c>
      <c r="W160">
        <v>137.19999999999999</v>
      </c>
      <c r="X160">
        <v>132.1</v>
      </c>
      <c r="Y160">
        <v>129.4</v>
      </c>
      <c r="Z160">
        <v>130.9</v>
      </c>
      <c r="AA160">
        <v>128.4</v>
      </c>
      <c r="AB160">
        <v>116.7</v>
      </c>
      <c r="AC160">
        <v>125.7</v>
      </c>
      <c r="AD160">
        <v>134.80000000000001</v>
      </c>
      <c r="AE160">
        <v>123</v>
      </c>
      <c r="AF160">
        <v>125.3</v>
      </c>
      <c r="AG160">
        <v>131.4</v>
      </c>
      <c r="AH160">
        <f t="shared" si="16"/>
        <v>1719.6000000000001</v>
      </c>
      <c r="AI160">
        <f t="shared" si="17"/>
        <v>129.4</v>
      </c>
      <c r="AJ160">
        <f t="shared" si="18"/>
        <v>116.7</v>
      </c>
      <c r="AK160">
        <f t="shared" si="19"/>
        <v>134.80000000000001</v>
      </c>
      <c r="AL160">
        <f t="shared" si="20"/>
        <v>1318.3999999999999</v>
      </c>
    </row>
    <row r="161" spans="1:38" x14ac:dyDescent="0.3">
      <c r="A161" t="s">
        <v>30</v>
      </c>
      <c r="B161" s="28">
        <f t="shared" si="14"/>
        <v>42887</v>
      </c>
      <c r="C161">
        <v>2017</v>
      </c>
      <c r="D161" t="s">
        <v>38</v>
      </c>
      <c r="E161" t="str">
        <f t="shared" si="15"/>
        <v>Jun-17</v>
      </c>
      <c r="F161">
        <f>VLOOKUP(D161,'Problem Statement 4'!$G$2:$H$13,2,0)</f>
        <v>6</v>
      </c>
      <c r="G161">
        <v>133.5</v>
      </c>
      <c r="H161">
        <v>143.69999999999999</v>
      </c>
      <c r="I161">
        <v>128</v>
      </c>
      <c r="J161">
        <v>138.6</v>
      </c>
      <c r="K161">
        <v>120.9</v>
      </c>
      <c r="L161">
        <v>140.9</v>
      </c>
      <c r="M161">
        <v>128.80000000000001</v>
      </c>
      <c r="N161">
        <v>140.19999999999999</v>
      </c>
      <c r="O161">
        <v>118.9</v>
      </c>
      <c r="P161">
        <v>133.5</v>
      </c>
      <c r="Q161">
        <v>130.4</v>
      </c>
      <c r="R161">
        <v>146.5</v>
      </c>
      <c r="S161">
        <v>134.9</v>
      </c>
      <c r="T161">
        <v>145.80000000000001</v>
      </c>
      <c r="U161">
        <v>143.1</v>
      </c>
      <c r="V161">
        <v>137.69999999999999</v>
      </c>
      <c r="W161">
        <v>142.30000000000001</v>
      </c>
      <c r="X161">
        <v>131.4</v>
      </c>
      <c r="Y161">
        <v>134.80000000000001</v>
      </c>
      <c r="Z161">
        <v>135.19999999999999</v>
      </c>
      <c r="AA161">
        <v>131.30000000000001</v>
      </c>
      <c r="AB161">
        <v>119.4</v>
      </c>
      <c r="AC161">
        <v>129.80000000000001</v>
      </c>
      <c r="AD161">
        <v>136.9</v>
      </c>
      <c r="AE161">
        <v>124.1</v>
      </c>
      <c r="AF161">
        <v>128.1</v>
      </c>
      <c r="AG161">
        <v>133.9</v>
      </c>
      <c r="AH161">
        <f t="shared" si="16"/>
        <v>1738.8000000000002</v>
      </c>
      <c r="AI161">
        <f t="shared" si="17"/>
        <v>134.80000000000001</v>
      </c>
      <c r="AJ161">
        <f t="shared" si="18"/>
        <v>119.4</v>
      </c>
      <c r="AK161">
        <f t="shared" si="19"/>
        <v>136.9</v>
      </c>
      <c r="AL161">
        <f t="shared" si="20"/>
        <v>1348.7999999999997</v>
      </c>
    </row>
    <row r="162" spans="1:38" x14ac:dyDescent="0.3">
      <c r="A162" t="s">
        <v>32</v>
      </c>
      <c r="B162" s="28">
        <f t="shared" si="14"/>
        <v>42887</v>
      </c>
      <c r="C162">
        <v>2017</v>
      </c>
      <c r="D162" t="s">
        <v>38</v>
      </c>
      <c r="E162" t="str">
        <f t="shared" si="15"/>
        <v>Jun-17</v>
      </c>
      <c r="F162">
        <f>VLOOKUP(D162,'Problem Statement 4'!$G$2:$H$13,2,0)</f>
        <v>6</v>
      </c>
      <c r="G162">
        <v>132.9</v>
      </c>
      <c r="H162">
        <v>148.69999999999999</v>
      </c>
      <c r="I162">
        <v>128.30000000000001</v>
      </c>
      <c r="J162">
        <v>137.30000000000001</v>
      </c>
      <c r="K162">
        <v>113.5</v>
      </c>
      <c r="L162">
        <v>137.19999999999999</v>
      </c>
      <c r="M162">
        <v>142.19999999999999</v>
      </c>
      <c r="N162">
        <v>128.19999999999999</v>
      </c>
      <c r="O162">
        <v>120.9</v>
      </c>
      <c r="P162">
        <v>138.80000000000001</v>
      </c>
      <c r="Q162">
        <v>124.2</v>
      </c>
      <c r="R162">
        <v>143.1</v>
      </c>
      <c r="S162">
        <v>135.69999999999999</v>
      </c>
      <c r="T162">
        <v>148.6</v>
      </c>
      <c r="U162">
        <v>131.5</v>
      </c>
      <c r="V162">
        <v>123.2</v>
      </c>
      <c r="W162">
        <v>130.19999999999999</v>
      </c>
      <c r="X162">
        <v>131.4</v>
      </c>
      <c r="Y162">
        <v>119</v>
      </c>
      <c r="Z162">
        <v>126.8</v>
      </c>
      <c r="AA162">
        <v>123.8</v>
      </c>
      <c r="AB162">
        <v>113.9</v>
      </c>
      <c r="AC162">
        <v>122.9</v>
      </c>
      <c r="AD162">
        <v>134.30000000000001</v>
      </c>
      <c r="AE162">
        <v>122.5</v>
      </c>
      <c r="AF162">
        <v>122.7</v>
      </c>
      <c r="AG162">
        <v>129.9</v>
      </c>
      <c r="AH162">
        <f t="shared" si="16"/>
        <v>1731.0000000000002</v>
      </c>
      <c r="AI162">
        <f t="shared" si="17"/>
        <v>119</v>
      </c>
      <c r="AJ162">
        <f t="shared" si="18"/>
        <v>113.9</v>
      </c>
      <c r="AK162">
        <f t="shared" si="19"/>
        <v>134.30000000000001</v>
      </c>
      <c r="AL162">
        <f t="shared" si="20"/>
        <v>1283.5999999999999</v>
      </c>
    </row>
    <row r="163" spans="1:38" x14ac:dyDescent="0.3">
      <c r="A163" t="s">
        <v>33</v>
      </c>
      <c r="B163" s="28">
        <f t="shared" si="14"/>
        <v>42887</v>
      </c>
      <c r="C163">
        <v>2017</v>
      </c>
      <c r="D163" t="s">
        <v>38</v>
      </c>
      <c r="E163" t="str">
        <f t="shared" si="15"/>
        <v>Jun-17</v>
      </c>
      <c r="F163">
        <f>VLOOKUP(D163,'Problem Statement 4'!$G$2:$H$13,2,0)</f>
        <v>6</v>
      </c>
      <c r="G163">
        <v>133.30000000000001</v>
      </c>
      <c r="H163">
        <v>145.5</v>
      </c>
      <c r="I163">
        <v>128.1</v>
      </c>
      <c r="J163">
        <v>138.1</v>
      </c>
      <c r="K163">
        <v>118.2</v>
      </c>
      <c r="L163">
        <v>139.19999999999999</v>
      </c>
      <c r="M163">
        <v>133.30000000000001</v>
      </c>
      <c r="N163">
        <v>136.19999999999999</v>
      </c>
      <c r="O163">
        <v>119.6</v>
      </c>
      <c r="P163">
        <v>135.30000000000001</v>
      </c>
      <c r="Q163">
        <v>127.8</v>
      </c>
      <c r="R163">
        <v>144.9</v>
      </c>
      <c r="S163">
        <v>135.19999999999999</v>
      </c>
      <c r="T163">
        <v>146.5</v>
      </c>
      <c r="U163">
        <v>138.5</v>
      </c>
      <c r="V163">
        <v>131.69999999999999</v>
      </c>
      <c r="W163">
        <v>137.5</v>
      </c>
      <c r="X163">
        <v>131.4</v>
      </c>
      <c r="Y163">
        <v>128.80000000000001</v>
      </c>
      <c r="Z163">
        <v>131.19999999999999</v>
      </c>
      <c r="AA163">
        <v>128.5</v>
      </c>
      <c r="AB163">
        <v>116.5</v>
      </c>
      <c r="AC163">
        <v>125.9</v>
      </c>
      <c r="AD163">
        <v>135.4</v>
      </c>
      <c r="AE163">
        <v>123.4</v>
      </c>
      <c r="AF163">
        <v>125.5</v>
      </c>
      <c r="AG163">
        <v>132</v>
      </c>
      <c r="AH163">
        <f t="shared" si="16"/>
        <v>1734.7</v>
      </c>
      <c r="AI163">
        <f t="shared" si="17"/>
        <v>128.80000000000001</v>
      </c>
      <c r="AJ163">
        <f t="shared" si="18"/>
        <v>116.5</v>
      </c>
      <c r="AK163">
        <f t="shared" si="19"/>
        <v>135.4</v>
      </c>
      <c r="AL163">
        <f t="shared" si="20"/>
        <v>1320.1000000000001</v>
      </c>
    </row>
    <row r="164" spans="1:38" x14ac:dyDescent="0.3">
      <c r="A164" t="s">
        <v>30</v>
      </c>
      <c r="B164" s="28">
        <f t="shared" si="14"/>
        <v>42917</v>
      </c>
      <c r="C164">
        <v>2017</v>
      </c>
      <c r="D164" t="s">
        <v>39</v>
      </c>
      <c r="E164" t="str">
        <f t="shared" si="15"/>
        <v>Jul-17</v>
      </c>
      <c r="F164">
        <f>VLOOKUP(D164,'Problem Statement 4'!$G$2:$H$13,2,0)</f>
        <v>7</v>
      </c>
      <c r="G164">
        <v>134</v>
      </c>
      <c r="H164">
        <v>144.19999999999999</v>
      </c>
      <c r="I164">
        <v>129.80000000000001</v>
      </c>
      <c r="J164">
        <v>139</v>
      </c>
      <c r="K164">
        <v>120.9</v>
      </c>
      <c r="L164">
        <v>143.9</v>
      </c>
      <c r="M164">
        <v>151.5</v>
      </c>
      <c r="N164">
        <v>138.1</v>
      </c>
      <c r="O164">
        <v>120</v>
      </c>
      <c r="P164">
        <v>133.9</v>
      </c>
      <c r="Q164">
        <v>131.4</v>
      </c>
      <c r="R164">
        <v>147.69999999999999</v>
      </c>
      <c r="S164">
        <v>138.5</v>
      </c>
      <c r="T164">
        <v>147.4</v>
      </c>
      <c r="U164">
        <v>144.30000000000001</v>
      </c>
      <c r="V164">
        <v>138.1</v>
      </c>
      <c r="W164">
        <v>143.5</v>
      </c>
      <c r="X164">
        <v>132.6</v>
      </c>
      <c r="Y164">
        <v>135.30000000000001</v>
      </c>
      <c r="Z164">
        <v>136.1</v>
      </c>
      <c r="AA164">
        <v>132.1</v>
      </c>
      <c r="AB164">
        <v>119.1</v>
      </c>
      <c r="AC164">
        <v>130.6</v>
      </c>
      <c r="AD164">
        <v>138.6</v>
      </c>
      <c r="AE164">
        <v>124.4</v>
      </c>
      <c r="AF164">
        <v>128.6</v>
      </c>
      <c r="AG164">
        <v>136.19999999999999</v>
      </c>
      <c r="AH164">
        <f t="shared" si="16"/>
        <v>1772.9</v>
      </c>
      <c r="AI164">
        <f t="shared" si="17"/>
        <v>135.30000000000001</v>
      </c>
      <c r="AJ164">
        <f t="shared" si="18"/>
        <v>119.1</v>
      </c>
      <c r="AK164">
        <f t="shared" si="19"/>
        <v>138.6</v>
      </c>
      <c r="AL164">
        <f t="shared" si="20"/>
        <v>1357.7</v>
      </c>
    </row>
    <row r="165" spans="1:38" x14ac:dyDescent="0.3">
      <c r="A165" t="s">
        <v>32</v>
      </c>
      <c r="B165" s="28">
        <f t="shared" si="14"/>
        <v>42917</v>
      </c>
      <c r="C165">
        <v>2017</v>
      </c>
      <c r="D165" t="s">
        <v>39</v>
      </c>
      <c r="E165" t="str">
        <f t="shared" si="15"/>
        <v>Jul-17</v>
      </c>
      <c r="F165">
        <f>VLOOKUP(D165,'Problem Statement 4'!$G$2:$H$13,2,0)</f>
        <v>7</v>
      </c>
      <c r="G165">
        <v>132.80000000000001</v>
      </c>
      <c r="H165">
        <v>148.4</v>
      </c>
      <c r="I165">
        <v>129.4</v>
      </c>
      <c r="J165">
        <v>137.69999999999999</v>
      </c>
      <c r="K165">
        <v>113.4</v>
      </c>
      <c r="L165">
        <v>139.4</v>
      </c>
      <c r="M165">
        <v>175.1</v>
      </c>
      <c r="N165">
        <v>124.7</v>
      </c>
      <c r="O165">
        <v>121.5</v>
      </c>
      <c r="P165">
        <v>137.80000000000001</v>
      </c>
      <c r="Q165">
        <v>124.4</v>
      </c>
      <c r="R165">
        <v>143.69999999999999</v>
      </c>
      <c r="S165">
        <v>139.80000000000001</v>
      </c>
      <c r="T165">
        <v>150.5</v>
      </c>
      <c r="U165">
        <v>131.6</v>
      </c>
      <c r="V165">
        <v>123.7</v>
      </c>
      <c r="W165">
        <v>130.4</v>
      </c>
      <c r="X165">
        <v>132.6</v>
      </c>
      <c r="Y165">
        <v>119.7</v>
      </c>
      <c r="Z165">
        <v>127.2</v>
      </c>
      <c r="AA165">
        <v>125</v>
      </c>
      <c r="AB165">
        <v>113.2</v>
      </c>
      <c r="AC165">
        <v>123.5</v>
      </c>
      <c r="AD165">
        <v>135.5</v>
      </c>
      <c r="AE165">
        <v>122.4</v>
      </c>
      <c r="AF165">
        <v>123</v>
      </c>
      <c r="AG165">
        <v>131.80000000000001</v>
      </c>
      <c r="AH165">
        <f t="shared" si="16"/>
        <v>1768.1</v>
      </c>
      <c r="AI165">
        <f t="shared" si="17"/>
        <v>119.7</v>
      </c>
      <c r="AJ165">
        <f t="shared" si="18"/>
        <v>113.2</v>
      </c>
      <c r="AK165">
        <f t="shared" si="19"/>
        <v>135.5</v>
      </c>
      <c r="AL165">
        <f t="shared" si="20"/>
        <v>1289.9000000000001</v>
      </c>
    </row>
    <row r="166" spans="1:38" x14ac:dyDescent="0.3">
      <c r="A166" t="s">
        <v>33</v>
      </c>
      <c r="B166" s="28">
        <f t="shared" si="14"/>
        <v>42917</v>
      </c>
      <c r="C166">
        <v>2017</v>
      </c>
      <c r="D166" t="s">
        <v>39</v>
      </c>
      <c r="E166" t="str">
        <f t="shared" si="15"/>
        <v>Jul-17</v>
      </c>
      <c r="F166">
        <f>VLOOKUP(D166,'Problem Statement 4'!$G$2:$H$13,2,0)</f>
        <v>7</v>
      </c>
      <c r="G166">
        <v>133.6</v>
      </c>
      <c r="H166">
        <v>145.69999999999999</v>
      </c>
      <c r="I166">
        <v>129.6</v>
      </c>
      <c r="J166">
        <v>138.5</v>
      </c>
      <c r="K166">
        <v>118.1</v>
      </c>
      <c r="L166">
        <v>141.80000000000001</v>
      </c>
      <c r="M166">
        <v>159.5</v>
      </c>
      <c r="N166">
        <v>133.6</v>
      </c>
      <c r="O166">
        <v>120.5</v>
      </c>
      <c r="P166">
        <v>135.19999999999999</v>
      </c>
      <c r="Q166">
        <v>128.5</v>
      </c>
      <c r="R166">
        <v>145.80000000000001</v>
      </c>
      <c r="S166">
        <v>139</v>
      </c>
      <c r="T166">
        <v>148.19999999999999</v>
      </c>
      <c r="U166">
        <v>139.30000000000001</v>
      </c>
      <c r="V166">
        <v>132.1</v>
      </c>
      <c r="W166">
        <v>138.30000000000001</v>
      </c>
      <c r="X166">
        <v>132.6</v>
      </c>
      <c r="Y166">
        <v>129.4</v>
      </c>
      <c r="Z166">
        <v>131.9</v>
      </c>
      <c r="AA166">
        <v>129.4</v>
      </c>
      <c r="AB166">
        <v>116</v>
      </c>
      <c r="AC166">
        <v>126.6</v>
      </c>
      <c r="AD166">
        <v>136.80000000000001</v>
      </c>
      <c r="AE166">
        <v>123.6</v>
      </c>
      <c r="AF166">
        <v>125.9</v>
      </c>
      <c r="AG166">
        <v>134.19999999999999</v>
      </c>
      <c r="AH166">
        <f t="shared" si="16"/>
        <v>1769.3999999999999</v>
      </c>
      <c r="AI166">
        <f t="shared" si="17"/>
        <v>129.4</v>
      </c>
      <c r="AJ166">
        <f t="shared" si="18"/>
        <v>116</v>
      </c>
      <c r="AK166">
        <f t="shared" si="19"/>
        <v>136.80000000000001</v>
      </c>
      <c r="AL166">
        <f t="shared" si="20"/>
        <v>1327.9</v>
      </c>
    </row>
    <row r="167" spans="1:38" x14ac:dyDescent="0.3">
      <c r="A167" t="s">
        <v>30</v>
      </c>
      <c r="B167" s="28">
        <f t="shared" si="14"/>
        <v>42948</v>
      </c>
      <c r="C167">
        <v>2017</v>
      </c>
      <c r="D167" t="s">
        <v>40</v>
      </c>
      <c r="E167" t="str">
        <f t="shared" si="15"/>
        <v>Aug-17</v>
      </c>
      <c r="F167">
        <f>VLOOKUP(D167,'Problem Statement 4'!$G$2:$H$13,2,0)</f>
        <v>8</v>
      </c>
      <c r="G167">
        <v>134.80000000000001</v>
      </c>
      <c r="H167">
        <v>143.1</v>
      </c>
      <c r="I167">
        <v>130</v>
      </c>
      <c r="J167">
        <v>139.4</v>
      </c>
      <c r="K167">
        <v>120.5</v>
      </c>
      <c r="L167">
        <v>148</v>
      </c>
      <c r="M167">
        <v>162.9</v>
      </c>
      <c r="N167">
        <v>137.4</v>
      </c>
      <c r="O167">
        <v>120.8</v>
      </c>
      <c r="P167">
        <v>134.69999999999999</v>
      </c>
      <c r="Q167">
        <v>131.6</v>
      </c>
      <c r="R167">
        <v>148.69999999999999</v>
      </c>
      <c r="S167">
        <v>140.6</v>
      </c>
      <c r="T167">
        <v>149</v>
      </c>
      <c r="U167">
        <v>145.30000000000001</v>
      </c>
      <c r="V167">
        <v>139.19999999999999</v>
      </c>
      <c r="W167">
        <v>144.5</v>
      </c>
      <c r="X167">
        <v>134.4</v>
      </c>
      <c r="Y167">
        <v>136.4</v>
      </c>
      <c r="Z167">
        <v>137.30000000000001</v>
      </c>
      <c r="AA167">
        <v>133</v>
      </c>
      <c r="AB167">
        <v>120.3</v>
      </c>
      <c r="AC167">
        <v>131.5</v>
      </c>
      <c r="AD167">
        <v>140.19999999999999</v>
      </c>
      <c r="AE167">
        <v>125.4</v>
      </c>
      <c r="AF167">
        <v>129.69999999999999</v>
      </c>
      <c r="AG167">
        <v>137.80000000000001</v>
      </c>
      <c r="AH167">
        <f t="shared" si="16"/>
        <v>1792.4999999999998</v>
      </c>
      <c r="AI167">
        <f t="shared" si="17"/>
        <v>136.4</v>
      </c>
      <c r="AJ167">
        <f t="shared" si="18"/>
        <v>120.3</v>
      </c>
      <c r="AK167">
        <f t="shared" si="19"/>
        <v>140.19999999999999</v>
      </c>
      <c r="AL167">
        <f t="shared" si="20"/>
        <v>1369.3000000000002</v>
      </c>
    </row>
    <row r="168" spans="1:38" x14ac:dyDescent="0.3">
      <c r="A168" t="s">
        <v>32</v>
      </c>
      <c r="B168" s="28">
        <f t="shared" si="14"/>
        <v>42948</v>
      </c>
      <c r="C168">
        <v>2017</v>
      </c>
      <c r="D168" t="s">
        <v>40</v>
      </c>
      <c r="E168" t="str">
        <f t="shared" si="15"/>
        <v>Aug-17</v>
      </c>
      <c r="F168">
        <f>VLOOKUP(D168,'Problem Statement 4'!$G$2:$H$13,2,0)</f>
        <v>8</v>
      </c>
      <c r="G168">
        <v>133.19999999999999</v>
      </c>
      <c r="H168">
        <v>143.9</v>
      </c>
      <c r="I168">
        <v>128.30000000000001</v>
      </c>
      <c r="J168">
        <v>138.30000000000001</v>
      </c>
      <c r="K168">
        <v>114.1</v>
      </c>
      <c r="L168">
        <v>142.69999999999999</v>
      </c>
      <c r="M168">
        <v>179.8</v>
      </c>
      <c r="N168">
        <v>123.5</v>
      </c>
      <c r="O168">
        <v>122.1</v>
      </c>
      <c r="P168">
        <v>137.5</v>
      </c>
      <c r="Q168">
        <v>124.6</v>
      </c>
      <c r="R168">
        <v>144.5</v>
      </c>
      <c r="S168">
        <v>140.5</v>
      </c>
      <c r="T168">
        <v>152.1</v>
      </c>
      <c r="U168">
        <v>132.69999999999999</v>
      </c>
      <c r="V168">
        <v>124.3</v>
      </c>
      <c r="W168">
        <v>131.4</v>
      </c>
      <c r="X168">
        <v>134.4</v>
      </c>
      <c r="Y168">
        <v>118.9</v>
      </c>
      <c r="Z168">
        <v>127.7</v>
      </c>
      <c r="AA168">
        <v>125.7</v>
      </c>
      <c r="AB168">
        <v>114.6</v>
      </c>
      <c r="AC168">
        <v>124.1</v>
      </c>
      <c r="AD168">
        <v>135.69999999999999</v>
      </c>
      <c r="AE168">
        <v>123.3</v>
      </c>
      <c r="AF168">
        <v>123.8</v>
      </c>
      <c r="AG168">
        <v>132.69999999999999</v>
      </c>
      <c r="AH168">
        <f t="shared" si="16"/>
        <v>1772.9999999999998</v>
      </c>
      <c r="AI168">
        <f t="shared" si="17"/>
        <v>118.9</v>
      </c>
      <c r="AJ168">
        <f t="shared" si="18"/>
        <v>114.6</v>
      </c>
      <c r="AK168">
        <f t="shared" si="19"/>
        <v>135.69999999999999</v>
      </c>
      <c r="AL168">
        <f t="shared" si="20"/>
        <v>1299.5</v>
      </c>
    </row>
    <row r="169" spans="1:38" x14ac:dyDescent="0.3">
      <c r="A169" t="s">
        <v>33</v>
      </c>
      <c r="B169" s="28">
        <f t="shared" si="14"/>
        <v>42948</v>
      </c>
      <c r="C169">
        <v>2017</v>
      </c>
      <c r="D169" t="s">
        <v>40</v>
      </c>
      <c r="E169" t="str">
        <f t="shared" si="15"/>
        <v>Aug-17</v>
      </c>
      <c r="F169">
        <f>VLOOKUP(D169,'Problem Statement 4'!$G$2:$H$13,2,0)</f>
        <v>8</v>
      </c>
      <c r="G169">
        <v>134.30000000000001</v>
      </c>
      <c r="H169">
        <v>143.4</v>
      </c>
      <c r="I169">
        <v>129.30000000000001</v>
      </c>
      <c r="J169">
        <v>139</v>
      </c>
      <c r="K169">
        <v>118.1</v>
      </c>
      <c r="L169">
        <v>145.5</v>
      </c>
      <c r="M169">
        <v>168.6</v>
      </c>
      <c r="N169">
        <v>132.69999999999999</v>
      </c>
      <c r="O169">
        <v>121.2</v>
      </c>
      <c r="P169">
        <v>135.6</v>
      </c>
      <c r="Q169">
        <v>128.69999999999999</v>
      </c>
      <c r="R169">
        <v>146.80000000000001</v>
      </c>
      <c r="S169">
        <v>140.6</v>
      </c>
      <c r="T169">
        <v>149.80000000000001</v>
      </c>
      <c r="U169">
        <v>140.30000000000001</v>
      </c>
      <c r="V169">
        <v>133</v>
      </c>
      <c r="W169">
        <v>139.30000000000001</v>
      </c>
      <c r="X169">
        <v>134.4</v>
      </c>
      <c r="Y169">
        <v>129.80000000000001</v>
      </c>
      <c r="Z169">
        <v>132.80000000000001</v>
      </c>
      <c r="AA169">
        <v>130.19999999999999</v>
      </c>
      <c r="AB169">
        <v>117.3</v>
      </c>
      <c r="AC169">
        <v>127.3</v>
      </c>
      <c r="AD169">
        <v>137.6</v>
      </c>
      <c r="AE169">
        <v>124.5</v>
      </c>
      <c r="AF169">
        <v>126.8</v>
      </c>
      <c r="AG169">
        <v>135.4</v>
      </c>
      <c r="AH169">
        <f t="shared" si="16"/>
        <v>1783.8</v>
      </c>
      <c r="AI169">
        <f t="shared" si="17"/>
        <v>129.80000000000001</v>
      </c>
      <c r="AJ169">
        <f t="shared" si="18"/>
        <v>117.3</v>
      </c>
      <c r="AK169">
        <f t="shared" si="19"/>
        <v>137.6</v>
      </c>
      <c r="AL169">
        <f t="shared" si="20"/>
        <v>1338.4</v>
      </c>
    </row>
    <row r="170" spans="1:38" x14ac:dyDescent="0.3">
      <c r="A170" t="s">
        <v>30</v>
      </c>
      <c r="B170" s="28">
        <f t="shared" si="14"/>
        <v>42979</v>
      </c>
      <c r="C170">
        <v>2017</v>
      </c>
      <c r="D170" t="s">
        <v>41</v>
      </c>
      <c r="E170" t="str">
        <f t="shared" si="15"/>
        <v>Sep-17</v>
      </c>
      <c r="F170">
        <f>VLOOKUP(D170,'Problem Statement 4'!$G$2:$H$13,2,0)</f>
        <v>9</v>
      </c>
      <c r="G170">
        <v>135.19999999999999</v>
      </c>
      <c r="H170">
        <v>142</v>
      </c>
      <c r="I170">
        <v>130.5</v>
      </c>
      <c r="J170">
        <v>140.19999999999999</v>
      </c>
      <c r="K170">
        <v>120.7</v>
      </c>
      <c r="L170">
        <v>147.80000000000001</v>
      </c>
      <c r="M170">
        <v>154.5</v>
      </c>
      <c r="N170">
        <v>137.1</v>
      </c>
      <c r="O170">
        <v>121</v>
      </c>
      <c r="P170">
        <v>134.69999999999999</v>
      </c>
      <c r="Q170">
        <v>131.69999999999999</v>
      </c>
      <c r="R170">
        <v>149.30000000000001</v>
      </c>
      <c r="S170">
        <v>139.6</v>
      </c>
      <c r="T170">
        <v>149.80000000000001</v>
      </c>
      <c r="U170">
        <v>146.1</v>
      </c>
      <c r="V170">
        <v>139.69999999999999</v>
      </c>
      <c r="W170">
        <v>145.19999999999999</v>
      </c>
      <c r="X170">
        <v>135.69999999999999</v>
      </c>
      <c r="Y170">
        <v>137.4</v>
      </c>
      <c r="Z170">
        <v>137.9</v>
      </c>
      <c r="AA170">
        <v>133.4</v>
      </c>
      <c r="AB170">
        <v>121.2</v>
      </c>
      <c r="AC170">
        <v>132.30000000000001</v>
      </c>
      <c r="AD170">
        <v>139.6</v>
      </c>
      <c r="AE170">
        <v>126.7</v>
      </c>
      <c r="AF170">
        <v>130.30000000000001</v>
      </c>
      <c r="AG170">
        <v>137.6</v>
      </c>
      <c r="AH170">
        <f t="shared" si="16"/>
        <v>1784.3</v>
      </c>
      <c r="AI170">
        <f t="shared" si="17"/>
        <v>137.4</v>
      </c>
      <c r="AJ170">
        <f t="shared" si="18"/>
        <v>121.2</v>
      </c>
      <c r="AK170">
        <f t="shared" si="19"/>
        <v>139.6</v>
      </c>
      <c r="AL170">
        <f t="shared" si="20"/>
        <v>1377.1</v>
      </c>
    </row>
    <row r="171" spans="1:38" x14ac:dyDescent="0.3">
      <c r="A171" t="s">
        <v>32</v>
      </c>
      <c r="B171" s="28">
        <f t="shared" si="14"/>
        <v>42979</v>
      </c>
      <c r="C171">
        <v>2017</v>
      </c>
      <c r="D171" t="s">
        <v>41</v>
      </c>
      <c r="E171" t="str">
        <f t="shared" si="15"/>
        <v>Sep-17</v>
      </c>
      <c r="F171">
        <f>VLOOKUP(D171,'Problem Statement 4'!$G$2:$H$13,2,0)</f>
        <v>9</v>
      </c>
      <c r="G171">
        <v>133.6</v>
      </c>
      <c r="H171">
        <v>143</v>
      </c>
      <c r="I171">
        <v>129.69999999999999</v>
      </c>
      <c r="J171">
        <v>138.69999999999999</v>
      </c>
      <c r="K171">
        <v>114.5</v>
      </c>
      <c r="L171">
        <v>137.5</v>
      </c>
      <c r="M171">
        <v>160.69999999999999</v>
      </c>
      <c r="N171">
        <v>124.5</v>
      </c>
      <c r="O171">
        <v>122.4</v>
      </c>
      <c r="P171">
        <v>137.30000000000001</v>
      </c>
      <c r="Q171">
        <v>124.8</v>
      </c>
      <c r="R171">
        <v>145</v>
      </c>
      <c r="S171">
        <v>138</v>
      </c>
      <c r="T171">
        <v>153.6</v>
      </c>
      <c r="U171">
        <v>133.30000000000001</v>
      </c>
      <c r="V171">
        <v>124.6</v>
      </c>
      <c r="W171">
        <v>132</v>
      </c>
      <c r="X171">
        <v>135.69999999999999</v>
      </c>
      <c r="Y171">
        <v>120.6</v>
      </c>
      <c r="Z171">
        <v>128.1</v>
      </c>
      <c r="AA171">
        <v>126.1</v>
      </c>
      <c r="AB171">
        <v>115.7</v>
      </c>
      <c r="AC171">
        <v>124.5</v>
      </c>
      <c r="AD171">
        <v>135.9</v>
      </c>
      <c r="AE171">
        <v>124.4</v>
      </c>
      <c r="AF171">
        <v>124.5</v>
      </c>
      <c r="AG171">
        <v>132.4</v>
      </c>
      <c r="AH171">
        <f t="shared" si="16"/>
        <v>1749.7</v>
      </c>
      <c r="AI171">
        <f t="shared" si="17"/>
        <v>120.6</v>
      </c>
      <c r="AJ171">
        <f t="shared" si="18"/>
        <v>115.7</v>
      </c>
      <c r="AK171">
        <f t="shared" si="19"/>
        <v>135.9</v>
      </c>
      <c r="AL171">
        <f t="shared" si="20"/>
        <v>1306.8000000000002</v>
      </c>
    </row>
    <row r="172" spans="1:38" x14ac:dyDescent="0.3">
      <c r="A172" t="s">
        <v>33</v>
      </c>
      <c r="B172" s="28">
        <f t="shared" si="14"/>
        <v>42979</v>
      </c>
      <c r="C172">
        <v>2017</v>
      </c>
      <c r="D172" t="s">
        <v>41</v>
      </c>
      <c r="E172" t="str">
        <f t="shared" si="15"/>
        <v>Sep-17</v>
      </c>
      <c r="F172">
        <f>VLOOKUP(D172,'Problem Statement 4'!$G$2:$H$13,2,0)</f>
        <v>9</v>
      </c>
      <c r="G172">
        <v>134.69999999999999</v>
      </c>
      <c r="H172">
        <v>142.4</v>
      </c>
      <c r="I172">
        <v>130.19999999999999</v>
      </c>
      <c r="J172">
        <v>139.6</v>
      </c>
      <c r="K172">
        <v>118.4</v>
      </c>
      <c r="L172">
        <v>143</v>
      </c>
      <c r="M172">
        <v>156.6</v>
      </c>
      <c r="N172">
        <v>132.9</v>
      </c>
      <c r="O172">
        <v>121.5</v>
      </c>
      <c r="P172">
        <v>135.6</v>
      </c>
      <c r="Q172">
        <v>128.80000000000001</v>
      </c>
      <c r="R172">
        <v>147.30000000000001</v>
      </c>
      <c r="S172">
        <v>139</v>
      </c>
      <c r="T172">
        <v>150.80000000000001</v>
      </c>
      <c r="U172">
        <v>141.1</v>
      </c>
      <c r="V172">
        <v>133.4</v>
      </c>
      <c r="W172">
        <v>140</v>
      </c>
      <c r="X172">
        <v>135.69999999999999</v>
      </c>
      <c r="Y172">
        <v>131</v>
      </c>
      <c r="Z172">
        <v>133.30000000000001</v>
      </c>
      <c r="AA172">
        <v>130.6</v>
      </c>
      <c r="AB172">
        <v>118.3</v>
      </c>
      <c r="AC172">
        <v>127.9</v>
      </c>
      <c r="AD172">
        <v>137.4</v>
      </c>
      <c r="AE172">
        <v>125.7</v>
      </c>
      <c r="AF172">
        <v>127.5</v>
      </c>
      <c r="AG172">
        <v>135.19999999999999</v>
      </c>
      <c r="AH172">
        <f t="shared" si="16"/>
        <v>1769.9999999999998</v>
      </c>
      <c r="AI172">
        <f t="shared" si="17"/>
        <v>131</v>
      </c>
      <c r="AJ172">
        <f t="shared" si="18"/>
        <v>118.3</v>
      </c>
      <c r="AK172">
        <f t="shared" si="19"/>
        <v>137.4</v>
      </c>
      <c r="AL172">
        <f t="shared" si="20"/>
        <v>1346</v>
      </c>
    </row>
    <row r="173" spans="1:38" x14ac:dyDescent="0.3">
      <c r="A173" t="s">
        <v>30</v>
      </c>
      <c r="B173" s="28">
        <f t="shared" si="14"/>
        <v>43009</v>
      </c>
      <c r="C173">
        <v>2017</v>
      </c>
      <c r="D173" t="s">
        <v>42</v>
      </c>
      <c r="E173" t="str">
        <f t="shared" si="15"/>
        <v>Oct-17</v>
      </c>
      <c r="F173">
        <f>VLOOKUP(D173,'Problem Statement 4'!$G$2:$H$13,2,0)</f>
        <v>10</v>
      </c>
      <c r="G173">
        <v>135.9</v>
      </c>
      <c r="H173">
        <v>141.9</v>
      </c>
      <c r="I173">
        <v>131</v>
      </c>
      <c r="J173">
        <v>141.5</v>
      </c>
      <c r="K173">
        <v>121.4</v>
      </c>
      <c r="L173">
        <v>146.69999999999999</v>
      </c>
      <c r="M173">
        <v>157.1</v>
      </c>
      <c r="N173">
        <v>136.4</v>
      </c>
      <c r="O173">
        <v>121.4</v>
      </c>
      <c r="P173">
        <v>135.6</v>
      </c>
      <c r="Q173">
        <v>131.30000000000001</v>
      </c>
      <c r="R173">
        <v>150.30000000000001</v>
      </c>
      <c r="S173">
        <v>140.4</v>
      </c>
      <c r="T173">
        <v>150.5</v>
      </c>
      <c r="U173">
        <v>147.19999999999999</v>
      </c>
      <c r="V173">
        <v>140.6</v>
      </c>
      <c r="W173">
        <v>146.19999999999999</v>
      </c>
      <c r="X173">
        <v>137.30000000000001</v>
      </c>
      <c r="Y173">
        <v>138.1</v>
      </c>
      <c r="Z173">
        <v>138.4</v>
      </c>
      <c r="AA173">
        <v>134.19999999999999</v>
      </c>
      <c r="AB173">
        <v>121</v>
      </c>
      <c r="AC173">
        <v>133</v>
      </c>
      <c r="AD173">
        <v>140.1</v>
      </c>
      <c r="AE173">
        <v>127.4</v>
      </c>
      <c r="AF173">
        <v>130.69999999999999</v>
      </c>
      <c r="AG173">
        <v>138.30000000000001</v>
      </c>
      <c r="AH173">
        <f t="shared" si="16"/>
        <v>1790.8999999999999</v>
      </c>
      <c r="AI173">
        <f t="shared" si="17"/>
        <v>138.1</v>
      </c>
      <c r="AJ173">
        <f t="shared" si="18"/>
        <v>121</v>
      </c>
      <c r="AK173">
        <f t="shared" si="19"/>
        <v>140.1</v>
      </c>
      <c r="AL173">
        <f t="shared" si="20"/>
        <v>1385.5</v>
      </c>
    </row>
    <row r="174" spans="1:38" x14ac:dyDescent="0.3">
      <c r="A174" t="s">
        <v>32</v>
      </c>
      <c r="B174" s="28">
        <f t="shared" si="14"/>
        <v>43009</v>
      </c>
      <c r="C174">
        <v>2017</v>
      </c>
      <c r="D174" t="s">
        <v>42</v>
      </c>
      <c r="E174" t="str">
        <f t="shared" si="15"/>
        <v>Oct-17</v>
      </c>
      <c r="F174">
        <f>VLOOKUP(D174,'Problem Statement 4'!$G$2:$H$13,2,0)</f>
        <v>10</v>
      </c>
      <c r="G174">
        <v>133.9</v>
      </c>
      <c r="H174">
        <v>142.80000000000001</v>
      </c>
      <c r="I174">
        <v>131.4</v>
      </c>
      <c r="J174">
        <v>139.1</v>
      </c>
      <c r="K174">
        <v>114.9</v>
      </c>
      <c r="L174">
        <v>135.6</v>
      </c>
      <c r="M174">
        <v>173.2</v>
      </c>
      <c r="N174">
        <v>124.1</v>
      </c>
      <c r="O174">
        <v>122.6</v>
      </c>
      <c r="P174">
        <v>137.80000000000001</v>
      </c>
      <c r="Q174">
        <v>125.1</v>
      </c>
      <c r="R174">
        <v>145.5</v>
      </c>
      <c r="S174">
        <v>139.69999999999999</v>
      </c>
      <c r="T174">
        <v>154.6</v>
      </c>
      <c r="U174">
        <v>134</v>
      </c>
      <c r="V174">
        <v>124.9</v>
      </c>
      <c r="W174">
        <v>132.6</v>
      </c>
      <c r="X174">
        <v>137.30000000000001</v>
      </c>
      <c r="Y174">
        <v>122.6</v>
      </c>
      <c r="Z174">
        <v>128.30000000000001</v>
      </c>
      <c r="AA174">
        <v>126.6</v>
      </c>
      <c r="AB174">
        <v>115</v>
      </c>
      <c r="AC174">
        <v>124.8</v>
      </c>
      <c r="AD174">
        <v>136.30000000000001</v>
      </c>
      <c r="AE174">
        <v>124.6</v>
      </c>
      <c r="AF174">
        <v>124.5</v>
      </c>
      <c r="AG174">
        <v>133.5</v>
      </c>
      <c r="AH174">
        <f t="shared" si="16"/>
        <v>1765.6999999999998</v>
      </c>
      <c r="AI174">
        <f t="shared" si="17"/>
        <v>122.6</v>
      </c>
      <c r="AJ174">
        <f t="shared" si="18"/>
        <v>115</v>
      </c>
      <c r="AK174">
        <f t="shared" si="19"/>
        <v>136.30000000000001</v>
      </c>
      <c r="AL174">
        <f t="shared" si="20"/>
        <v>1312.2</v>
      </c>
    </row>
    <row r="175" spans="1:38" x14ac:dyDescent="0.3">
      <c r="A175" t="s">
        <v>33</v>
      </c>
      <c r="B175" s="28">
        <f t="shared" si="14"/>
        <v>43009</v>
      </c>
      <c r="C175">
        <v>2017</v>
      </c>
      <c r="D175" t="s">
        <v>42</v>
      </c>
      <c r="E175" t="str">
        <f t="shared" si="15"/>
        <v>Oct-17</v>
      </c>
      <c r="F175">
        <f>VLOOKUP(D175,'Problem Statement 4'!$G$2:$H$13,2,0)</f>
        <v>10</v>
      </c>
      <c r="G175">
        <v>135.30000000000001</v>
      </c>
      <c r="H175">
        <v>142.19999999999999</v>
      </c>
      <c r="I175">
        <v>131.19999999999999</v>
      </c>
      <c r="J175">
        <v>140.6</v>
      </c>
      <c r="K175">
        <v>119</v>
      </c>
      <c r="L175">
        <v>141.5</v>
      </c>
      <c r="M175">
        <v>162.6</v>
      </c>
      <c r="N175">
        <v>132.30000000000001</v>
      </c>
      <c r="O175">
        <v>121.8</v>
      </c>
      <c r="P175">
        <v>136.30000000000001</v>
      </c>
      <c r="Q175">
        <v>128.69999999999999</v>
      </c>
      <c r="R175">
        <v>148.1</v>
      </c>
      <c r="S175">
        <v>140.1</v>
      </c>
      <c r="T175">
        <v>151.6</v>
      </c>
      <c r="U175">
        <v>142</v>
      </c>
      <c r="V175">
        <v>134.1</v>
      </c>
      <c r="W175">
        <v>140.80000000000001</v>
      </c>
      <c r="X175">
        <v>137.30000000000001</v>
      </c>
      <c r="Y175">
        <v>132.19999999999999</v>
      </c>
      <c r="Z175">
        <v>133.6</v>
      </c>
      <c r="AA175">
        <v>131.30000000000001</v>
      </c>
      <c r="AB175">
        <v>117.8</v>
      </c>
      <c r="AC175">
        <v>128.4</v>
      </c>
      <c r="AD175">
        <v>137.9</v>
      </c>
      <c r="AE175">
        <v>126.2</v>
      </c>
      <c r="AF175">
        <v>127.7</v>
      </c>
      <c r="AG175">
        <v>136.1</v>
      </c>
      <c r="AH175">
        <f t="shared" si="16"/>
        <v>1779.6999999999998</v>
      </c>
      <c r="AI175">
        <f t="shared" si="17"/>
        <v>132.19999999999999</v>
      </c>
      <c r="AJ175">
        <f t="shared" si="18"/>
        <v>117.8</v>
      </c>
      <c r="AK175">
        <f t="shared" si="19"/>
        <v>137.9</v>
      </c>
      <c r="AL175">
        <f t="shared" si="20"/>
        <v>1353.0000000000002</v>
      </c>
    </row>
    <row r="176" spans="1:38" x14ac:dyDescent="0.3">
      <c r="A176" t="s">
        <v>30</v>
      </c>
      <c r="B176" s="28">
        <f t="shared" si="14"/>
        <v>43040</v>
      </c>
      <c r="C176">
        <v>2017</v>
      </c>
      <c r="D176" t="s">
        <v>44</v>
      </c>
      <c r="E176" t="str">
        <f t="shared" si="15"/>
        <v>Nov-17</v>
      </c>
      <c r="F176">
        <f>VLOOKUP(D176,'Problem Statement 4'!$G$2:$H$13,2,0)</f>
        <v>11</v>
      </c>
      <c r="G176">
        <v>136.30000000000001</v>
      </c>
      <c r="H176">
        <v>142.5</v>
      </c>
      <c r="I176">
        <v>140.5</v>
      </c>
      <c r="J176">
        <v>141.5</v>
      </c>
      <c r="K176">
        <v>121.6</v>
      </c>
      <c r="L176">
        <v>147.30000000000001</v>
      </c>
      <c r="M176">
        <v>168</v>
      </c>
      <c r="N176">
        <v>135.80000000000001</v>
      </c>
      <c r="O176">
        <v>122.5</v>
      </c>
      <c r="P176">
        <v>136</v>
      </c>
      <c r="Q176">
        <v>131.9</v>
      </c>
      <c r="R176">
        <v>151.4</v>
      </c>
      <c r="S176">
        <v>142.4</v>
      </c>
      <c r="T176">
        <v>152.1</v>
      </c>
      <c r="U176">
        <v>148.19999999999999</v>
      </c>
      <c r="V176">
        <v>141.5</v>
      </c>
      <c r="W176">
        <v>147.30000000000001</v>
      </c>
      <c r="X176">
        <v>138.6</v>
      </c>
      <c r="Y176">
        <v>141.1</v>
      </c>
      <c r="Z176">
        <v>139.4</v>
      </c>
      <c r="AA176">
        <v>135.80000000000001</v>
      </c>
      <c r="AB176">
        <v>121.6</v>
      </c>
      <c r="AC176">
        <v>133.69999999999999</v>
      </c>
      <c r="AD176">
        <v>141.5</v>
      </c>
      <c r="AE176">
        <v>128.1</v>
      </c>
      <c r="AF176">
        <v>131.69999999999999</v>
      </c>
      <c r="AG176">
        <v>140</v>
      </c>
      <c r="AH176">
        <f t="shared" si="16"/>
        <v>1817.7000000000003</v>
      </c>
      <c r="AI176">
        <f t="shared" si="17"/>
        <v>141.1</v>
      </c>
      <c r="AJ176">
        <f t="shared" si="18"/>
        <v>121.6</v>
      </c>
      <c r="AK176">
        <f t="shared" si="19"/>
        <v>141.5</v>
      </c>
      <c r="AL176">
        <f t="shared" si="20"/>
        <v>1396.3999999999999</v>
      </c>
    </row>
    <row r="177" spans="1:38" x14ac:dyDescent="0.3">
      <c r="A177" t="s">
        <v>32</v>
      </c>
      <c r="B177" s="28">
        <f t="shared" si="14"/>
        <v>43040</v>
      </c>
      <c r="C177">
        <v>2017</v>
      </c>
      <c r="D177" t="s">
        <v>44</v>
      </c>
      <c r="E177" t="str">
        <f t="shared" si="15"/>
        <v>Nov-17</v>
      </c>
      <c r="F177">
        <f>VLOOKUP(D177,'Problem Statement 4'!$G$2:$H$13,2,0)</f>
        <v>11</v>
      </c>
      <c r="G177">
        <v>134.30000000000001</v>
      </c>
      <c r="H177">
        <v>142.1</v>
      </c>
      <c r="I177">
        <v>146.69999999999999</v>
      </c>
      <c r="J177">
        <v>139.5</v>
      </c>
      <c r="K177">
        <v>115.2</v>
      </c>
      <c r="L177">
        <v>136.4</v>
      </c>
      <c r="M177">
        <v>185.2</v>
      </c>
      <c r="N177">
        <v>122.2</v>
      </c>
      <c r="O177">
        <v>123.9</v>
      </c>
      <c r="P177">
        <v>138.30000000000001</v>
      </c>
      <c r="Q177">
        <v>125.4</v>
      </c>
      <c r="R177">
        <v>146</v>
      </c>
      <c r="S177">
        <v>141.5</v>
      </c>
      <c r="T177">
        <v>156.19999999999999</v>
      </c>
      <c r="U177">
        <v>135</v>
      </c>
      <c r="V177">
        <v>125.4</v>
      </c>
      <c r="W177">
        <v>133.5</v>
      </c>
      <c r="X177">
        <v>138.6</v>
      </c>
      <c r="Y177">
        <v>125.7</v>
      </c>
      <c r="Z177">
        <v>128.80000000000001</v>
      </c>
      <c r="AA177">
        <v>127.4</v>
      </c>
      <c r="AB177">
        <v>115.3</v>
      </c>
      <c r="AC177">
        <v>125.1</v>
      </c>
      <c r="AD177">
        <v>136.6</v>
      </c>
      <c r="AE177">
        <v>124.9</v>
      </c>
      <c r="AF177">
        <v>124.9</v>
      </c>
      <c r="AG177">
        <v>134.80000000000001</v>
      </c>
      <c r="AH177">
        <f t="shared" si="16"/>
        <v>1796.7</v>
      </c>
      <c r="AI177">
        <f t="shared" si="17"/>
        <v>125.7</v>
      </c>
      <c r="AJ177">
        <f t="shared" si="18"/>
        <v>115.3</v>
      </c>
      <c r="AK177">
        <f t="shared" si="19"/>
        <v>136.6</v>
      </c>
      <c r="AL177">
        <f t="shared" si="20"/>
        <v>1319.8000000000002</v>
      </c>
    </row>
    <row r="178" spans="1:38" x14ac:dyDescent="0.3">
      <c r="A178" t="s">
        <v>33</v>
      </c>
      <c r="B178" s="28">
        <f t="shared" si="14"/>
        <v>43040</v>
      </c>
      <c r="C178">
        <v>2017</v>
      </c>
      <c r="D178" t="s">
        <v>44</v>
      </c>
      <c r="E178" t="str">
        <f t="shared" si="15"/>
        <v>Nov-17</v>
      </c>
      <c r="F178">
        <f>VLOOKUP(D178,'Problem Statement 4'!$G$2:$H$13,2,0)</f>
        <v>11</v>
      </c>
      <c r="G178">
        <v>135.69999999999999</v>
      </c>
      <c r="H178">
        <v>142.4</v>
      </c>
      <c r="I178">
        <v>142.9</v>
      </c>
      <c r="J178">
        <v>140.80000000000001</v>
      </c>
      <c r="K178">
        <v>119.2</v>
      </c>
      <c r="L178">
        <v>142.19999999999999</v>
      </c>
      <c r="M178">
        <v>173.8</v>
      </c>
      <c r="N178">
        <v>131.19999999999999</v>
      </c>
      <c r="O178">
        <v>123</v>
      </c>
      <c r="P178">
        <v>136.80000000000001</v>
      </c>
      <c r="Q178">
        <v>129.19999999999999</v>
      </c>
      <c r="R178">
        <v>148.9</v>
      </c>
      <c r="S178">
        <v>142.1</v>
      </c>
      <c r="T178">
        <v>153.19999999999999</v>
      </c>
      <c r="U178">
        <v>143</v>
      </c>
      <c r="V178">
        <v>134.80000000000001</v>
      </c>
      <c r="W178">
        <v>141.80000000000001</v>
      </c>
      <c r="X178">
        <v>138.6</v>
      </c>
      <c r="Y178">
        <v>135.30000000000001</v>
      </c>
      <c r="Z178">
        <v>134.4</v>
      </c>
      <c r="AA178">
        <v>132.6</v>
      </c>
      <c r="AB178">
        <v>118.3</v>
      </c>
      <c r="AC178">
        <v>128.9</v>
      </c>
      <c r="AD178">
        <v>138.6</v>
      </c>
      <c r="AE178">
        <v>126.8</v>
      </c>
      <c r="AF178">
        <v>128.4</v>
      </c>
      <c r="AG178">
        <v>137.6</v>
      </c>
      <c r="AH178">
        <f t="shared" si="16"/>
        <v>1808.2</v>
      </c>
      <c r="AI178">
        <f t="shared" si="17"/>
        <v>135.30000000000001</v>
      </c>
      <c r="AJ178">
        <f t="shared" si="18"/>
        <v>118.3</v>
      </c>
      <c r="AK178">
        <f t="shared" si="19"/>
        <v>138.6</v>
      </c>
      <c r="AL178">
        <f t="shared" si="20"/>
        <v>1362.5</v>
      </c>
    </row>
    <row r="179" spans="1:38" x14ac:dyDescent="0.3">
      <c r="A179" t="s">
        <v>30</v>
      </c>
      <c r="B179" s="28">
        <f t="shared" si="14"/>
        <v>43070</v>
      </c>
      <c r="C179">
        <v>2017</v>
      </c>
      <c r="D179" t="s">
        <v>45</v>
      </c>
      <c r="E179" t="str">
        <f t="shared" si="15"/>
        <v>Dec-17</v>
      </c>
      <c r="F179">
        <f>VLOOKUP(D179,'Problem Statement 4'!$G$2:$H$13,2,0)</f>
        <v>12</v>
      </c>
      <c r="G179">
        <v>136.4</v>
      </c>
      <c r="H179">
        <v>143.69999999999999</v>
      </c>
      <c r="I179">
        <v>144.80000000000001</v>
      </c>
      <c r="J179">
        <v>141.9</v>
      </c>
      <c r="K179">
        <v>123.1</v>
      </c>
      <c r="L179">
        <v>147.19999999999999</v>
      </c>
      <c r="M179">
        <v>161</v>
      </c>
      <c r="N179">
        <v>133.80000000000001</v>
      </c>
      <c r="O179">
        <v>121.9</v>
      </c>
      <c r="P179">
        <v>135.80000000000001</v>
      </c>
      <c r="Q179">
        <v>131.1</v>
      </c>
      <c r="R179">
        <v>151.4</v>
      </c>
      <c r="S179">
        <v>141.5</v>
      </c>
      <c r="T179">
        <v>153.19999999999999</v>
      </c>
      <c r="U179">
        <v>148</v>
      </c>
      <c r="V179">
        <v>141.9</v>
      </c>
      <c r="W179">
        <v>147.19999999999999</v>
      </c>
      <c r="X179">
        <v>139.1</v>
      </c>
      <c r="Y179">
        <v>142.6</v>
      </c>
      <c r="Z179">
        <v>139.5</v>
      </c>
      <c r="AA179">
        <v>136.1</v>
      </c>
      <c r="AB179">
        <v>122</v>
      </c>
      <c r="AC179">
        <v>133.4</v>
      </c>
      <c r="AD179">
        <v>141.1</v>
      </c>
      <c r="AE179">
        <v>127.8</v>
      </c>
      <c r="AF179">
        <v>131.9</v>
      </c>
      <c r="AG179">
        <v>139.80000000000001</v>
      </c>
      <c r="AH179">
        <f t="shared" si="16"/>
        <v>1813.6000000000001</v>
      </c>
      <c r="AI179">
        <f t="shared" si="17"/>
        <v>142.6</v>
      </c>
      <c r="AJ179">
        <f t="shared" si="18"/>
        <v>122</v>
      </c>
      <c r="AK179">
        <f t="shared" si="19"/>
        <v>141.1</v>
      </c>
      <c r="AL179">
        <f t="shared" si="20"/>
        <v>1398.1000000000001</v>
      </c>
    </row>
    <row r="180" spans="1:38" x14ac:dyDescent="0.3">
      <c r="A180" t="s">
        <v>32</v>
      </c>
      <c r="B180" s="28">
        <f t="shared" si="14"/>
        <v>43070</v>
      </c>
      <c r="C180">
        <v>2017</v>
      </c>
      <c r="D180" t="s">
        <v>45</v>
      </c>
      <c r="E180" t="str">
        <f t="shared" si="15"/>
        <v>Dec-17</v>
      </c>
      <c r="F180">
        <f>VLOOKUP(D180,'Problem Statement 4'!$G$2:$H$13,2,0)</f>
        <v>12</v>
      </c>
      <c r="G180">
        <v>134.4</v>
      </c>
      <c r="H180">
        <v>142.6</v>
      </c>
      <c r="I180">
        <v>145.9</v>
      </c>
      <c r="J180">
        <v>139.5</v>
      </c>
      <c r="K180">
        <v>115.9</v>
      </c>
      <c r="L180">
        <v>135</v>
      </c>
      <c r="M180">
        <v>163.19999999999999</v>
      </c>
      <c r="N180">
        <v>119.8</v>
      </c>
      <c r="O180">
        <v>120.7</v>
      </c>
      <c r="P180">
        <v>139.69999999999999</v>
      </c>
      <c r="Q180">
        <v>125.7</v>
      </c>
      <c r="R180">
        <v>146.30000000000001</v>
      </c>
      <c r="S180">
        <v>138.80000000000001</v>
      </c>
      <c r="T180">
        <v>157</v>
      </c>
      <c r="U180">
        <v>135.6</v>
      </c>
      <c r="V180">
        <v>125.6</v>
      </c>
      <c r="W180">
        <v>134</v>
      </c>
      <c r="X180">
        <v>139.1</v>
      </c>
      <c r="Y180">
        <v>126.8</v>
      </c>
      <c r="Z180">
        <v>129.30000000000001</v>
      </c>
      <c r="AA180">
        <v>128.19999999999999</v>
      </c>
      <c r="AB180">
        <v>115.3</v>
      </c>
      <c r="AC180">
        <v>125.6</v>
      </c>
      <c r="AD180">
        <v>136.69999999999999</v>
      </c>
      <c r="AE180">
        <v>124.6</v>
      </c>
      <c r="AF180">
        <v>125.1</v>
      </c>
      <c r="AG180">
        <v>134.1</v>
      </c>
      <c r="AH180">
        <f t="shared" si="16"/>
        <v>1767.5</v>
      </c>
      <c r="AI180">
        <f t="shared" si="17"/>
        <v>126.8</v>
      </c>
      <c r="AJ180">
        <f t="shared" si="18"/>
        <v>115.3</v>
      </c>
      <c r="AK180">
        <f t="shared" si="19"/>
        <v>136.69999999999999</v>
      </c>
      <c r="AL180">
        <f t="shared" si="20"/>
        <v>1324.1</v>
      </c>
    </row>
    <row r="181" spans="1:38" x14ac:dyDescent="0.3">
      <c r="A181" t="s">
        <v>33</v>
      </c>
      <c r="B181" s="28">
        <f t="shared" si="14"/>
        <v>43070</v>
      </c>
      <c r="C181">
        <v>2017</v>
      </c>
      <c r="D181" t="s">
        <v>45</v>
      </c>
      <c r="E181" t="str">
        <f t="shared" si="15"/>
        <v>Dec-17</v>
      </c>
      <c r="F181">
        <f>VLOOKUP(D181,'Problem Statement 4'!$G$2:$H$13,2,0)</f>
        <v>12</v>
      </c>
      <c r="G181">
        <v>135.80000000000001</v>
      </c>
      <c r="H181">
        <v>143.30000000000001</v>
      </c>
      <c r="I181">
        <v>145.19999999999999</v>
      </c>
      <c r="J181">
        <v>141</v>
      </c>
      <c r="K181">
        <v>120.5</v>
      </c>
      <c r="L181">
        <v>141.5</v>
      </c>
      <c r="M181">
        <v>161.69999999999999</v>
      </c>
      <c r="N181">
        <v>129.1</v>
      </c>
      <c r="O181">
        <v>121.5</v>
      </c>
      <c r="P181">
        <v>137.1</v>
      </c>
      <c r="Q181">
        <v>128.80000000000001</v>
      </c>
      <c r="R181">
        <v>149</v>
      </c>
      <c r="S181">
        <v>140.5</v>
      </c>
      <c r="T181">
        <v>154.19999999999999</v>
      </c>
      <c r="U181">
        <v>143.1</v>
      </c>
      <c r="V181">
        <v>135.1</v>
      </c>
      <c r="W181">
        <v>142</v>
      </c>
      <c r="X181">
        <v>139.1</v>
      </c>
      <c r="Y181">
        <v>136.6</v>
      </c>
      <c r="Z181">
        <v>134.69999999999999</v>
      </c>
      <c r="AA181">
        <v>133.1</v>
      </c>
      <c r="AB181">
        <v>118.5</v>
      </c>
      <c r="AC181">
        <v>129</v>
      </c>
      <c r="AD181">
        <v>138.5</v>
      </c>
      <c r="AE181">
        <v>126.5</v>
      </c>
      <c r="AF181">
        <v>128.6</v>
      </c>
      <c r="AG181">
        <v>137.19999999999999</v>
      </c>
      <c r="AH181">
        <f t="shared" si="16"/>
        <v>1794.9999999999998</v>
      </c>
      <c r="AI181">
        <f t="shared" si="17"/>
        <v>136.6</v>
      </c>
      <c r="AJ181">
        <f t="shared" si="18"/>
        <v>118.5</v>
      </c>
      <c r="AK181">
        <f t="shared" si="19"/>
        <v>138.5</v>
      </c>
      <c r="AL181">
        <f t="shared" si="20"/>
        <v>1365.4</v>
      </c>
    </row>
    <row r="182" spans="1:38" x14ac:dyDescent="0.3">
      <c r="A182" t="s">
        <v>30</v>
      </c>
      <c r="B182" s="28">
        <f t="shared" si="14"/>
        <v>43101</v>
      </c>
      <c r="C182">
        <v>2018</v>
      </c>
      <c r="D182" t="s">
        <v>31</v>
      </c>
      <c r="E182" t="str">
        <f t="shared" si="15"/>
        <v>Jan-18</v>
      </c>
      <c r="F182">
        <f>VLOOKUP(D182,'Problem Statement 4'!$G$2:$H$13,2,0)</f>
        <v>1</v>
      </c>
      <c r="G182">
        <v>136.6</v>
      </c>
      <c r="H182">
        <v>144.4</v>
      </c>
      <c r="I182">
        <v>143.80000000000001</v>
      </c>
      <c r="J182">
        <v>142</v>
      </c>
      <c r="K182">
        <v>123.2</v>
      </c>
      <c r="L182">
        <v>147.9</v>
      </c>
      <c r="M182">
        <v>152.1</v>
      </c>
      <c r="N182">
        <v>131.80000000000001</v>
      </c>
      <c r="O182">
        <v>119.5</v>
      </c>
      <c r="P182">
        <v>136</v>
      </c>
      <c r="Q182">
        <v>131.19999999999999</v>
      </c>
      <c r="R182">
        <v>151.80000000000001</v>
      </c>
      <c r="S182">
        <v>140.4</v>
      </c>
      <c r="T182">
        <v>153.6</v>
      </c>
      <c r="U182">
        <v>148.30000000000001</v>
      </c>
      <c r="V182">
        <v>142.30000000000001</v>
      </c>
      <c r="W182">
        <v>147.5</v>
      </c>
      <c r="X182">
        <v>140.4</v>
      </c>
      <c r="Y182">
        <v>142.30000000000001</v>
      </c>
      <c r="Z182">
        <v>139.80000000000001</v>
      </c>
      <c r="AA182">
        <v>136</v>
      </c>
      <c r="AB182">
        <v>122.7</v>
      </c>
      <c r="AC182">
        <v>134.30000000000001</v>
      </c>
      <c r="AD182">
        <v>141.6</v>
      </c>
      <c r="AE182">
        <v>128.6</v>
      </c>
      <c r="AF182">
        <v>132.30000000000001</v>
      </c>
      <c r="AG182">
        <v>139.30000000000001</v>
      </c>
      <c r="AH182">
        <f t="shared" si="16"/>
        <v>1800.7</v>
      </c>
      <c r="AI182">
        <f t="shared" si="17"/>
        <v>142.30000000000001</v>
      </c>
      <c r="AJ182">
        <f t="shared" si="18"/>
        <v>122.7</v>
      </c>
      <c r="AK182">
        <f t="shared" si="19"/>
        <v>141.6</v>
      </c>
      <c r="AL182">
        <f t="shared" si="20"/>
        <v>1403.1</v>
      </c>
    </row>
    <row r="183" spans="1:38" x14ac:dyDescent="0.3">
      <c r="A183" t="s">
        <v>32</v>
      </c>
      <c r="B183" s="28">
        <f t="shared" si="14"/>
        <v>43101</v>
      </c>
      <c r="C183">
        <v>2018</v>
      </c>
      <c r="D183" t="s">
        <v>31</v>
      </c>
      <c r="E183" t="str">
        <f t="shared" si="15"/>
        <v>Jan-18</v>
      </c>
      <c r="F183">
        <f>VLOOKUP(D183,'Problem Statement 4'!$G$2:$H$13,2,0)</f>
        <v>1</v>
      </c>
      <c r="G183">
        <v>134.6</v>
      </c>
      <c r="H183">
        <v>143.69999999999999</v>
      </c>
      <c r="I183">
        <v>143.6</v>
      </c>
      <c r="J183">
        <v>139.6</v>
      </c>
      <c r="K183">
        <v>116.4</v>
      </c>
      <c r="L183">
        <v>133.80000000000001</v>
      </c>
      <c r="M183">
        <v>150.5</v>
      </c>
      <c r="N183">
        <v>118.4</v>
      </c>
      <c r="O183">
        <v>117.3</v>
      </c>
      <c r="P183">
        <v>140.5</v>
      </c>
      <c r="Q183">
        <v>125.9</v>
      </c>
      <c r="R183">
        <v>146.80000000000001</v>
      </c>
      <c r="S183">
        <v>137.19999999999999</v>
      </c>
      <c r="T183">
        <v>157.69999999999999</v>
      </c>
      <c r="U183">
        <v>136</v>
      </c>
      <c r="V183">
        <v>125.9</v>
      </c>
      <c r="W183">
        <v>134.4</v>
      </c>
      <c r="X183">
        <v>140.4</v>
      </c>
      <c r="Y183">
        <v>127.3</v>
      </c>
      <c r="Z183">
        <v>129.5</v>
      </c>
      <c r="AA183">
        <v>129</v>
      </c>
      <c r="AB183">
        <v>116.3</v>
      </c>
      <c r="AC183">
        <v>126.2</v>
      </c>
      <c r="AD183">
        <v>137.1</v>
      </c>
      <c r="AE183">
        <v>125.5</v>
      </c>
      <c r="AF183">
        <v>125.8</v>
      </c>
      <c r="AG183">
        <v>134.1</v>
      </c>
      <c r="AH183">
        <f t="shared" si="16"/>
        <v>1748.3000000000002</v>
      </c>
      <c r="AI183">
        <f t="shared" si="17"/>
        <v>127.3</v>
      </c>
      <c r="AJ183">
        <f t="shared" si="18"/>
        <v>116.3</v>
      </c>
      <c r="AK183">
        <f t="shared" si="19"/>
        <v>137.1</v>
      </c>
      <c r="AL183">
        <f t="shared" si="20"/>
        <v>1330.3999999999999</v>
      </c>
    </row>
    <row r="184" spans="1:38" x14ac:dyDescent="0.3">
      <c r="A184" t="s">
        <v>33</v>
      </c>
      <c r="B184" s="28">
        <f t="shared" si="14"/>
        <v>43101</v>
      </c>
      <c r="C184">
        <v>2018</v>
      </c>
      <c r="D184" t="s">
        <v>31</v>
      </c>
      <c r="E184" t="str">
        <f t="shared" si="15"/>
        <v>Jan-18</v>
      </c>
      <c r="F184">
        <f>VLOOKUP(D184,'Problem Statement 4'!$G$2:$H$13,2,0)</f>
        <v>1</v>
      </c>
      <c r="G184">
        <v>136</v>
      </c>
      <c r="H184">
        <v>144.19999999999999</v>
      </c>
      <c r="I184">
        <v>143.69999999999999</v>
      </c>
      <c r="J184">
        <v>141.1</v>
      </c>
      <c r="K184">
        <v>120.7</v>
      </c>
      <c r="L184">
        <v>141.30000000000001</v>
      </c>
      <c r="M184">
        <v>151.6</v>
      </c>
      <c r="N184">
        <v>127.3</v>
      </c>
      <c r="O184">
        <v>118.8</v>
      </c>
      <c r="P184">
        <v>137.5</v>
      </c>
      <c r="Q184">
        <v>129</v>
      </c>
      <c r="R184">
        <v>149.5</v>
      </c>
      <c r="S184">
        <v>139.19999999999999</v>
      </c>
      <c r="T184">
        <v>154.69999999999999</v>
      </c>
      <c r="U184">
        <v>143.5</v>
      </c>
      <c r="V184">
        <v>135.5</v>
      </c>
      <c r="W184">
        <v>142.30000000000001</v>
      </c>
      <c r="X184">
        <v>140.4</v>
      </c>
      <c r="Y184">
        <v>136.6</v>
      </c>
      <c r="Z184">
        <v>134.9</v>
      </c>
      <c r="AA184">
        <v>133.30000000000001</v>
      </c>
      <c r="AB184">
        <v>119.3</v>
      </c>
      <c r="AC184">
        <v>129.69999999999999</v>
      </c>
      <c r="AD184">
        <v>139</v>
      </c>
      <c r="AE184">
        <v>127.3</v>
      </c>
      <c r="AF184">
        <v>129.1</v>
      </c>
      <c r="AG184">
        <v>136.9</v>
      </c>
      <c r="AH184">
        <f t="shared" si="16"/>
        <v>1779.9</v>
      </c>
      <c r="AI184">
        <f t="shared" si="17"/>
        <v>136.6</v>
      </c>
      <c r="AJ184">
        <f t="shared" si="18"/>
        <v>119.3</v>
      </c>
      <c r="AK184">
        <f t="shared" si="19"/>
        <v>139</v>
      </c>
      <c r="AL184">
        <f t="shared" si="20"/>
        <v>1370.6999999999998</v>
      </c>
    </row>
    <row r="185" spans="1:38" x14ac:dyDescent="0.3">
      <c r="A185" t="s">
        <v>30</v>
      </c>
      <c r="B185" s="28">
        <f t="shared" si="14"/>
        <v>43132</v>
      </c>
      <c r="C185">
        <v>2018</v>
      </c>
      <c r="D185" t="s">
        <v>34</v>
      </c>
      <c r="E185" t="str">
        <f t="shared" si="15"/>
        <v>Feb-18</v>
      </c>
      <c r="F185">
        <f>VLOOKUP(D185,'Problem Statement 4'!$G$2:$H$13,2,0)</f>
        <v>2</v>
      </c>
      <c r="G185">
        <v>136.4</v>
      </c>
      <c r="H185">
        <v>143.69999999999999</v>
      </c>
      <c r="I185">
        <v>140.6</v>
      </c>
      <c r="J185">
        <v>141.5</v>
      </c>
      <c r="K185">
        <v>122.9</v>
      </c>
      <c r="L185">
        <v>149.4</v>
      </c>
      <c r="M185">
        <v>142.4</v>
      </c>
      <c r="N185">
        <v>130.19999999999999</v>
      </c>
      <c r="O185">
        <v>117.9</v>
      </c>
      <c r="P185">
        <v>135.6</v>
      </c>
      <c r="Q185">
        <v>130.5</v>
      </c>
      <c r="R185">
        <v>151.69999999999999</v>
      </c>
      <c r="S185">
        <v>138.69999999999999</v>
      </c>
      <c r="T185">
        <v>153.30000000000001</v>
      </c>
      <c r="U185">
        <v>148.69999999999999</v>
      </c>
      <c r="V185">
        <v>142.4</v>
      </c>
      <c r="W185">
        <v>147.80000000000001</v>
      </c>
      <c r="X185">
        <v>141.30000000000001</v>
      </c>
      <c r="Y185">
        <v>142.4</v>
      </c>
      <c r="Z185">
        <v>139.9</v>
      </c>
      <c r="AA185">
        <v>136.19999999999999</v>
      </c>
      <c r="AB185">
        <v>123.3</v>
      </c>
      <c r="AC185">
        <v>134.30000000000001</v>
      </c>
      <c r="AD185">
        <v>141.5</v>
      </c>
      <c r="AE185">
        <v>128.80000000000001</v>
      </c>
      <c r="AF185">
        <v>132.5</v>
      </c>
      <c r="AG185">
        <v>138.5</v>
      </c>
      <c r="AH185">
        <f t="shared" si="16"/>
        <v>1781.5</v>
      </c>
      <c r="AI185">
        <f t="shared" si="17"/>
        <v>142.4</v>
      </c>
      <c r="AJ185">
        <f t="shared" si="18"/>
        <v>123.3</v>
      </c>
      <c r="AK185">
        <f t="shared" si="19"/>
        <v>141.5</v>
      </c>
      <c r="AL185">
        <f t="shared" si="20"/>
        <v>1405.1999999999998</v>
      </c>
    </row>
    <row r="186" spans="1:38" x14ac:dyDescent="0.3">
      <c r="A186" t="s">
        <v>32</v>
      </c>
      <c r="B186" s="28">
        <f t="shared" si="14"/>
        <v>43132</v>
      </c>
      <c r="C186">
        <v>2018</v>
      </c>
      <c r="D186" t="s">
        <v>34</v>
      </c>
      <c r="E186" t="str">
        <f t="shared" si="15"/>
        <v>Feb-18</v>
      </c>
      <c r="F186">
        <f>VLOOKUP(D186,'Problem Statement 4'!$G$2:$H$13,2,0)</f>
        <v>2</v>
      </c>
      <c r="G186">
        <v>134.80000000000001</v>
      </c>
      <c r="H186">
        <v>143</v>
      </c>
      <c r="I186">
        <v>139.9</v>
      </c>
      <c r="J186">
        <v>139.9</v>
      </c>
      <c r="K186">
        <v>116.2</v>
      </c>
      <c r="L186">
        <v>135.5</v>
      </c>
      <c r="M186">
        <v>136.9</v>
      </c>
      <c r="N186">
        <v>117</v>
      </c>
      <c r="O186">
        <v>115.4</v>
      </c>
      <c r="P186">
        <v>140.69999999999999</v>
      </c>
      <c r="Q186">
        <v>125.9</v>
      </c>
      <c r="R186">
        <v>147.1</v>
      </c>
      <c r="S186">
        <v>135.6</v>
      </c>
      <c r="T186">
        <v>159.30000000000001</v>
      </c>
      <c r="U186">
        <v>136.30000000000001</v>
      </c>
      <c r="V186">
        <v>126.1</v>
      </c>
      <c r="W186">
        <v>134.69999999999999</v>
      </c>
      <c r="X186">
        <v>141.30000000000001</v>
      </c>
      <c r="Y186">
        <v>127.3</v>
      </c>
      <c r="Z186">
        <v>129.9</v>
      </c>
      <c r="AA186">
        <v>129.80000000000001</v>
      </c>
      <c r="AB186">
        <v>117.4</v>
      </c>
      <c r="AC186">
        <v>126.5</v>
      </c>
      <c r="AD186">
        <v>137.19999999999999</v>
      </c>
      <c r="AE186">
        <v>126.2</v>
      </c>
      <c r="AF186">
        <v>126.5</v>
      </c>
      <c r="AG186">
        <v>134</v>
      </c>
      <c r="AH186">
        <f t="shared" si="16"/>
        <v>1727.9</v>
      </c>
      <c r="AI186">
        <f t="shared" si="17"/>
        <v>127.3</v>
      </c>
      <c r="AJ186">
        <f t="shared" si="18"/>
        <v>117.4</v>
      </c>
      <c r="AK186">
        <f t="shared" si="19"/>
        <v>137.19999999999999</v>
      </c>
      <c r="AL186">
        <f t="shared" si="20"/>
        <v>1336.6000000000001</v>
      </c>
    </row>
    <row r="187" spans="1:38" x14ac:dyDescent="0.3">
      <c r="A187" t="s">
        <v>33</v>
      </c>
      <c r="B187" s="28">
        <f t="shared" si="14"/>
        <v>43132</v>
      </c>
      <c r="C187">
        <v>2018</v>
      </c>
      <c r="D187" t="s">
        <v>34</v>
      </c>
      <c r="E187" t="str">
        <f t="shared" si="15"/>
        <v>Feb-18</v>
      </c>
      <c r="F187">
        <f>VLOOKUP(D187,'Problem Statement 4'!$G$2:$H$13,2,0)</f>
        <v>2</v>
      </c>
      <c r="G187">
        <v>135.9</v>
      </c>
      <c r="H187">
        <v>143.5</v>
      </c>
      <c r="I187">
        <v>140.30000000000001</v>
      </c>
      <c r="J187">
        <v>140.9</v>
      </c>
      <c r="K187">
        <v>120.4</v>
      </c>
      <c r="L187">
        <v>142.9</v>
      </c>
      <c r="M187">
        <v>140.5</v>
      </c>
      <c r="N187">
        <v>125.8</v>
      </c>
      <c r="O187">
        <v>117.1</v>
      </c>
      <c r="P187">
        <v>137.30000000000001</v>
      </c>
      <c r="Q187">
        <v>128.6</v>
      </c>
      <c r="R187">
        <v>149.6</v>
      </c>
      <c r="S187">
        <v>137.6</v>
      </c>
      <c r="T187">
        <v>154.9</v>
      </c>
      <c r="U187">
        <v>143.80000000000001</v>
      </c>
      <c r="V187">
        <v>135.6</v>
      </c>
      <c r="W187">
        <v>142.6</v>
      </c>
      <c r="X187">
        <v>141.30000000000001</v>
      </c>
      <c r="Y187">
        <v>136.69999999999999</v>
      </c>
      <c r="Z187">
        <v>135.19999999999999</v>
      </c>
      <c r="AA187">
        <v>133.80000000000001</v>
      </c>
      <c r="AB187">
        <v>120.2</v>
      </c>
      <c r="AC187">
        <v>129.9</v>
      </c>
      <c r="AD187">
        <v>139</v>
      </c>
      <c r="AE187">
        <v>127.7</v>
      </c>
      <c r="AF187">
        <v>129.6</v>
      </c>
      <c r="AG187">
        <v>136.4</v>
      </c>
      <c r="AH187">
        <f t="shared" si="16"/>
        <v>1760.3999999999996</v>
      </c>
      <c r="AI187">
        <f t="shared" si="17"/>
        <v>136.69999999999999</v>
      </c>
      <c r="AJ187">
        <f t="shared" si="18"/>
        <v>120.2</v>
      </c>
      <c r="AK187">
        <f t="shared" si="19"/>
        <v>139</v>
      </c>
      <c r="AL187">
        <f t="shared" si="20"/>
        <v>1374.4</v>
      </c>
    </row>
    <row r="188" spans="1:38" x14ac:dyDescent="0.3">
      <c r="A188" t="s">
        <v>30</v>
      </c>
      <c r="B188" s="28">
        <f t="shared" si="14"/>
        <v>43160</v>
      </c>
      <c r="C188">
        <v>2018</v>
      </c>
      <c r="D188" t="s">
        <v>35</v>
      </c>
      <c r="E188" t="str">
        <f t="shared" si="15"/>
        <v>Mar-18</v>
      </c>
      <c r="F188">
        <f>VLOOKUP(D188,'Problem Statement 4'!$G$2:$H$13,2,0)</f>
        <v>3</v>
      </c>
      <c r="G188">
        <v>136.80000000000001</v>
      </c>
      <c r="H188">
        <v>143.80000000000001</v>
      </c>
      <c r="I188">
        <v>140</v>
      </c>
      <c r="J188">
        <v>142</v>
      </c>
      <c r="K188">
        <v>123.2</v>
      </c>
      <c r="L188">
        <v>152.9</v>
      </c>
      <c r="M188">
        <v>138</v>
      </c>
      <c r="N188">
        <v>129.30000000000001</v>
      </c>
      <c r="O188">
        <v>117.1</v>
      </c>
      <c r="P188">
        <v>136.30000000000001</v>
      </c>
      <c r="Q188">
        <v>131.19999999999999</v>
      </c>
      <c r="R188">
        <v>152.80000000000001</v>
      </c>
      <c r="S188">
        <v>138.6</v>
      </c>
      <c r="T188">
        <v>155.1</v>
      </c>
      <c r="U188">
        <v>149.19999999999999</v>
      </c>
      <c r="V188">
        <v>143</v>
      </c>
      <c r="W188">
        <v>148.30000000000001</v>
      </c>
      <c r="X188">
        <v>142</v>
      </c>
      <c r="Y188">
        <v>142.6</v>
      </c>
      <c r="Z188">
        <v>139.9</v>
      </c>
      <c r="AA188">
        <v>136.69999999999999</v>
      </c>
      <c r="AB188">
        <v>124.6</v>
      </c>
      <c r="AC188">
        <v>135.1</v>
      </c>
      <c r="AD188">
        <v>142.69999999999999</v>
      </c>
      <c r="AE188">
        <v>129.30000000000001</v>
      </c>
      <c r="AF188">
        <v>133.30000000000001</v>
      </c>
      <c r="AG188">
        <v>138.69999999999999</v>
      </c>
      <c r="AH188">
        <f t="shared" si="16"/>
        <v>1781.9999999999998</v>
      </c>
      <c r="AI188">
        <f t="shared" si="17"/>
        <v>142.6</v>
      </c>
      <c r="AJ188">
        <f t="shared" si="18"/>
        <v>124.6</v>
      </c>
      <c r="AK188">
        <f t="shared" si="19"/>
        <v>142.69999999999999</v>
      </c>
      <c r="AL188">
        <f t="shared" si="20"/>
        <v>1411.8999999999996</v>
      </c>
    </row>
    <row r="189" spans="1:38" x14ac:dyDescent="0.3">
      <c r="A189" t="s">
        <v>32</v>
      </c>
      <c r="B189" s="28">
        <f t="shared" si="14"/>
        <v>43160</v>
      </c>
      <c r="C189">
        <v>2018</v>
      </c>
      <c r="D189" t="s">
        <v>35</v>
      </c>
      <c r="E189" t="str">
        <f t="shared" si="15"/>
        <v>Mar-18</v>
      </c>
      <c r="F189">
        <f>VLOOKUP(D189,'Problem Statement 4'!$G$2:$H$13,2,0)</f>
        <v>3</v>
      </c>
      <c r="G189">
        <v>135</v>
      </c>
      <c r="H189">
        <v>143.1</v>
      </c>
      <c r="I189">
        <v>135.5</v>
      </c>
      <c r="J189">
        <v>139.9</v>
      </c>
      <c r="K189">
        <v>116.5</v>
      </c>
      <c r="L189">
        <v>138.5</v>
      </c>
      <c r="M189">
        <v>128</v>
      </c>
      <c r="N189">
        <v>115.5</v>
      </c>
      <c r="O189">
        <v>114.2</v>
      </c>
      <c r="P189">
        <v>140.69999999999999</v>
      </c>
      <c r="Q189">
        <v>126.2</v>
      </c>
      <c r="R189">
        <v>147.6</v>
      </c>
      <c r="S189">
        <v>134.80000000000001</v>
      </c>
      <c r="T189">
        <v>159.69999999999999</v>
      </c>
      <c r="U189">
        <v>136.69999999999999</v>
      </c>
      <c r="V189">
        <v>126.7</v>
      </c>
      <c r="W189">
        <v>135.19999999999999</v>
      </c>
      <c r="X189">
        <v>142</v>
      </c>
      <c r="Y189">
        <v>126.4</v>
      </c>
      <c r="Z189">
        <v>130.80000000000001</v>
      </c>
      <c r="AA189">
        <v>130.5</v>
      </c>
      <c r="AB189">
        <v>117.8</v>
      </c>
      <c r="AC189">
        <v>126.8</v>
      </c>
      <c r="AD189">
        <v>137.80000000000001</v>
      </c>
      <c r="AE189">
        <v>126.7</v>
      </c>
      <c r="AF189">
        <v>127.1</v>
      </c>
      <c r="AG189">
        <v>134</v>
      </c>
      <c r="AH189">
        <f t="shared" si="16"/>
        <v>1715.5</v>
      </c>
      <c r="AI189">
        <f t="shared" si="17"/>
        <v>126.4</v>
      </c>
      <c r="AJ189">
        <f t="shared" si="18"/>
        <v>117.8</v>
      </c>
      <c r="AK189">
        <f t="shared" si="19"/>
        <v>137.80000000000001</v>
      </c>
      <c r="AL189">
        <f t="shared" si="20"/>
        <v>1342.1999999999998</v>
      </c>
    </row>
    <row r="190" spans="1:38" x14ac:dyDescent="0.3">
      <c r="A190" t="s">
        <v>33</v>
      </c>
      <c r="B190" s="28">
        <f t="shared" si="14"/>
        <v>43160</v>
      </c>
      <c r="C190">
        <v>2018</v>
      </c>
      <c r="D190" t="s">
        <v>35</v>
      </c>
      <c r="E190" t="str">
        <f t="shared" si="15"/>
        <v>Mar-18</v>
      </c>
      <c r="F190">
        <f>VLOOKUP(D190,'Problem Statement 4'!$G$2:$H$13,2,0)</f>
        <v>3</v>
      </c>
      <c r="G190">
        <v>136.19999999999999</v>
      </c>
      <c r="H190">
        <v>143.6</v>
      </c>
      <c r="I190">
        <v>138.30000000000001</v>
      </c>
      <c r="J190">
        <v>141.19999999999999</v>
      </c>
      <c r="K190">
        <v>120.7</v>
      </c>
      <c r="L190">
        <v>146.19999999999999</v>
      </c>
      <c r="M190">
        <v>134.6</v>
      </c>
      <c r="N190">
        <v>124.6</v>
      </c>
      <c r="O190">
        <v>116.1</v>
      </c>
      <c r="P190">
        <v>137.80000000000001</v>
      </c>
      <c r="Q190">
        <v>129.1</v>
      </c>
      <c r="R190">
        <v>150.4</v>
      </c>
      <c r="S190">
        <v>137.19999999999999</v>
      </c>
      <c r="T190">
        <v>156.30000000000001</v>
      </c>
      <c r="U190">
        <v>144.30000000000001</v>
      </c>
      <c r="V190">
        <v>136.19999999999999</v>
      </c>
      <c r="W190">
        <v>143.1</v>
      </c>
      <c r="X190">
        <v>142</v>
      </c>
      <c r="Y190">
        <v>136.5</v>
      </c>
      <c r="Z190">
        <v>135.6</v>
      </c>
      <c r="AA190">
        <v>134.30000000000001</v>
      </c>
      <c r="AB190">
        <v>121</v>
      </c>
      <c r="AC190">
        <v>130.4</v>
      </c>
      <c r="AD190">
        <v>139.80000000000001</v>
      </c>
      <c r="AE190">
        <v>128.19999999999999</v>
      </c>
      <c r="AF190">
        <v>130.30000000000001</v>
      </c>
      <c r="AG190">
        <v>136.5</v>
      </c>
      <c r="AH190">
        <f t="shared" si="16"/>
        <v>1756</v>
      </c>
      <c r="AI190">
        <f t="shared" si="17"/>
        <v>136.5</v>
      </c>
      <c r="AJ190">
        <f t="shared" si="18"/>
        <v>121</v>
      </c>
      <c r="AK190">
        <f t="shared" si="19"/>
        <v>139.80000000000001</v>
      </c>
      <c r="AL190">
        <f t="shared" si="20"/>
        <v>1380.7</v>
      </c>
    </row>
    <row r="191" spans="1:38" x14ac:dyDescent="0.3">
      <c r="A191" t="s">
        <v>30</v>
      </c>
      <c r="B191" s="28">
        <f t="shared" si="14"/>
        <v>43191</v>
      </c>
      <c r="C191">
        <v>2018</v>
      </c>
      <c r="D191" t="s">
        <v>36</v>
      </c>
      <c r="E191" t="str">
        <f t="shared" si="15"/>
        <v>Apr-18</v>
      </c>
      <c r="F191">
        <f>VLOOKUP(D191,'Problem Statement 4'!$G$2:$H$13,2,0)</f>
        <v>4</v>
      </c>
      <c r="G191">
        <v>137.1</v>
      </c>
      <c r="H191">
        <v>144.5</v>
      </c>
      <c r="I191">
        <v>135.9</v>
      </c>
      <c r="J191">
        <v>142.4</v>
      </c>
      <c r="K191">
        <v>123.5</v>
      </c>
      <c r="L191">
        <v>156.4</v>
      </c>
      <c r="M191">
        <v>135.1</v>
      </c>
      <c r="N191">
        <v>128.4</v>
      </c>
      <c r="O191">
        <v>115.2</v>
      </c>
      <c r="P191">
        <v>137.19999999999999</v>
      </c>
      <c r="Q191">
        <v>131.9</v>
      </c>
      <c r="R191">
        <v>153.80000000000001</v>
      </c>
      <c r="S191">
        <v>138.6</v>
      </c>
      <c r="T191">
        <v>156.1</v>
      </c>
      <c r="U191">
        <v>150.1</v>
      </c>
      <c r="V191">
        <v>143.30000000000001</v>
      </c>
      <c r="W191">
        <v>149.1</v>
      </c>
      <c r="X191">
        <v>142.9</v>
      </c>
      <c r="Y191">
        <v>143.80000000000001</v>
      </c>
      <c r="Z191">
        <v>140.9</v>
      </c>
      <c r="AA191">
        <v>137.6</v>
      </c>
      <c r="AB191">
        <v>125.3</v>
      </c>
      <c r="AC191">
        <v>136</v>
      </c>
      <c r="AD191">
        <v>143.69999999999999</v>
      </c>
      <c r="AE191">
        <v>130.4</v>
      </c>
      <c r="AF191">
        <v>134.19999999999999</v>
      </c>
      <c r="AG191">
        <v>139.1</v>
      </c>
      <c r="AH191">
        <f t="shared" si="16"/>
        <v>1780</v>
      </c>
      <c r="AI191">
        <f t="shared" si="17"/>
        <v>143.80000000000001</v>
      </c>
      <c r="AJ191">
        <f t="shared" si="18"/>
        <v>125.3</v>
      </c>
      <c r="AK191">
        <f t="shared" si="19"/>
        <v>143.69999999999999</v>
      </c>
      <c r="AL191">
        <f t="shared" si="20"/>
        <v>1420.6000000000001</v>
      </c>
    </row>
    <row r="192" spans="1:38" x14ac:dyDescent="0.3">
      <c r="A192" t="s">
        <v>32</v>
      </c>
      <c r="B192" s="28">
        <f t="shared" si="14"/>
        <v>43191</v>
      </c>
      <c r="C192">
        <v>2018</v>
      </c>
      <c r="D192" t="s">
        <v>36</v>
      </c>
      <c r="E192" t="str">
        <f t="shared" si="15"/>
        <v>Apr-18</v>
      </c>
      <c r="F192">
        <f>VLOOKUP(D192,'Problem Statement 4'!$G$2:$H$13,2,0)</f>
        <v>4</v>
      </c>
      <c r="G192">
        <v>135</v>
      </c>
      <c r="H192">
        <v>144.30000000000001</v>
      </c>
      <c r="I192">
        <v>130.80000000000001</v>
      </c>
      <c r="J192">
        <v>140.30000000000001</v>
      </c>
      <c r="K192">
        <v>116.6</v>
      </c>
      <c r="L192">
        <v>150.1</v>
      </c>
      <c r="M192">
        <v>127.6</v>
      </c>
      <c r="N192">
        <v>114</v>
      </c>
      <c r="O192">
        <v>110.6</v>
      </c>
      <c r="P192">
        <v>140.19999999999999</v>
      </c>
      <c r="Q192">
        <v>126.5</v>
      </c>
      <c r="R192">
        <v>148.30000000000001</v>
      </c>
      <c r="S192">
        <v>135.69999999999999</v>
      </c>
      <c r="T192">
        <v>159.19999999999999</v>
      </c>
      <c r="U192">
        <v>137.80000000000001</v>
      </c>
      <c r="V192">
        <v>127.4</v>
      </c>
      <c r="W192">
        <v>136.19999999999999</v>
      </c>
      <c r="X192">
        <v>142.9</v>
      </c>
      <c r="Y192">
        <v>124.6</v>
      </c>
      <c r="Z192">
        <v>131.80000000000001</v>
      </c>
      <c r="AA192">
        <v>131.30000000000001</v>
      </c>
      <c r="AB192">
        <v>118.9</v>
      </c>
      <c r="AC192">
        <v>127.6</v>
      </c>
      <c r="AD192">
        <v>139.69999999999999</v>
      </c>
      <c r="AE192">
        <v>127.6</v>
      </c>
      <c r="AF192">
        <v>128.19999999999999</v>
      </c>
      <c r="AG192">
        <v>134.80000000000001</v>
      </c>
      <c r="AH192">
        <f t="shared" si="16"/>
        <v>1720.0000000000002</v>
      </c>
      <c r="AI192">
        <f t="shared" si="17"/>
        <v>124.6</v>
      </c>
      <c r="AJ192">
        <f t="shared" si="18"/>
        <v>118.9</v>
      </c>
      <c r="AK192">
        <f t="shared" si="19"/>
        <v>139.69999999999999</v>
      </c>
      <c r="AL192">
        <f t="shared" si="20"/>
        <v>1349.9999999999998</v>
      </c>
    </row>
    <row r="193" spans="1:38" x14ac:dyDescent="0.3">
      <c r="A193" t="s">
        <v>33</v>
      </c>
      <c r="B193" s="28">
        <f t="shared" si="14"/>
        <v>43191</v>
      </c>
      <c r="C193">
        <v>2018</v>
      </c>
      <c r="D193" t="s">
        <v>36</v>
      </c>
      <c r="E193" t="str">
        <f t="shared" si="15"/>
        <v>Apr-18</v>
      </c>
      <c r="F193">
        <f>VLOOKUP(D193,'Problem Statement 4'!$G$2:$H$13,2,0)</f>
        <v>4</v>
      </c>
      <c r="G193">
        <v>136.4</v>
      </c>
      <c r="H193">
        <v>144.4</v>
      </c>
      <c r="I193">
        <v>133.9</v>
      </c>
      <c r="J193">
        <v>141.6</v>
      </c>
      <c r="K193">
        <v>121</v>
      </c>
      <c r="L193">
        <v>153.5</v>
      </c>
      <c r="M193">
        <v>132.6</v>
      </c>
      <c r="N193">
        <v>123.5</v>
      </c>
      <c r="O193">
        <v>113.7</v>
      </c>
      <c r="P193">
        <v>138.19999999999999</v>
      </c>
      <c r="Q193">
        <v>129.6</v>
      </c>
      <c r="R193">
        <v>151.19999999999999</v>
      </c>
      <c r="S193">
        <v>137.5</v>
      </c>
      <c r="T193">
        <v>156.9</v>
      </c>
      <c r="U193">
        <v>145.30000000000001</v>
      </c>
      <c r="V193">
        <v>136.69999999999999</v>
      </c>
      <c r="W193">
        <v>144</v>
      </c>
      <c r="X193">
        <v>142.9</v>
      </c>
      <c r="Y193">
        <v>136.5</v>
      </c>
      <c r="Z193">
        <v>136.6</v>
      </c>
      <c r="AA193">
        <v>135.19999999999999</v>
      </c>
      <c r="AB193">
        <v>121.9</v>
      </c>
      <c r="AC193">
        <v>131.30000000000001</v>
      </c>
      <c r="AD193">
        <v>141.4</v>
      </c>
      <c r="AE193">
        <v>129.19999999999999</v>
      </c>
      <c r="AF193">
        <v>131.30000000000001</v>
      </c>
      <c r="AG193">
        <v>137.1</v>
      </c>
      <c r="AH193">
        <f t="shared" si="16"/>
        <v>1757.1000000000001</v>
      </c>
      <c r="AI193">
        <f t="shared" si="17"/>
        <v>136.5</v>
      </c>
      <c r="AJ193">
        <f t="shared" si="18"/>
        <v>121.9</v>
      </c>
      <c r="AK193">
        <f t="shared" si="19"/>
        <v>141.4</v>
      </c>
      <c r="AL193">
        <f t="shared" si="20"/>
        <v>1389.4</v>
      </c>
    </row>
    <row r="194" spans="1:38" x14ac:dyDescent="0.3">
      <c r="A194" t="s">
        <v>30</v>
      </c>
      <c r="B194" s="28">
        <f t="shared" si="14"/>
        <v>43221</v>
      </c>
      <c r="C194">
        <v>2018</v>
      </c>
      <c r="D194" t="s">
        <v>37</v>
      </c>
      <c r="E194" t="str">
        <f t="shared" si="15"/>
        <v>May-18</v>
      </c>
      <c r="F194">
        <f>VLOOKUP(D194,'Problem Statement 4'!$G$2:$H$13,2,0)</f>
        <v>5</v>
      </c>
      <c r="G194">
        <v>137.4</v>
      </c>
      <c r="H194">
        <v>145.69999999999999</v>
      </c>
      <c r="I194">
        <v>135.5</v>
      </c>
      <c r="J194">
        <v>142.9</v>
      </c>
      <c r="K194">
        <v>123.6</v>
      </c>
      <c r="L194">
        <v>157.5</v>
      </c>
      <c r="M194">
        <v>137.80000000000001</v>
      </c>
      <c r="N194">
        <v>127.2</v>
      </c>
      <c r="O194">
        <v>111.8</v>
      </c>
      <c r="P194">
        <v>137.4</v>
      </c>
      <c r="Q194">
        <v>132.19999999999999</v>
      </c>
      <c r="R194">
        <v>154.30000000000001</v>
      </c>
      <c r="S194">
        <v>139.1</v>
      </c>
      <c r="T194">
        <v>157</v>
      </c>
      <c r="U194">
        <v>150.80000000000001</v>
      </c>
      <c r="V194">
        <v>144.1</v>
      </c>
      <c r="W194">
        <v>149.80000000000001</v>
      </c>
      <c r="X194">
        <v>143.19999999999999</v>
      </c>
      <c r="Y194">
        <v>144.30000000000001</v>
      </c>
      <c r="Z194">
        <v>141.80000000000001</v>
      </c>
      <c r="AA194">
        <v>138.4</v>
      </c>
      <c r="AB194">
        <v>126.4</v>
      </c>
      <c r="AC194">
        <v>136.80000000000001</v>
      </c>
      <c r="AD194">
        <v>144.4</v>
      </c>
      <c r="AE194">
        <v>131.19999999999999</v>
      </c>
      <c r="AF194">
        <v>135.1</v>
      </c>
      <c r="AG194">
        <v>139.80000000000001</v>
      </c>
      <c r="AH194">
        <f t="shared" si="16"/>
        <v>1782.4</v>
      </c>
      <c r="AI194">
        <f t="shared" si="17"/>
        <v>144.30000000000001</v>
      </c>
      <c r="AJ194">
        <f t="shared" si="18"/>
        <v>126.4</v>
      </c>
      <c r="AK194">
        <f t="shared" si="19"/>
        <v>144.4</v>
      </c>
      <c r="AL194">
        <f t="shared" si="20"/>
        <v>1428.2</v>
      </c>
    </row>
    <row r="195" spans="1:38" x14ac:dyDescent="0.3">
      <c r="A195" t="s">
        <v>32</v>
      </c>
      <c r="B195" s="28">
        <f t="shared" ref="B195:B258" si="21">DATE(C195,F195,1)</f>
        <v>43221</v>
      </c>
      <c r="C195">
        <v>2018</v>
      </c>
      <c r="D195" t="s">
        <v>37</v>
      </c>
      <c r="E195" t="str">
        <f t="shared" ref="E195:E258" si="22">_xlfn.CONCAT(TEXT(B195,"mmm"),,"-",RIGHT(C195,2))</f>
        <v>May-18</v>
      </c>
      <c r="F195">
        <f>VLOOKUP(D195,'Problem Statement 4'!$G$2:$H$13,2,0)</f>
        <v>5</v>
      </c>
      <c r="G195">
        <v>135</v>
      </c>
      <c r="H195">
        <v>148.19999999999999</v>
      </c>
      <c r="I195">
        <v>130.5</v>
      </c>
      <c r="J195">
        <v>140.69999999999999</v>
      </c>
      <c r="K195">
        <v>116.4</v>
      </c>
      <c r="L195">
        <v>151.30000000000001</v>
      </c>
      <c r="M195">
        <v>131.4</v>
      </c>
      <c r="N195">
        <v>112.8</v>
      </c>
      <c r="O195">
        <v>105.3</v>
      </c>
      <c r="P195">
        <v>139.6</v>
      </c>
      <c r="Q195">
        <v>126.6</v>
      </c>
      <c r="R195">
        <v>148.69999999999999</v>
      </c>
      <c r="S195">
        <v>136.4</v>
      </c>
      <c r="T195">
        <v>160.30000000000001</v>
      </c>
      <c r="U195">
        <v>138.6</v>
      </c>
      <c r="V195">
        <v>127.9</v>
      </c>
      <c r="W195">
        <v>137</v>
      </c>
      <c r="X195">
        <v>143.19999999999999</v>
      </c>
      <c r="Y195">
        <v>124.7</v>
      </c>
      <c r="Z195">
        <v>132.5</v>
      </c>
      <c r="AA195">
        <v>132</v>
      </c>
      <c r="AB195">
        <v>119.8</v>
      </c>
      <c r="AC195">
        <v>128</v>
      </c>
      <c r="AD195">
        <v>140.4</v>
      </c>
      <c r="AE195">
        <v>128.1</v>
      </c>
      <c r="AF195">
        <v>128.9</v>
      </c>
      <c r="AG195">
        <v>135.4</v>
      </c>
      <c r="AH195">
        <f t="shared" ref="AH195:AH258" si="23">SUM(G195:S195)</f>
        <v>1722.8999999999999</v>
      </c>
      <c r="AI195">
        <f t="shared" ref="AI195:AI258" si="24">SUM(Y195)</f>
        <v>124.7</v>
      </c>
      <c r="AJ195">
        <f t="shared" ref="AJ195:AJ258" si="25">SUM(AB195)</f>
        <v>119.8</v>
      </c>
      <c r="AK195">
        <f t="shared" ref="AK195:AK258" si="26">SUM(AD195)</f>
        <v>140.4</v>
      </c>
      <c r="AL195">
        <f t="shared" ref="AL195:AL258" si="27">SUM(T195:X195,Z195:AA195,AC195,AE195:AF195)</f>
        <v>1356.5</v>
      </c>
    </row>
    <row r="196" spans="1:38" x14ac:dyDescent="0.3">
      <c r="A196" t="s">
        <v>33</v>
      </c>
      <c r="B196" s="28">
        <f t="shared" si="21"/>
        <v>43221</v>
      </c>
      <c r="C196">
        <v>2018</v>
      </c>
      <c r="D196" t="s">
        <v>37</v>
      </c>
      <c r="E196" t="str">
        <f t="shared" si="22"/>
        <v>May-18</v>
      </c>
      <c r="F196">
        <f>VLOOKUP(D196,'Problem Statement 4'!$G$2:$H$13,2,0)</f>
        <v>5</v>
      </c>
      <c r="G196">
        <v>136.6</v>
      </c>
      <c r="H196">
        <v>146.6</v>
      </c>
      <c r="I196">
        <v>133.6</v>
      </c>
      <c r="J196">
        <v>142.1</v>
      </c>
      <c r="K196">
        <v>121</v>
      </c>
      <c r="L196">
        <v>154.6</v>
      </c>
      <c r="M196">
        <v>135.6</v>
      </c>
      <c r="N196">
        <v>122.3</v>
      </c>
      <c r="O196">
        <v>109.6</v>
      </c>
      <c r="P196">
        <v>138.1</v>
      </c>
      <c r="Q196">
        <v>129.9</v>
      </c>
      <c r="R196">
        <v>151.69999999999999</v>
      </c>
      <c r="S196">
        <v>138.1</v>
      </c>
      <c r="T196">
        <v>157.9</v>
      </c>
      <c r="U196">
        <v>146</v>
      </c>
      <c r="V196">
        <v>137.4</v>
      </c>
      <c r="W196">
        <v>144.69999999999999</v>
      </c>
      <c r="X196">
        <v>143.19999999999999</v>
      </c>
      <c r="Y196">
        <v>136.9</v>
      </c>
      <c r="Z196">
        <v>137.4</v>
      </c>
      <c r="AA196">
        <v>136</v>
      </c>
      <c r="AB196">
        <v>122.9</v>
      </c>
      <c r="AC196">
        <v>131.80000000000001</v>
      </c>
      <c r="AD196">
        <v>142.1</v>
      </c>
      <c r="AE196">
        <v>129.9</v>
      </c>
      <c r="AF196">
        <v>132.1</v>
      </c>
      <c r="AG196">
        <v>137.80000000000001</v>
      </c>
      <c r="AH196">
        <f t="shared" si="23"/>
        <v>1759.8</v>
      </c>
      <c r="AI196">
        <f t="shared" si="24"/>
        <v>136.9</v>
      </c>
      <c r="AJ196">
        <f t="shared" si="25"/>
        <v>122.9</v>
      </c>
      <c r="AK196">
        <f t="shared" si="26"/>
        <v>142.1</v>
      </c>
      <c r="AL196">
        <f t="shared" si="27"/>
        <v>1396.4</v>
      </c>
    </row>
    <row r="197" spans="1:38" x14ac:dyDescent="0.3">
      <c r="A197" t="s">
        <v>30</v>
      </c>
      <c r="B197" s="28">
        <f t="shared" si="21"/>
        <v>43252</v>
      </c>
      <c r="C197">
        <v>2018</v>
      </c>
      <c r="D197" t="s">
        <v>38</v>
      </c>
      <c r="E197" t="str">
        <f t="shared" si="22"/>
        <v>Jun-18</v>
      </c>
      <c r="F197">
        <f>VLOOKUP(D197,'Problem Statement 4'!$G$2:$H$13,2,0)</f>
        <v>6</v>
      </c>
      <c r="G197">
        <v>137.6</v>
      </c>
      <c r="H197">
        <v>148.1</v>
      </c>
      <c r="I197">
        <v>136.69999999999999</v>
      </c>
      <c r="J197">
        <v>143.19999999999999</v>
      </c>
      <c r="K197">
        <v>124</v>
      </c>
      <c r="L197">
        <v>154.1</v>
      </c>
      <c r="M197">
        <v>143.5</v>
      </c>
      <c r="N197">
        <v>126</v>
      </c>
      <c r="O197">
        <v>112.4</v>
      </c>
      <c r="P197">
        <v>137.6</v>
      </c>
      <c r="Q197">
        <v>132.80000000000001</v>
      </c>
      <c r="R197">
        <v>154.30000000000001</v>
      </c>
      <c r="S197">
        <v>140</v>
      </c>
      <c r="T197">
        <v>157.30000000000001</v>
      </c>
      <c r="U197">
        <v>151.30000000000001</v>
      </c>
      <c r="V197">
        <v>144.69999999999999</v>
      </c>
      <c r="W197">
        <v>150.30000000000001</v>
      </c>
      <c r="X197">
        <v>142.5</v>
      </c>
      <c r="Y197">
        <v>145.1</v>
      </c>
      <c r="Z197">
        <v>142.19999999999999</v>
      </c>
      <c r="AA197">
        <v>138.4</v>
      </c>
      <c r="AB197">
        <v>127.4</v>
      </c>
      <c r="AC197">
        <v>137.80000000000001</v>
      </c>
      <c r="AD197">
        <v>145.1</v>
      </c>
      <c r="AE197">
        <v>131.4</v>
      </c>
      <c r="AF197">
        <v>135.6</v>
      </c>
      <c r="AG197">
        <v>140.5</v>
      </c>
      <c r="AH197">
        <f t="shared" si="23"/>
        <v>1790.2999999999997</v>
      </c>
      <c r="AI197">
        <f t="shared" si="24"/>
        <v>145.1</v>
      </c>
      <c r="AJ197">
        <f t="shared" si="25"/>
        <v>127.4</v>
      </c>
      <c r="AK197">
        <f t="shared" si="26"/>
        <v>145.1</v>
      </c>
      <c r="AL197">
        <f t="shared" si="27"/>
        <v>1431.5</v>
      </c>
    </row>
    <row r="198" spans="1:38" x14ac:dyDescent="0.3">
      <c r="A198" t="s">
        <v>32</v>
      </c>
      <c r="B198" s="28">
        <f t="shared" si="21"/>
        <v>43252</v>
      </c>
      <c r="C198">
        <v>2018</v>
      </c>
      <c r="D198" t="s">
        <v>38</v>
      </c>
      <c r="E198" t="str">
        <f t="shared" si="22"/>
        <v>Jun-18</v>
      </c>
      <c r="F198">
        <f>VLOOKUP(D198,'Problem Statement 4'!$G$2:$H$13,2,0)</f>
        <v>6</v>
      </c>
      <c r="G198">
        <v>135.30000000000001</v>
      </c>
      <c r="H198">
        <v>149.69999999999999</v>
      </c>
      <c r="I198">
        <v>133.9</v>
      </c>
      <c r="J198">
        <v>140.80000000000001</v>
      </c>
      <c r="K198">
        <v>116.6</v>
      </c>
      <c r="L198">
        <v>152.19999999999999</v>
      </c>
      <c r="M198">
        <v>144</v>
      </c>
      <c r="N198">
        <v>112.3</v>
      </c>
      <c r="O198">
        <v>108.4</v>
      </c>
      <c r="P198">
        <v>140</v>
      </c>
      <c r="Q198">
        <v>126.7</v>
      </c>
      <c r="R198">
        <v>149</v>
      </c>
      <c r="S198">
        <v>138.4</v>
      </c>
      <c r="T198">
        <v>161</v>
      </c>
      <c r="U198">
        <v>138.9</v>
      </c>
      <c r="V198">
        <v>128.69999999999999</v>
      </c>
      <c r="W198">
        <v>137.4</v>
      </c>
      <c r="X198">
        <v>142.5</v>
      </c>
      <c r="Y198">
        <v>126.5</v>
      </c>
      <c r="Z198">
        <v>133.1</v>
      </c>
      <c r="AA198">
        <v>132.6</v>
      </c>
      <c r="AB198">
        <v>120.4</v>
      </c>
      <c r="AC198">
        <v>128.5</v>
      </c>
      <c r="AD198">
        <v>141.19999999999999</v>
      </c>
      <c r="AE198">
        <v>128.19999999999999</v>
      </c>
      <c r="AF198">
        <v>129.5</v>
      </c>
      <c r="AG198">
        <v>136.19999999999999</v>
      </c>
      <c r="AH198">
        <f t="shared" si="23"/>
        <v>1747.3000000000002</v>
      </c>
      <c r="AI198">
        <f t="shared" si="24"/>
        <v>126.5</v>
      </c>
      <c r="AJ198">
        <f t="shared" si="25"/>
        <v>120.4</v>
      </c>
      <c r="AK198">
        <f t="shared" si="26"/>
        <v>141.19999999999999</v>
      </c>
      <c r="AL198">
        <f t="shared" si="27"/>
        <v>1360.4</v>
      </c>
    </row>
    <row r="199" spans="1:38" x14ac:dyDescent="0.3">
      <c r="A199" t="s">
        <v>33</v>
      </c>
      <c r="B199" s="28">
        <f t="shared" si="21"/>
        <v>43252</v>
      </c>
      <c r="C199">
        <v>2018</v>
      </c>
      <c r="D199" t="s">
        <v>38</v>
      </c>
      <c r="E199" t="str">
        <f t="shared" si="22"/>
        <v>Jun-18</v>
      </c>
      <c r="F199">
        <f>VLOOKUP(D199,'Problem Statement 4'!$G$2:$H$13,2,0)</f>
        <v>6</v>
      </c>
      <c r="G199">
        <v>136.9</v>
      </c>
      <c r="H199">
        <v>148.69999999999999</v>
      </c>
      <c r="I199">
        <v>135.6</v>
      </c>
      <c r="J199">
        <v>142.30000000000001</v>
      </c>
      <c r="K199">
        <v>121.3</v>
      </c>
      <c r="L199">
        <v>153.19999999999999</v>
      </c>
      <c r="M199">
        <v>143.69999999999999</v>
      </c>
      <c r="N199">
        <v>121.4</v>
      </c>
      <c r="O199">
        <v>111.1</v>
      </c>
      <c r="P199">
        <v>138.4</v>
      </c>
      <c r="Q199">
        <v>130.30000000000001</v>
      </c>
      <c r="R199">
        <v>151.80000000000001</v>
      </c>
      <c r="S199">
        <v>139.4</v>
      </c>
      <c r="T199">
        <v>158.30000000000001</v>
      </c>
      <c r="U199">
        <v>146.4</v>
      </c>
      <c r="V199">
        <v>138.1</v>
      </c>
      <c r="W199">
        <v>145.19999999999999</v>
      </c>
      <c r="X199">
        <v>142.5</v>
      </c>
      <c r="Y199">
        <v>138.1</v>
      </c>
      <c r="Z199">
        <v>137.9</v>
      </c>
      <c r="AA199">
        <v>136.19999999999999</v>
      </c>
      <c r="AB199">
        <v>123.7</v>
      </c>
      <c r="AC199">
        <v>132.6</v>
      </c>
      <c r="AD199">
        <v>142.80000000000001</v>
      </c>
      <c r="AE199">
        <v>130.1</v>
      </c>
      <c r="AF199">
        <v>132.6</v>
      </c>
      <c r="AG199">
        <v>138.5</v>
      </c>
      <c r="AH199">
        <f t="shared" si="23"/>
        <v>1774.1000000000001</v>
      </c>
      <c r="AI199">
        <f t="shared" si="24"/>
        <v>138.1</v>
      </c>
      <c r="AJ199">
        <f t="shared" si="25"/>
        <v>123.7</v>
      </c>
      <c r="AK199">
        <f t="shared" si="26"/>
        <v>142.80000000000001</v>
      </c>
      <c r="AL199">
        <f t="shared" si="27"/>
        <v>1399.8999999999996</v>
      </c>
    </row>
    <row r="200" spans="1:38" x14ac:dyDescent="0.3">
      <c r="A200" t="s">
        <v>30</v>
      </c>
      <c r="B200" s="28">
        <f t="shared" si="21"/>
        <v>43282</v>
      </c>
      <c r="C200">
        <v>2018</v>
      </c>
      <c r="D200" t="s">
        <v>39</v>
      </c>
      <c r="E200" t="str">
        <f t="shared" si="22"/>
        <v>Jul-18</v>
      </c>
      <c r="F200">
        <f>VLOOKUP(D200,'Problem Statement 4'!$G$2:$H$13,2,0)</f>
        <v>7</v>
      </c>
      <c r="G200">
        <v>138.4</v>
      </c>
      <c r="H200">
        <v>149.30000000000001</v>
      </c>
      <c r="I200">
        <v>139.30000000000001</v>
      </c>
      <c r="J200">
        <v>143.4</v>
      </c>
      <c r="K200">
        <v>124.1</v>
      </c>
      <c r="L200">
        <v>153.30000000000001</v>
      </c>
      <c r="M200">
        <v>154.19999999999999</v>
      </c>
      <c r="N200">
        <v>126.4</v>
      </c>
      <c r="O200">
        <v>114.3</v>
      </c>
      <c r="P200">
        <v>138.19999999999999</v>
      </c>
      <c r="Q200">
        <v>132.80000000000001</v>
      </c>
      <c r="R200">
        <v>154.80000000000001</v>
      </c>
      <c r="S200">
        <v>142</v>
      </c>
      <c r="T200">
        <v>156.1</v>
      </c>
      <c r="U200">
        <v>151.5</v>
      </c>
      <c r="V200">
        <v>145.1</v>
      </c>
      <c r="W200">
        <v>150.6</v>
      </c>
      <c r="X200">
        <v>143.6</v>
      </c>
      <c r="Y200">
        <v>146.80000000000001</v>
      </c>
      <c r="Z200">
        <v>143.1</v>
      </c>
      <c r="AA200">
        <v>139</v>
      </c>
      <c r="AB200">
        <v>127.5</v>
      </c>
      <c r="AC200">
        <v>138.4</v>
      </c>
      <c r="AD200">
        <v>145.80000000000001</v>
      </c>
      <c r="AE200">
        <v>131.4</v>
      </c>
      <c r="AF200">
        <v>136</v>
      </c>
      <c r="AG200">
        <v>141.80000000000001</v>
      </c>
      <c r="AH200">
        <f t="shared" si="23"/>
        <v>1810.5000000000002</v>
      </c>
      <c r="AI200">
        <f t="shared" si="24"/>
        <v>146.80000000000001</v>
      </c>
      <c r="AJ200">
        <f t="shared" si="25"/>
        <v>127.5</v>
      </c>
      <c r="AK200">
        <f t="shared" si="26"/>
        <v>145.80000000000001</v>
      </c>
      <c r="AL200">
        <f t="shared" si="27"/>
        <v>1434.8000000000002</v>
      </c>
    </row>
    <row r="201" spans="1:38" x14ac:dyDescent="0.3">
      <c r="A201" t="s">
        <v>32</v>
      </c>
      <c r="B201" s="28">
        <f t="shared" si="21"/>
        <v>43282</v>
      </c>
      <c r="C201">
        <v>2018</v>
      </c>
      <c r="D201" t="s">
        <v>39</v>
      </c>
      <c r="E201" t="str">
        <f t="shared" si="22"/>
        <v>Jul-18</v>
      </c>
      <c r="F201">
        <f>VLOOKUP(D201,'Problem Statement 4'!$G$2:$H$13,2,0)</f>
        <v>7</v>
      </c>
      <c r="G201">
        <v>135.6</v>
      </c>
      <c r="H201">
        <v>148.6</v>
      </c>
      <c r="I201">
        <v>139.1</v>
      </c>
      <c r="J201">
        <v>141</v>
      </c>
      <c r="K201">
        <v>116.7</v>
      </c>
      <c r="L201">
        <v>149.69999999999999</v>
      </c>
      <c r="M201">
        <v>159.19999999999999</v>
      </c>
      <c r="N201">
        <v>112.6</v>
      </c>
      <c r="O201">
        <v>111.8</v>
      </c>
      <c r="P201">
        <v>140.30000000000001</v>
      </c>
      <c r="Q201">
        <v>126.8</v>
      </c>
      <c r="R201">
        <v>149.4</v>
      </c>
      <c r="S201">
        <v>140.30000000000001</v>
      </c>
      <c r="T201">
        <v>161.4</v>
      </c>
      <c r="U201">
        <v>139.6</v>
      </c>
      <c r="V201">
        <v>128.9</v>
      </c>
      <c r="W201">
        <v>137.9</v>
      </c>
      <c r="X201">
        <v>143.6</v>
      </c>
      <c r="Y201">
        <v>128.1</v>
      </c>
      <c r="Z201">
        <v>133.6</v>
      </c>
      <c r="AA201">
        <v>133.6</v>
      </c>
      <c r="AB201">
        <v>120.1</v>
      </c>
      <c r="AC201">
        <v>129</v>
      </c>
      <c r="AD201">
        <v>144</v>
      </c>
      <c r="AE201">
        <v>128.19999999999999</v>
      </c>
      <c r="AF201">
        <v>130.19999999999999</v>
      </c>
      <c r="AG201">
        <v>137.5</v>
      </c>
      <c r="AH201">
        <f t="shared" si="23"/>
        <v>1771.1</v>
      </c>
      <c r="AI201">
        <f t="shared" si="24"/>
        <v>128.1</v>
      </c>
      <c r="AJ201">
        <f t="shared" si="25"/>
        <v>120.1</v>
      </c>
      <c r="AK201">
        <f t="shared" si="26"/>
        <v>144</v>
      </c>
      <c r="AL201">
        <f t="shared" si="27"/>
        <v>1366</v>
      </c>
    </row>
    <row r="202" spans="1:38" x14ac:dyDescent="0.3">
      <c r="A202" t="s">
        <v>33</v>
      </c>
      <c r="B202" s="28">
        <f t="shared" si="21"/>
        <v>43282</v>
      </c>
      <c r="C202">
        <v>2018</v>
      </c>
      <c r="D202" t="s">
        <v>39</v>
      </c>
      <c r="E202" t="str">
        <f t="shared" si="22"/>
        <v>Jul-18</v>
      </c>
      <c r="F202">
        <f>VLOOKUP(D202,'Problem Statement 4'!$G$2:$H$13,2,0)</f>
        <v>7</v>
      </c>
      <c r="G202">
        <v>137.5</v>
      </c>
      <c r="H202">
        <v>149.1</v>
      </c>
      <c r="I202">
        <v>139.19999999999999</v>
      </c>
      <c r="J202">
        <v>142.5</v>
      </c>
      <c r="K202">
        <v>121.4</v>
      </c>
      <c r="L202">
        <v>151.6</v>
      </c>
      <c r="M202">
        <v>155.9</v>
      </c>
      <c r="N202">
        <v>121.7</v>
      </c>
      <c r="O202">
        <v>113.5</v>
      </c>
      <c r="P202">
        <v>138.9</v>
      </c>
      <c r="Q202">
        <v>130.30000000000001</v>
      </c>
      <c r="R202">
        <v>152.30000000000001</v>
      </c>
      <c r="S202">
        <v>141.4</v>
      </c>
      <c r="T202">
        <v>157.5</v>
      </c>
      <c r="U202">
        <v>146.80000000000001</v>
      </c>
      <c r="V202">
        <v>138.4</v>
      </c>
      <c r="W202">
        <v>145.6</v>
      </c>
      <c r="X202">
        <v>143.6</v>
      </c>
      <c r="Y202">
        <v>139.69999999999999</v>
      </c>
      <c r="Z202">
        <v>138.6</v>
      </c>
      <c r="AA202">
        <v>137</v>
      </c>
      <c r="AB202">
        <v>123.6</v>
      </c>
      <c r="AC202">
        <v>133.1</v>
      </c>
      <c r="AD202">
        <v>144.69999999999999</v>
      </c>
      <c r="AE202">
        <v>130.1</v>
      </c>
      <c r="AF202">
        <v>133.19999999999999</v>
      </c>
      <c r="AG202">
        <v>139.80000000000001</v>
      </c>
      <c r="AH202">
        <f t="shared" si="23"/>
        <v>1795.3</v>
      </c>
      <c r="AI202">
        <f t="shared" si="24"/>
        <v>139.69999999999999</v>
      </c>
      <c r="AJ202">
        <f t="shared" si="25"/>
        <v>123.6</v>
      </c>
      <c r="AK202">
        <f t="shared" si="26"/>
        <v>144.69999999999999</v>
      </c>
      <c r="AL202">
        <f t="shared" si="27"/>
        <v>1403.9</v>
      </c>
    </row>
    <row r="203" spans="1:38" x14ac:dyDescent="0.3">
      <c r="A203" t="s">
        <v>30</v>
      </c>
      <c r="B203" s="28">
        <f t="shared" si="21"/>
        <v>43313</v>
      </c>
      <c r="C203">
        <v>2018</v>
      </c>
      <c r="D203" t="s">
        <v>40</v>
      </c>
      <c r="E203" t="str">
        <f t="shared" si="22"/>
        <v>Aug-18</v>
      </c>
      <c r="F203">
        <f>VLOOKUP(D203,'Problem Statement 4'!$G$2:$H$13,2,0)</f>
        <v>8</v>
      </c>
      <c r="G203">
        <v>139.19999999999999</v>
      </c>
      <c r="H203">
        <v>148.80000000000001</v>
      </c>
      <c r="I203">
        <v>139.1</v>
      </c>
      <c r="J203">
        <v>143.5</v>
      </c>
      <c r="K203">
        <v>125</v>
      </c>
      <c r="L203">
        <v>154.4</v>
      </c>
      <c r="M203">
        <v>156.30000000000001</v>
      </c>
      <c r="N203">
        <v>126.8</v>
      </c>
      <c r="O203">
        <v>115.4</v>
      </c>
      <c r="P203">
        <v>138.6</v>
      </c>
      <c r="Q203">
        <v>133.80000000000001</v>
      </c>
      <c r="R203">
        <v>155.19999999999999</v>
      </c>
      <c r="S203">
        <v>142.69999999999999</v>
      </c>
      <c r="T203">
        <v>156.4</v>
      </c>
      <c r="U203">
        <v>152.1</v>
      </c>
      <c r="V203">
        <v>145.80000000000001</v>
      </c>
      <c r="W203">
        <v>151.30000000000001</v>
      </c>
      <c r="X203">
        <v>144.6</v>
      </c>
      <c r="Y203">
        <v>147.69999999999999</v>
      </c>
      <c r="Z203">
        <v>143.80000000000001</v>
      </c>
      <c r="AA203">
        <v>139.4</v>
      </c>
      <c r="AB203">
        <v>128.30000000000001</v>
      </c>
      <c r="AC203">
        <v>138.6</v>
      </c>
      <c r="AD203">
        <v>146.9</v>
      </c>
      <c r="AE203">
        <v>131.30000000000001</v>
      </c>
      <c r="AF203">
        <v>136.6</v>
      </c>
      <c r="AG203">
        <v>142.5</v>
      </c>
      <c r="AH203">
        <f t="shared" si="23"/>
        <v>1818.8</v>
      </c>
      <c r="AI203">
        <f t="shared" si="24"/>
        <v>147.69999999999999</v>
      </c>
      <c r="AJ203">
        <f t="shared" si="25"/>
        <v>128.30000000000001</v>
      </c>
      <c r="AK203">
        <f t="shared" si="26"/>
        <v>146.9</v>
      </c>
      <c r="AL203">
        <f t="shared" si="27"/>
        <v>1439.8999999999999</v>
      </c>
    </row>
    <row r="204" spans="1:38" x14ac:dyDescent="0.3">
      <c r="A204" t="s">
        <v>32</v>
      </c>
      <c r="B204" s="28">
        <f t="shared" si="21"/>
        <v>43313</v>
      </c>
      <c r="C204">
        <v>2018</v>
      </c>
      <c r="D204" t="s">
        <v>40</v>
      </c>
      <c r="E204" t="str">
        <f t="shared" si="22"/>
        <v>Aug-18</v>
      </c>
      <c r="F204">
        <f>VLOOKUP(D204,'Problem Statement 4'!$G$2:$H$13,2,0)</f>
        <v>8</v>
      </c>
      <c r="G204">
        <v>136.5</v>
      </c>
      <c r="H204">
        <v>146.4</v>
      </c>
      <c r="I204">
        <v>136.6</v>
      </c>
      <c r="J204">
        <v>141.19999999999999</v>
      </c>
      <c r="K204">
        <v>117.4</v>
      </c>
      <c r="L204">
        <v>146.30000000000001</v>
      </c>
      <c r="M204">
        <v>157.30000000000001</v>
      </c>
      <c r="N204">
        <v>113.6</v>
      </c>
      <c r="O204">
        <v>113.3</v>
      </c>
      <c r="P204">
        <v>141.1</v>
      </c>
      <c r="Q204">
        <v>127.4</v>
      </c>
      <c r="R204">
        <v>150.4</v>
      </c>
      <c r="S204">
        <v>140.1</v>
      </c>
      <c r="T204">
        <v>162.1</v>
      </c>
      <c r="U204">
        <v>140</v>
      </c>
      <c r="V204">
        <v>129</v>
      </c>
      <c r="W204">
        <v>138.30000000000001</v>
      </c>
      <c r="X204">
        <v>144.6</v>
      </c>
      <c r="Y204">
        <v>129.80000000000001</v>
      </c>
      <c r="Z204">
        <v>134.4</v>
      </c>
      <c r="AA204">
        <v>134.9</v>
      </c>
      <c r="AB204">
        <v>120.7</v>
      </c>
      <c r="AC204">
        <v>129.80000000000001</v>
      </c>
      <c r="AD204">
        <v>145.30000000000001</v>
      </c>
      <c r="AE204">
        <v>128.30000000000001</v>
      </c>
      <c r="AF204">
        <v>131</v>
      </c>
      <c r="AG204">
        <v>138</v>
      </c>
      <c r="AH204">
        <f t="shared" si="23"/>
        <v>1767.6</v>
      </c>
      <c r="AI204">
        <f t="shared" si="24"/>
        <v>129.80000000000001</v>
      </c>
      <c r="AJ204">
        <f t="shared" si="25"/>
        <v>120.7</v>
      </c>
      <c r="AK204">
        <f t="shared" si="26"/>
        <v>145.30000000000001</v>
      </c>
      <c r="AL204">
        <f t="shared" si="27"/>
        <v>1372.4</v>
      </c>
    </row>
    <row r="205" spans="1:38" x14ac:dyDescent="0.3">
      <c r="A205" t="s">
        <v>33</v>
      </c>
      <c r="B205" s="28">
        <f t="shared" si="21"/>
        <v>43313</v>
      </c>
      <c r="C205">
        <v>2018</v>
      </c>
      <c r="D205" t="s">
        <v>40</v>
      </c>
      <c r="E205" t="str">
        <f t="shared" si="22"/>
        <v>Aug-18</v>
      </c>
      <c r="F205">
        <f>VLOOKUP(D205,'Problem Statement 4'!$G$2:$H$13,2,0)</f>
        <v>8</v>
      </c>
      <c r="G205">
        <v>138.30000000000001</v>
      </c>
      <c r="H205">
        <v>148</v>
      </c>
      <c r="I205">
        <v>138.1</v>
      </c>
      <c r="J205">
        <v>142.6</v>
      </c>
      <c r="K205">
        <v>122.2</v>
      </c>
      <c r="L205">
        <v>150.6</v>
      </c>
      <c r="M205">
        <v>156.6</v>
      </c>
      <c r="N205">
        <v>122.4</v>
      </c>
      <c r="O205">
        <v>114.7</v>
      </c>
      <c r="P205">
        <v>139.4</v>
      </c>
      <c r="Q205">
        <v>131.1</v>
      </c>
      <c r="R205">
        <v>153</v>
      </c>
      <c r="S205">
        <v>141.69999999999999</v>
      </c>
      <c r="T205">
        <v>157.9</v>
      </c>
      <c r="U205">
        <v>147.30000000000001</v>
      </c>
      <c r="V205">
        <v>138.80000000000001</v>
      </c>
      <c r="W205">
        <v>146.1</v>
      </c>
      <c r="X205">
        <v>144.6</v>
      </c>
      <c r="Y205">
        <v>140.9</v>
      </c>
      <c r="Z205">
        <v>139.4</v>
      </c>
      <c r="AA205">
        <v>137.69999999999999</v>
      </c>
      <c r="AB205">
        <v>124.3</v>
      </c>
      <c r="AC205">
        <v>133.6</v>
      </c>
      <c r="AD205">
        <v>146</v>
      </c>
      <c r="AE205">
        <v>130.1</v>
      </c>
      <c r="AF205">
        <v>133.9</v>
      </c>
      <c r="AG205">
        <v>140.4</v>
      </c>
      <c r="AH205">
        <f t="shared" si="23"/>
        <v>1798.7000000000003</v>
      </c>
      <c r="AI205">
        <f t="shared" si="24"/>
        <v>140.9</v>
      </c>
      <c r="AJ205">
        <f t="shared" si="25"/>
        <v>124.3</v>
      </c>
      <c r="AK205">
        <f t="shared" si="26"/>
        <v>146</v>
      </c>
      <c r="AL205">
        <f t="shared" si="27"/>
        <v>1409.3999999999999</v>
      </c>
    </row>
    <row r="206" spans="1:38" x14ac:dyDescent="0.3">
      <c r="A206" t="s">
        <v>30</v>
      </c>
      <c r="B206" s="28">
        <f t="shared" si="21"/>
        <v>43344</v>
      </c>
      <c r="C206">
        <v>2018</v>
      </c>
      <c r="D206" t="s">
        <v>41</v>
      </c>
      <c r="E206" t="str">
        <f t="shared" si="22"/>
        <v>Sep-18</v>
      </c>
      <c r="F206">
        <f>VLOOKUP(D206,'Problem Statement 4'!$G$2:$H$13,2,0)</f>
        <v>9</v>
      </c>
      <c r="G206">
        <v>139.4</v>
      </c>
      <c r="H206">
        <v>147.19999999999999</v>
      </c>
      <c r="I206">
        <v>136.6</v>
      </c>
      <c r="J206">
        <v>143.69999999999999</v>
      </c>
      <c r="K206">
        <v>124.6</v>
      </c>
      <c r="L206">
        <v>150.1</v>
      </c>
      <c r="M206">
        <v>149.4</v>
      </c>
      <c r="N206">
        <v>125.4</v>
      </c>
      <c r="O206">
        <v>114.4</v>
      </c>
      <c r="P206">
        <v>138.69999999999999</v>
      </c>
      <c r="Q206">
        <v>133.1</v>
      </c>
      <c r="R206">
        <v>155.9</v>
      </c>
      <c r="S206">
        <v>141.30000000000001</v>
      </c>
      <c r="T206">
        <v>157.69999999999999</v>
      </c>
      <c r="U206">
        <v>152.1</v>
      </c>
      <c r="V206">
        <v>146.1</v>
      </c>
      <c r="W206">
        <v>151.30000000000001</v>
      </c>
      <c r="X206">
        <v>145.30000000000001</v>
      </c>
      <c r="Y206">
        <v>149</v>
      </c>
      <c r="Z206">
        <v>144</v>
      </c>
      <c r="AA206">
        <v>140</v>
      </c>
      <c r="AB206">
        <v>129.9</v>
      </c>
      <c r="AC206">
        <v>140</v>
      </c>
      <c r="AD206">
        <v>147.6</v>
      </c>
      <c r="AE206">
        <v>132</v>
      </c>
      <c r="AF206">
        <v>137.4</v>
      </c>
      <c r="AG206">
        <v>142.1</v>
      </c>
      <c r="AH206">
        <f t="shared" si="23"/>
        <v>1799.8000000000002</v>
      </c>
      <c r="AI206">
        <f t="shared" si="24"/>
        <v>149</v>
      </c>
      <c r="AJ206">
        <f t="shared" si="25"/>
        <v>129.9</v>
      </c>
      <c r="AK206">
        <f t="shared" si="26"/>
        <v>147.6</v>
      </c>
      <c r="AL206">
        <f t="shared" si="27"/>
        <v>1445.9</v>
      </c>
    </row>
    <row r="207" spans="1:38" x14ac:dyDescent="0.3">
      <c r="A207" t="s">
        <v>32</v>
      </c>
      <c r="B207" s="28">
        <f t="shared" si="21"/>
        <v>43344</v>
      </c>
      <c r="C207">
        <v>2018</v>
      </c>
      <c r="D207" t="s">
        <v>41</v>
      </c>
      <c r="E207" t="str">
        <f t="shared" si="22"/>
        <v>Sep-18</v>
      </c>
      <c r="F207">
        <f>VLOOKUP(D207,'Problem Statement 4'!$G$2:$H$13,2,0)</f>
        <v>9</v>
      </c>
      <c r="G207">
        <v>137</v>
      </c>
      <c r="H207">
        <v>143.1</v>
      </c>
      <c r="I207">
        <v>132.80000000000001</v>
      </c>
      <c r="J207">
        <v>141.5</v>
      </c>
      <c r="K207">
        <v>117.8</v>
      </c>
      <c r="L207">
        <v>140</v>
      </c>
      <c r="M207">
        <v>151.30000000000001</v>
      </c>
      <c r="N207">
        <v>113.5</v>
      </c>
      <c r="O207">
        <v>112.3</v>
      </c>
      <c r="P207">
        <v>141.19999999999999</v>
      </c>
      <c r="Q207">
        <v>127.7</v>
      </c>
      <c r="R207">
        <v>151.30000000000001</v>
      </c>
      <c r="S207">
        <v>138.9</v>
      </c>
      <c r="T207">
        <v>163.30000000000001</v>
      </c>
      <c r="U207">
        <v>140.80000000000001</v>
      </c>
      <c r="V207">
        <v>129.30000000000001</v>
      </c>
      <c r="W207">
        <v>139.1</v>
      </c>
      <c r="X207">
        <v>145.30000000000001</v>
      </c>
      <c r="Y207">
        <v>131.19999999999999</v>
      </c>
      <c r="Z207">
        <v>134.9</v>
      </c>
      <c r="AA207">
        <v>135.69999999999999</v>
      </c>
      <c r="AB207">
        <v>122.5</v>
      </c>
      <c r="AC207">
        <v>130.19999999999999</v>
      </c>
      <c r="AD207">
        <v>145.19999999999999</v>
      </c>
      <c r="AE207">
        <v>129.30000000000001</v>
      </c>
      <c r="AF207">
        <v>131.9</v>
      </c>
      <c r="AG207">
        <v>138.1</v>
      </c>
      <c r="AH207">
        <f t="shared" si="23"/>
        <v>1748.4</v>
      </c>
      <c r="AI207">
        <f t="shared" si="24"/>
        <v>131.19999999999999</v>
      </c>
      <c r="AJ207">
        <f t="shared" si="25"/>
        <v>122.5</v>
      </c>
      <c r="AK207">
        <f t="shared" si="26"/>
        <v>145.19999999999999</v>
      </c>
      <c r="AL207">
        <f t="shared" si="27"/>
        <v>1379.8</v>
      </c>
    </row>
    <row r="208" spans="1:38" x14ac:dyDescent="0.3">
      <c r="A208" t="s">
        <v>33</v>
      </c>
      <c r="B208" s="28">
        <f t="shared" si="21"/>
        <v>43344</v>
      </c>
      <c r="C208">
        <v>2018</v>
      </c>
      <c r="D208" t="s">
        <v>41</v>
      </c>
      <c r="E208" t="str">
        <f t="shared" si="22"/>
        <v>Sep-18</v>
      </c>
      <c r="F208">
        <f>VLOOKUP(D208,'Problem Statement 4'!$G$2:$H$13,2,0)</f>
        <v>9</v>
      </c>
      <c r="G208">
        <v>138.6</v>
      </c>
      <c r="H208">
        <v>145.80000000000001</v>
      </c>
      <c r="I208">
        <v>135.1</v>
      </c>
      <c r="J208">
        <v>142.9</v>
      </c>
      <c r="K208">
        <v>122.1</v>
      </c>
      <c r="L208">
        <v>145.4</v>
      </c>
      <c r="M208">
        <v>150</v>
      </c>
      <c r="N208">
        <v>121.4</v>
      </c>
      <c r="O208">
        <v>113.7</v>
      </c>
      <c r="P208">
        <v>139.5</v>
      </c>
      <c r="Q208">
        <v>130.80000000000001</v>
      </c>
      <c r="R208">
        <v>153.80000000000001</v>
      </c>
      <c r="S208">
        <v>140.4</v>
      </c>
      <c r="T208">
        <v>159.19999999999999</v>
      </c>
      <c r="U208">
        <v>147.69999999999999</v>
      </c>
      <c r="V208">
        <v>139.1</v>
      </c>
      <c r="W208">
        <v>146.5</v>
      </c>
      <c r="X208">
        <v>145.30000000000001</v>
      </c>
      <c r="Y208">
        <v>142.30000000000001</v>
      </c>
      <c r="Z208">
        <v>139.69999999999999</v>
      </c>
      <c r="AA208">
        <v>138.4</v>
      </c>
      <c r="AB208">
        <v>126</v>
      </c>
      <c r="AC208">
        <v>134.5</v>
      </c>
      <c r="AD208">
        <v>146.19999999999999</v>
      </c>
      <c r="AE208">
        <v>130.9</v>
      </c>
      <c r="AF208">
        <v>134.69999999999999</v>
      </c>
      <c r="AG208">
        <v>140.19999999999999</v>
      </c>
      <c r="AH208">
        <f t="shared" si="23"/>
        <v>1779.5</v>
      </c>
      <c r="AI208">
        <f t="shared" si="24"/>
        <v>142.30000000000001</v>
      </c>
      <c r="AJ208">
        <f t="shared" si="25"/>
        <v>126</v>
      </c>
      <c r="AK208">
        <f t="shared" si="26"/>
        <v>146.19999999999999</v>
      </c>
      <c r="AL208">
        <f t="shared" si="27"/>
        <v>1416.0000000000002</v>
      </c>
    </row>
    <row r="209" spans="1:38" x14ac:dyDescent="0.3">
      <c r="A209" t="s">
        <v>30</v>
      </c>
      <c r="B209" s="28">
        <f t="shared" si="21"/>
        <v>43374</v>
      </c>
      <c r="C209">
        <v>2018</v>
      </c>
      <c r="D209" t="s">
        <v>42</v>
      </c>
      <c r="E209" t="str">
        <f t="shared" si="22"/>
        <v>Oct-18</v>
      </c>
      <c r="F209">
        <f>VLOOKUP(D209,'Problem Statement 4'!$G$2:$H$13,2,0)</f>
        <v>10</v>
      </c>
      <c r="G209">
        <v>139.30000000000001</v>
      </c>
      <c r="H209">
        <v>147.6</v>
      </c>
      <c r="I209">
        <v>134.6</v>
      </c>
      <c r="J209">
        <v>141.9</v>
      </c>
      <c r="K209">
        <v>123.5</v>
      </c>
      <c r="L209">
        <v>144.5</v>
      </c>
      <c r="M209">
        <v>147.6</v>
      </c>
      <c r="N209">
        <v>121.4</v>
      </c>
      <c r="O209">
        <v>112.3</v>
      </c>
      <c r="P209">
        <v>139.5</v>
      </c>
      <c r="Q209">
        <v>134.6</v>
      </c>
      <c r="R209">
        <v>155.19999999999999</v>
      </c>
      <c r="S209">
        <v>140.19999999999999</v>
      </c>
      <c r="T209">
        <v>159.6</v>
      </c>
      <c r="U209">
        <v>150.69999999999999</v>
      </c>
      <c r="V209">
        <v>144.5</v>
      </c>
      <c r="W209">
        <v>149.80000000000001</v>
      </c>
      <c r="X209">
        <v>146.30000000000001</v>
      </c>
      <c r="Y209">
        <v>149.69999999999999</v>
      </c>
      <c r="Z209">
        <v>147.5</v>
      </c>
      <c r="AA209">
        <v>144.80000000000001</v>
      </c>
      <c r="AB209">
        <v>130.80000000000001</v>
      </c>
      <c r="AC209">
        <v>140.1</v>
      </c>
      <c r="AD209">
        <v>148</v>
      </c>
      <c r="AE209">
        <v>134.4</v>
      </c>
      <c r="AF209">
        <v>139.80000000000001</v>
      </c>
      <c r="AG209">
        <v>142.19999999999999</v>
      </c>
      <c r="AH209">
        <f t="shared" si="23"/>
        <v>1782.2</v>
      </c>
      <c r="AI209">
        <f t="shared" si="24"/>
        <v>149.69999999999999</v>
      </c>
      <c r="AJ209">
        <f t="shared" si="25"/>
        <v>130.80000000000001</v>
      </c>
      <c r="AK209">
        <f t="shared" si="26"/>
        <v>148</v>
      </c>
      <c r="AL209">
        <f t="shared" si="27"/>
        <v>1457.4999999999998</v>
      </c>
    </row>
    <row r="210" spans="1:38" x14ac:dyDescent="0.3">
      <c r="A210" t="s">
        <v>32</v>
      </c>
      <c r="B210" s="28">
        <f t="shared" si="21"/>
        <v>43374</v>
      </c>
      <c r="C210">
        <v>2018</v>
      </c>
      <c r="D210" t="s">
        <v>42</v>
      </c>
      <c r="E210" t="str">
        <f t="shared" si="22"/>
        <v>Oct-18</v>
      </c>
      <c r="F210">
        <f>VLOOKUP(D210,'Problem Statement 4'!$G$2:$H$13,2,0)</f>
        <v>10</v>
      </c>
      <c r="G210">
        <v>137.6</v>
      </c>
      <c r="H210">
        <v>144.9</v>
      </c>
      <c r="I210">
        <v>133.5</v>
      </c>
      <c r="J210">
        <v>141.5</v>
      </c>
      <c r="K210">
        <v>118</v>
      </c>
      <c r="L210">
        <v>139.5</v>
      </c>
      <c r="M210">
        <v>153</v>
      </c>
      <c r="N210">
        <v>113.2</v>
      </c>
      <c r="O210">
        <v>112.8</v>
      </c>
      <c r="P210">
        <v>141.1</v>
      </c>
      <c r="Q210">
        <v>127.6</v>
      </c>
      <c r="R210">
        <v>152</v>
      </c>
      <c r="S210">
        <v>139.4</v>
      </c>
      <c r="T210">
        <v>164</v>
      </c>
      <c r="U210">
        <v>141.5</v>
      </c>
      <c r="V210">
        <v>129.80000000000001</v>
      </c>
      <c r="W210">
        <v>139.69999999999999</v>
      </c>
      <c r="X210">
        <v>146.30000000000001</v>
      </c>
      <c r="Y210">
        <v>133.4</v>
      </c>
      <c r="Z210">
        <v>135.1</v>
      </c>
      <c r="AA210">
        <v>136.19999999999999</v>
      </c>
      <c r="AB210">
        <v>123.3</v>
      </c>
      <c r="AC210">
        <v>130.69999999999999</v>
      </c>
      <c r="AD210">
        <v>145.5</v>
      </c>
      <c r="AE210">
        <v>130.4</v>
      </c>
      <c r="AF210">
        <v>132.5</v>
      </c>
      <c r="AG210">
        <v>138.9</v>
      </c>
      <c r="AH210">
        <f t="shared" si="23"/>
        <v>1754.1</v>
      </c>
      <c r="AI210">
        <f t="shared" si="24"/>
        <v>133.4</v>
      </c>
      <c r="AJ210">
        <f t="shared" si="25"/>
        <v>123.3</v>
      </c>
      <c r="AK210">
        <f t="shared" si="26"/>
        <v>145.5</v>
      </c>
      <c r="AL210">
        <f t="shared" si="27"/>
        <v>1386.2</v>
      </c>
    </row>
    <row r="211" spans="1:38" x14ac:dyDescent="0.3">
      <c r="A211" t="s">
        <v>33</v>
      </c>
      <c r="B211" s="28">
        <f t="shared" si="21"/>
        <v>43374</v>
      </c>
      <c r="C211">
        <v>2018</v>
      </c>
      <c r="D211" t="s">
        <v>42</v>
      </c>
      <c r="E211" t="str">
        <f t="shared" si="22"/>
        <v>Oct-18</v>
      </c>
      <c r="F211">
        <f>VLOOKUP(D211,'Problem Statement 4'!$G$2:$H$13,2,0)</f>
        <v>10</v>
      </c>
      <c r="G211">
        <v>137.4</v>
      </c>
      <c r="H211">
        <v>149.5</v>
      </c>
      <c r="I211">
        <v>137.30000000000001</v>
      </c>
      <c r="J211">
        <v>141.9</v>
      </c>
      <c r="K211">
        <v>121.1</v>
      </c>
      <c r="L211">
        <v>142.5</v>
      </c>
      <c r="M211">
        <v>146.69999999999999</v>
      </c>
      <c r="N211">
        <v>119.1</v>
      </c>
      <c r="O211">
        <v>111.9</v>
      </c>
      <c r="P211">
        <v>141</v>
      </c>
      <c r="Q211">
        <v>133.6</v>
      </c>
      <c r="R211">
        <v>154.5</v>
      </c>
      <c r="S211">
        <v>139.69999999999999</v>
      </c>
      <c r="T211">
        <v>162.6</v>
      </c>
      <c r="U211">
        <v>148</v>
      </c>
      <c r="V211">
        <v>139.19999999999999</v>
      </c>
      <c r="W211">
        <v>146.80000000000001</v>
      </c>
      <c r="X211">
        <v>146.9</v>
      </c>
      <c r="Y211">
        <v>145.30000000000001</v>
      </c>
      <c r="Z211">
        <v>142.19999999999999</v>
      </c>
      <c r="AA211">
        <v>142.1</v>
      </c>
      <c r="AB211">
        <v>125.5</v>
      </c>
      <c r="AC211">
        <v>136.5</v>
      </c>
      <c r="AD211">
        <v>147.80000000000001</v>
      </c>
      <c r="AE211">
        <v>132</v>
      </c>
      <c r="AF211">
        <v>136.30000000000001</v>
      </c>
      <c r="AG211">
        <v>140.80000000000001</v>
      </c>
      <c r="AH211">
        <f t="shared" si="23"/>
        <v>1776.2</v>
      </c>
      <c r="AI211">
        <f t="shared" si="24"/>
        <v>145.30000000000001</v>
      </c>
      <c r="AJ211">
        <f t="shared" si="25"/>
        <v>125.5</v>
      </c>
      <c r="AK211">
        <f t="shared" si="26"/>
        <v>147.80000000000001</v>
      </c>
      <c r="AL211">
        <f t="shared" si="27"/>
        <v>1432.6</v>
      </c>
    </row>
    <row r="212" spans="1:38" x14ac:dyDescent="0.3">
      <c r="A212" t="s">
        <v>30</v>
      </c>
      <c r="B212" s="28">
        <f t="shared" si="21"/>
        <v>43405</v>
      </c>
      <c r="C212">
        <v>2018</v>
      </c>
      <c r="D212" t="s">
        <v>44</v>
      </c>
      <c r="E212" t="str">
        <f t="shared" si="22"/>
        <v>Nov-18</v>
      </c>
      <c r="F212">
        <f>VLOOKUP(D212,'Problem Statement 4'!$G$2:$H$13,2,0)</f>
        <v>11</v>
      </c>
      <c r="G212">
        <v>137.1</v>
      </c>
      <c r="H212">
        <v>150.80000000000001</v>
      </c>
      <c r="I212">
        <v>136.69999999999999</v>
      </c>
      <c r="J212">
        <v>141.9</v>
      </c>
      <c r="K212">
        <v>122.8</v>
      </c>
      <c r="L212">
        <v>143.9</v>
      </c>
      <c r="M212">
        <v>147.5</v>
      </c>
      <c r="N212">
        <v>121</v>
      </c>
      <c r="O212">
        <v>111.6</v>
      </c>
      <c r="P212">
        <v>140.6</v>
      </c>
      <c r="Q212">
        <v>137.5</v>
      </c>
      <c r="R212">
        <v>156.1</v>
      </c>
      <c r="S212">
        <v>140</v>
      </c>
      <c r="T212">
        <v>161.9</v>
      </c>
      <c r="U212">
        <v>151.69999999999999</v>
      </c>
      <c r="V212">
        <v>145.5</v>
      </c>
      <c r="W212">
        <v>150.80000000000001</v>
      </c>
      <c r="X212">
        <v>146.9</v>
      </c>
      <c r="Y212">
        <v>150.30000000000001</v>
      </c>
      <c r="Z212">
        <v>148</v>
      </c>
      <c r="AA212">
        <v>145.4</v>
      </c>
      <c r="AB212">
        <v>130.30000000000001</v>
      </c>
      <c r="AC212">
        <v>143.1</v>
      </c>
      <c r="AD212">
        <v>150.19999999999999</v>
      </c>
      <c r="AE212">
        <v>133.1</v>
      </c>
      <c r="AF212">
        <v>140.1</v>
      </c>
      <c r="AG212">
        <v>142.4</v>
      </c>
      <c r="AH212">
        <f t="shared" si="23"/>
        <v>1787.4999999999995</v>
      </c>
      <c r="AI212">
        <f t="shared" si="24"/>
        <v>150.30000000000001</v>
      </c>
      <c r="AJ212">
        <f t="shared" si="25"/>
        <v>130.30000000000001</v>
      </c>
      <c r="AK212">
        <f t="shared" si="26"/>
        <v>150.19999999999999</v>
      </c>
      <c r="AL212">
        <f t="shared" si="27"/>
        <v>1466.4999999999998</v>
      </c>
    </row>
    <row r="213" spans="1:38" x14ac:dyDescent="0.3">
      <c r="A213" t="s">
        <v>32</v>
      </c>
      <c r="B213" s="28">
        <f t="shared" si="21"/>
        <v>43405</v>
      </c>
      <c r="C213">
        <v>2018</v>
      </c>
      <c r="D213" t="s">
        <v>44</v>
      </c>
      <c r="E213" t="str">
        <f t="shared" si="22"/>
        <v>Nov-18</v>
      </c>
      <c r="F213">
        <f>VLOOKUP(D213,'Problem Statement 4'!$G$2:$H$13,2,0)</f>
        <v>11</v>
      </c>
      <c r="G213">
        <v>138.1</v>
      </c>
      <c r="H213">
        <v>146.30000000000001</v>
      </c>
      <c r="I213">
        <v>137.80000000000001</v>
      </c>
      <c r="J213">
        <v>141.6</v>
      </c>
      <c r="K213">
        <v>118.1</v>
      </c>
      <c r="L213">
        <v>141.5</v>
      </c>
      <c r="M213">
        <v>145.19999999999999</v>
      </c>
      <c r="N213">
        <v>115.3</v>
      </c>
      <c r="O213">
        <v>112.5</v>
      </c>
      <c r="P213">
        <v>141.4</v>
      </c>
      <c r="Q213">
        <v>128</v>
      </c>
      <c r="R213">
        <v>152.6</v>
      </c>
      <c r="S213">
        <v>139.1</v>
      </c>
      <c r="T213">
        <v>164.4</v>
      </c>
      <c r="U213">
        <v>142.4</v>
      </c>
      <c r="V213">
        <v>130.19999999999999</v>
      </c>
      <c r="W213">
        <v>140.5</v>
      </c>
      <c r="X213">
        <v>146.9</v>
      </c>
      <c r="Y213">
        <v>136.69999999999999</v>
      </c>
      <c r="Z213">
        <v>135.80000000000001</v>
      </c>
      <c r="AA213">
        <v>136.80000000000001</v>
      </c>
      <c r="AB213">
        <v>121.2</v>
      </c>
      <c r="AC213">
        <v>131.30000000000001</v>
      </c>
      <c r="AD213">
        <v>146.1</v>
      </c>
      <c r="AE213">
        <v>130.5</v>
      </c>
      <c r="AF213">
        <v>132.19999999999999</v>
      </c>
      <c r="AG213">
        <v>139</v>
      </c>
      <c r="AH213">
        <f t="shared" si="23"/>
        <v>1757.4999999999998</v>
      </c>
      <c r="AI213">
        <f t="shared" si="24"/>
        <v>136.69999999999999</v>
      </c>
      <c r="AJ213">
        <f t="shared" si="25"/>
        <v>121.2</v>
      </c>
      <c r="AK213">
        <f t="shared" si="26"/>
        <v>146.1</v>
      </c>
      <c r="AL213">
        <f t="shared" si="27"/>
        <v>1391</v>
      </c>
    </row>
    <row r="214" spans="1:38" x14ac:dyDescent="0.3">
      <c r="A214" t="s">
        <v>33</v>
      </c>
      <c r="B214" s="28">
        <f t="shared" si="21"/>
        <v>43405</v>
      </c>
      <c r="C214">
        <v>2018</v>
      </c>
      <c r="D214" t="s">
        <v>44</v>
      </c>
      <c r="E214" t="str">
        <f t="shared" si="22"/>
        <v>Nov-18</v>
      </c>
      <c r="F214">
        <f>VLOOKUP(D214,'Problem Statement 4'!$G$2:$H$13,2,0)</f>
        <v>11</v>
      </c>
      <c r="G214">
        <v>137.4</v>
      </c>
      <c r="H214">
        <v>149.19999999999999</v>
      </c>
      <c r="I214">
        <v>137.1</v>
      </c>
      <c r="J214">
        <v>141.80000000000001</v>
      </c>
      <c r="K214">
        <v>121.1</v>
      </c>
      <c r="L214">
        <v>142.80000000000001</v>
      </c>
      <c r="M214">
        <v>146.69999999999999</v>
      </c>
      <c r="N214">
        <v>119.1</v>
      </c>
      <c r="O214">
        <v>111.9</v>
      </c>
      <c r="P214">
        <v>140.9</v>
      </c>
      <c r="Q214">
        <v>133.5</v>
      </c>
      <c r="R214">
        <v>154.5</v>
      </c>
      <c r="S214">
        <v>139.69999999999999</v>
      </c>
      <c r="T214">
        <v>162.6</v>
      </c>
      <c r="U214">
        <v>148</v>
      </c>
      <c r="V214">
        <v>139.1</v>
      </c>
      <c r="W214">
        <v>146.69999999999999</v>
      </c>
      <c r="X214">
        <v>146.9</v>
      </c>
      <c r="Y214">
        <v>145.1</v>
      </c>
      <c r="Z214">
        <v>142.19999999999999</v>
      </c>
      <c r="AA214">
        <v>142.1</v>
      </c>
      <c r="AB214">
        <v>125.5</v>
      </c>
      <c r="AC214">
        <v>136.5</v>
      </c>
      <c r="AD214">
        <v>147.80000000000001</v>
      </c>
      <c r="AE214">
        <v>132</v>
      </c>
      <c r="AF214">
        <v>136.30000000000001</v>
      </c>
      <c r="AG214">
        <v>140.80000000000001</v>
      </c>
      <c r="AH214">
        <f t="shared" si="23"/>
        <v>1775.7000000000003</v>
      </c>
      <c r="AI214">
        <f t="shared" si="24"/>
        <v>145.1</v>
      </c>
      <c r="AJ214">
        <f t="shared" si="25"/>
        <v>125.5</v>
      </c>
      <c r="AK214">
        <f t="shared" si="26"/>
        <v>147.80000000000001</v>
      </c>
      <c r="AL214">
        <f t="shared" si="27"/>
        <v>1432.3999999999999</v>
      </c>
    </row>
    <row r="215" spans="1:38" x14ac:dyDescent="0.3">
      <c r="A215" t="s">
        <v>30</v>
      </c>
      <c r="B215" s="28">
        <f t="shared" si="21"/>
        <v>43435</v>
      </c>
      <c r="C215">
        <v>2018</v>
      </c>
      <c r="D215" t="s">
        <v>45</v>
      </c>
      <c r="E215" t="str">
        <f t="shared" si="22"/>
        <v>Dec-18</v>
      </c>
      <c r="F215">
        <f>VLOOKUP(D215,'Problem Statement 4'!$G$2:$H$13,2,0)</f>
        <v>12</v>
      </c>
      <c r="G215">
        <v>137.1</v>
      </c>
      <c r="H215">
        <v>151.9</v>
      </c>
      <c r="I215">
        <v>137.4</v>
      </c>
      <c r="J215">
        <v>142.4</v>
      </c>
      <c r="K215">
        <v>124.2</v>
      </c>
      <c r="L215">
        <v>140.19999999999999</v>
      </c>
      <c r="M215">
        <v>136.6</v>
      </c>
      <c r="N215">
        <v>120.9</v>
      </c>
      <c r="O215">
        <v>109.9</v>
      </c>
      <c r="P215">
        <v>140.19999999999999</v>
      </c>
      <c r="Q215">
        <v>137.80000000000001</v>
      </c>
      <c r="R215">
        <v>156</v>
      </c>
      <c r="S215">
        <v>138.5</v>
      </c>
      <c r="T215">
        <v>162.4</v>
      </c>
      <c r="U215">
        <v>151.6</v>
      </c>
      <c r="V215">
        <v>145.9</v>
      </c>
      <c r="W215">
        <v>150.80000000000001</v>
      </c>
      <c r="X215">
        <v>146.5</v>
      </c>
      <c r="Y215">
        <v>149</v>
      </c>
      <c r="Z215">
        <v>149.5</v>
      </c>
      <c r="AA215">
        <v>149.6</v>
      </c>
      <c r="AB215">
        <v>128.9</v>
      </c>
      <c r="AC215">
        <v>143.30000000000001</v>
      </c>
      <c r="AD215">
        <v>155.1</v>
      </c>
      <c r="AE215">
        <v>133.19999999999999</v>
      </c>
      <c r="AF215">
        <v>141.6</v>
      </c>
      <c r="AG215">
        <v>141.9</v>
      </c>
      <c r="AH215">
        <f t="shared" si="23"/>
        <v>1773.1000000000001</v>
      </c>
      <c r="AI215">
        <f t="shared" si="24"/>
        <v>149</v>
      </c>
      <c r="AJ215">
        <f t="shared" si="25"/>
        <v>128.9</v>
      </c>
      <c r="AK215">
        <f t="shared" si="26"/>
        <v>155.1</v>
      </c>
      <c r="AL215">
        <f t="shared" si="27"/>
        <v>1474.3999999999999</v>
      </c>
    </row>
    <row r="216" spans="1:38" x14ac:dyDescent="0.3">
      <c r="A216" t="s">
        <v>32</v>
      </c>
      <c r="B216" s="28">
        <f t="shared" si="21"/>
        <v>43435</v>
      </c>
      <c r="C216">
        <v>2018</v>
      </c>
      <c r="D216" t="s">
        <v>45</v>
      </c>
      <c r="E216" t="str">
        <f t="shared" si="22"/>
        <v>Dec-18</v>
      </c>
      <c r="F216">
        <f>VLOOKUP(D216,'Problem Statement 4'!$G$2:$H$13,2,0)</f>
        <v>12</v>
      </c>
      <c r="G216">
        <v>138.5</v>
      </c>
      <c r="H216">
        <v>147.80000000000001</v>
      </c>
      <c r="I216">
        <v>141.1</v>
      </c>
      <c r="J216">
        <v>141.6</v>
      </c>
      <c r="K216">
        <v>118.1</v>
      </c>
      <c r="L216">
        <v>138.5</v>
      </c>
      <c r="M216">
        <v>132.4</v>
      </c>
      <c r="N216">
        <v>117.5</v>
      </c>
      <c r="O216">
        <v>111</v>
      </c>
      <c r="P216">
        <v>141.5</v>
      </c>
      <c r="Q216">
        <v>128.1</v>
      </c>
      <c r="R216">
        <v>152.9</v>
      </c>
      <c r="S216">
        <v>137.6</v>
      </c>
      <c r="T216">
        <v>164.6</v>
      </c>
      <c r="U216">
        <v>142.69999999999999</v>
      </c>
      <c r="V216">
        <v>130.30000000000001</v>
      </c>
      <c r="W216">
        <v>140.80000000000001</v>
      </c>
      <c r="X216">
        <v>146.5</v>
      </c>
      <c r="Y216">
        <v>132.4</v>
      </c>
      <c r="Z216">
        <v>136.19999999999999</v>
      </c>
      <c r="AA216">
        <v>137.30000000000001</v>
      </c>
      <c r="AB216">
        <v>118.8</v>
      </c>
      <c r="AC216">
        <v>131.69999999999999</v>
      </c>
      <c r="AD216">
        <v>146.5</v>
      </c>
      <c r="AE216">
        <v>130.80000000000001</v>
      </c>
      <c r="AF216">
        <v>131.69999999999999</v>
      </c>
      <c r="AG216">
        <v>138</v>
      </c>
      <c r="AH216">
        <f t="shared" si="23"/>
        <v>1746.6</v>
      </c>
      <c r="AI216">
        <f t="shared" si="24"/>
        <v>132.4</v>
      </c>
      <c r="AJ216">
        <f t="shared" si="25"/>
        <v>118.8</v>
      </c>
      <c r="AK216">
        <f t="shared" si="26"/>
        <v>146.5</v>
      </c>
      <c r="AL216">
        <f t="shared" si="27"/>
        <v>1392.6</v>
      </c>
    </row>
    <row r="217" spans="1:38" x14ac:dyDescent="0.3">
      <c r="A217" t="s">
        <v>33</v>
      </c>
      <c r="B217" s="28">
        <f t="shared" si="21"/>
        <v>43435</v>
      </c>
      <c r="C217">
        <v>2018</v>
      </c>
      <c r="D217" t="s">
        <v>45</v>
      </c>
      <c r="E217" t="str">
        <f t="shared" si="22"/>
        <v>Dec-18</v>
      </c>
      <c r="F217">
        <f>VLOOKUP(D217,'Problem Statement 4'!$G$2:$H$13,2,0)</f>
        <v>12</v>
      </c>
      <c r="G217">
        <v>137.5</v>
      </c>
      <c r="H217">
        <v>150.5</v>
      </c>
      <c r="I217">
        <v>138.80000000000001</v>
      </c>
      <c r="J217">
        <v>142.1</v>
      </c>
      <c r="K217">
        <v>122</v>
      </c>
      <c r="L217">
        <v>139.4</v>
      </c>
      <c r="M217">
        <v>135.19999999999999</v>
      </c>
      <c r="N217">
        <v>119.8</v>
      </c>
      <c r="O217">
        <v>110.3</v>
      </c>
      <c r="P217">
        <v>140.6</v>
      </c>
      <c r="Q217">
        <v>133.80000000000001</v>
      </c>
      <c r="R217">
        <v>154.6</v>
      </c>
      <c r="S217">
        <v>138.19999999999999</v>
      </c>
      <c r="T217">
        <v>163</v>
      </c>
      <c r="U217">
        <v>148.1</v>
      </c>
      <c r="V217">
        <v>139.4</v>
      </c>
      <c r="W217">
        <v>146.80000000000001</v>
      </c>
      <c r="X217">
        <v>146.5</v>
      </c>
      <c r="Y217">
        <v>142.69999999999999</v>
      </c>
      <c r="Z217">
        <v>143.19999999999999</v>
      </c>
      <c r="AA217">
        <v>144.9</v>
      </c>
      <c r="AB217">
        <v>123.6</v>
      </c>
      <c r="AC217">
        <v>136.80000000000001</v>
      </c>
      <c r="AD217">
        <v>150.1</v>
      </c>
      <c r="AE217">
        <v>132.19999999999999</v>
      </c>
      <c r="AF217">
        <v>136.80000000000001</v>
      </c>
      <c r="AG217">
        <v>140.1</v>
      </c>
      <c r="AH217">
        <f t="shared" si="23"/>
        <v>1762.7999999999997</v>
      </c>
      <c r="AI217">
        <f t="shared" si="24"/>
        <v>142.69999999999999</v>
      </c>
      <c r="AJ217">
        <f t="shared" si="25"/>
        <v>123.6</v>
      </c>
      <c r="AK217">
        <f t="shared" si="26"/>
        <v>150.1</v>
      </c>
      <c r="AL217">
        <f t="shared" si="27"/>
        <v>1437.7</v>
      </c>
    </row>
    <row r="218" spans="1:38" x14ac:dyDescent="0.3">
      <c r="A218" t="s">
        <v>30</v>
      </c>
      <c r="B218" s="28">
        <f t="shared" si="21"/>
        <v>43466</v>
      </c>
      <c r="C218">
        <v>2019</v>
      </c>
      <c r="D218" t="s">
        <v>31</v>
      </c>
      <c r="E218" t="str">
        <f t="shared" si="22"/>
        <v>Jan-19</v>
      </c>
      <c r="F218">
        <f>VLOOKUP(D218,'Problem Statement 4'!$G$2:$H$13,2,0)</f>
        <v>1</v>
      </c>
      <c r="G218">
        <v>136.6</v>
      </c>
      <c r="H218">
        <v>152.5</v>
      </c>
      <c r="I218">
        <v>138.19999999999999</v>
      </c>
      <c r="J218">
        <v>142.4</v>
      </c>
      <c r="K218">
        <v>123.9</v>
      </c>
      <c r="L218">
        <v>135.5</v>
      </c>
      <c r="M218">
        <v>131.69999999999999</v>
      </c>
      <c r="N218">
        <v>121.3</v>
      </c>
      <c r="O218">
        <v>108.4</v>
      </c>
      <c r="P218">
        <v>138.9</v>
      </c>
      <c r="Q218">
        <v>137</v>
      </c>
      <c r="R218">
        <v>155.80000000000001</v>
      </c>
      <c r="S218">
        <v>137.4</v>
      </c>
      <c r="T218">
        <v>162.69999999999999</v>
      </c>
      <c r="U218">
        <v>150.6</v>
      </c>
      <c r="V218">
        <v>145.1</v>
      </c>
      <c r="W218">
        <v>149.9</v>
      </c>
      <c r="X218">
        <v>147.69999999999999</v>
      </c>
      <c r="Y218">
        <v>146.19999999999999</v>
      </c>
      <c r="Z218">
        <v>150.1</v>
      </c>
      <c r="AA218">
        <v>149.6</v>
      </c>
      <c r="AB218">
        <v>128.6</v>
      </c>
      <c r="AC218">
        <v>142.9</v>
      </c>
      <c r="AD218">
        <v>155.19999999999999</v>
      </c>
      <c r="AE218">
        <v>133.5</v>
      </c>
      <c r="AF218">
        <v>141.69999999999999</v>
      </c>
      <c r="AG218">
        <v>141</v>
      </c>
      <c r="AH218">
        <f t="shared" si="23"/>
        <v>1759.6000000000001</v>
      </c>
      <c r="AI218">
        <f t="shared" si="24"/>
        <v>146.19999999999999</v>
      </c>
      <c r="AJ218">
        <f t="shared" si="25"/>
        <v>128.6</v>
      </c>
      <c r="AK218">
        <f t="shared" si="26"/>
        <v>155.19999999999999</v>
      </c>
      <c r="AL218">
        <f t="shared" si="27"/>
        <v>1473.8000000000002</v>
      </c>
    </row>
    <row r="219" spans="1:38" x14ac:dyDescent="0.3">
      <c r="A219" t="s">
        <v>32</v>
      </c>
      <c r="B219" s="28">
        <f t="shared" si="21"/>
        <v>43466</v>
      </c>
      <c r="C219">
        <v>2019</v>
      </c>
      <c r="D219" t="s">
        <v>31</v>
      </c>
      <c r="E219" t="str">
        <f t="shared" si="22"/>
        <v>Jan-19</v>
      </c>
      <c r="F219">
        <f>VLOOKUP(D219,'Problem Statement 4'!$G$2:$H$13,2,0)</f>
        <v>1</v>
      </c>
      <c r="G219">
        <v>138.30000000000001</v>
      </c>
      <c r="H219">
        <v>149.4</v>
      </c>
      <c r="I219">
        <v>143.5</v>
      </c>
      <c r="J219">
        <v>141.69999999999999</v>
      </c>
      <c r="K219">
        <v>118.1</v>
      </c>
      <c r="L219">
        <v>135.19999999999999</v>
      </c>
      <c r="M219">
        <v>130.5</v>
      </c>
      <c r="N219">
        <v>118.2</v>
      </c>
      <c r="O219">
        <v>110.4</v>
      </c>
      <c r="P219">
        <v>140.4</v>
      </c>
      <c r="Q219">
        <v>128.1</v>
      </c>
      <c r="R219">
        <v>153.19999999999999</v>
      </c>
      <c r="S219">
        <v>137.30000000000001</v>
      </c>
      <c r="T219">
        <v>164.7</v>
      </c>
      <c r="U219">
        <v>143</v>
      </c>
      <c r="V219">
        <v>130.4</v>
      </c>
      <c r="W219">
        <v>141.1</v>
      </c>
      <c r="X219">
        <v>147.69999999999999</v>
      </c>
      <c r="Y219">
        <v>128.6</v>
      </c>
      <c r="Z219">
        <v>136.30000000000001</v>
      </c>
      <c r="AA219">
        <v>137.80000000000001</v>
      </c>
      <c r="AB219">
        <v>118.6</v>
      </c>
      <c r="AC219">
        <v>131.9</v>
      </c>
      <c r="AD219">
        <v>146.6</v>
      </c>
      <c r="AE219">
        <v>131.69999999999999</v>
      </c>
      <c r="AF219">
        <v>131.80000000000001</v>
      </c>
      <c r="AG219">
        <v>138</v>
      </c>
      <c r="AH219">
        <f t="shared" si="23"/>
        <v>1744.3000000000002</v>
      </c>
      <c r="AI219">
        <f t="shared" si="24"/>
        <v>128.6</v>
      </c>
      <c r="AJ219">
        <f t="shared" si="25"/>
        <v>118.6</v>
      </c>
      <c r="AK219">
        <f t="shared" si="26"/>
        <v>146.6</v>
      </c>
      <c r="AL219">
        <f t="shared" si="27"/>
        <v>1396.4</v>
      </c>
    </row>
    <row r="220" spans="1:38" x14ac:dyDescent="0.3">
      <c r="A220" t="s">
        <v>33</v>
      </c>
      <c r="B220" s="28">
        <f t="shared" si="21"/>
        <v>43466</v>
      </c>
      <c r="C220">
        <v>2019</v>
      </c>
      <c r="D220" t="s">
        <v>31</v>
      </c>
      <c r="E220" t="str">
        <f t="shared" si="22"/>
        <v>Jan-19</v>
      </c>
      <c r="F220">
        <f>VLOOKUP(D220,'Problem Statement 4'!$G$2:$H$13,2,0)</f>
        <v>1</v>
      </c>
      <c r="G220">
        <v>137.1</v>
      </c>
      <c r="H220">
        <v>151.4</v>
      </c>
      <c r="I220">
        <v>140.19999999999999</v>
      </c>
      <c r="J220">
        <v>142.1</v>
      </c>
      <c r="K220">
        <v>121.8</v>
      </c>
      <c r="L220">
        <v>135.4</v>
      </c>
      <c r="M220">
        <v>131.30000000000001</v>
      </c>
      <c r="N220">
        <v>120.3</v>
      </c>
      <c r="O220">
        <v>109.1</v>
      </c>
      <c r="P220">
        <v>139.4</v>
      </c>
      <c r="Q220">
        <v>133.30000000000001</v>
      </c>
      <c r="R220">
        <v>154.6</v>
      </c>
      <c r="S220">
        <v>137.4</v>
      </c>
      <c r="T220">
        <v>163.19999999999999</v>
      </c>
      <c r="U220">
        <v>147.6</v>
      </c>
      <c r="V220">
        <v>139</v>
      </c>
      <c r="W220">
        <v>146.4</v>
      </c>
      <c r="X220">
        <v>147.69999999999999</v>
      </c>
      <c r="Y220">
        <v>139.5</v>
      </c>
      <c r="Z220">
        <v>143.6</v>
      </c>
      <c r="AA220">
        <v>145.1</v>
      </c>
      <c r="AB220">
        <v>123.3</v>
      </c>
      <c r="AC220">
        <v>136.69999999999999</v>
      </c>
      <c r="AD220">
        <v>150.19999999999999</v>
      </c>
      <c r="AE220">
        <v>132.80000000000001</v>
      </c>
      <c r="AF220">
        <v>136.9</v>
      </c>
      <c r="AG220">
        <v>139.6</v>
      </c>
      <c r="AH220">
        <f t="shared" si="23"/>
        <v>1753.3999999999999</v>
      </c>
      <c r="AI220">
        <f t="shared" si="24"/>
        <v>139.5</v>
      </c>
      <c r="AJ220">
        <f t="shared" si="25"/>
        <v>123.3</v>
      </c>
      <c r="AK220">
        <f t="shared" si="26"/>
        <v>150.19999999999999</v>
      </c>
      <c r="AL220">
        <f t="shared" si="27"/>
        <v>1439</v>
      </c>
    </row>
    <row r="221" spans="1:38" x14ac:dyDescent="0.3">
      <c r="A221" t="s">
        <v>30</v>
      </c>
      <c r="B221" s="28">
        <f t="shared" si="21"/>
        <v>43497</v>
      </c>
      <c r="C221">
        <v>2019</v>
      </c>
      <c r="D221" t="s">
        <v>34</v>
      </c>
      <c r="E221" t="str">
        <f t="shared" si="22"/>
        <v>Feb-19</v>
      </c>
      <c r="F221">
        <f>VLOOKUP(D221,'Problem Statement 4'!$G$2:$H$13,2,0)</f>
        <v>2</v>
      </c>
      <c r="G221">
        <v>136.80000000000001</v>
      </c>
      <c r="H221">
        <v>153</v>
      </c>
      <c r="I221">
        <v>139.1</v>
      </c>
      <c r="J221">
        <v>142.5</v>
      </c>
      <c r="K221">
        <v>124.1</v>
      </c>
      <c r="L221">
        <v>135.80000000000001</v>
      </c>
      <c r="M221">
        <v>128.69999999999999</v>
      </c>
      <c r="N221">
        <v>121.5</v>
      </c>
      <c r="O221">
        <v>108.3</v>
      </c>
      <c r="P221">
        <v>139.19999999999999</v>
      </c>
      <c r="Q221">
        <v>137.4</v>
      </c>
      <c r="R221">
        <v>156.19999999999999</v>
      </c>
      <c r="S221">
        <v>137.19999999999999</v>
      </c>
      <c r="T221">
        <v>162.80000000000001</v>
      </c>
      <c r="U221">
        <v>150.5</v>
      </c>
      <c r="V221">
        <v>146.1</v>
      </c>
      <c r="W221">
        <v>149.9</v>
      </c>
      <c r="X221">
        <v>148.5</v>
      </c>
      <c r="Y221">
        <v>145.30000000000001</v>
      </c>
      <c r="Z221">
        <v>150.1</v>
      </c>
      <c r="AA221">
        <v>149.9</v>
      </c>
      <c r="AB221">
        <v>129.19999999999999</v>
      </c>
      <c r="AC221">
        <v>143.4</v>
      </c>
      <c r="AD221">
        <v>155.5</v>
      </c>
      <c r="AE221">
        <v>134.9</v>
      </c>
      <c r="AF221">
        <v>142.19999999999999</v>
      </c>
      <c r="AG221">
        <v>141</v>
      </c>
      <c r="AH221">
        <f t="shared" si="23"/>
        <v>1759.8000000000002</v>
      </c>
      <c r="AI221">
        <f t="shared" si="24"/>
        <v>145.30000000000001</v>
      </c>
      <c r="AJ221">
        <f t="shared" si="25"/>
        <v>129.19999999999999</v>
      </c>
      <c r="AK221">
        <f t="shared" si="26"/>
        <v>155.5</v>
      </c>
      <c r="AL221">
        <f t="shared" si="27"/>
        <v>1478.3000000000002</v>
      </c>
    </row>
    <row r="222" spans="1:38" x14ac:dyDescent="0.3">
      <c r="A222" t="s">
        <v>32</v>
      </c>
      <c r="B222" s="28">
        <f t="shared" si="21"/>
        <v>43497</v>
      </c>
      <c r="C222">
        <v>2019</v>
      </c>
      <c r="D222" t="s">
        <v>34</v>
      </c>
      <c r="E222" t="str">
        <f t="shared" si="22"/>
        <v>Feb-19</v>
      </c>
      <c r="F222">
        <f>VLOOKUP(D222,'Problem Statement 4'!$G$2:$H$13,2,0)</f>
        <v>2</v>
      </c>
      <c r="G222">
        <v>139.4</v>
      </c>
      <c r="H222">
        <v>150.1</v>
      </c>
      <c r="I222">
        <v>145.30000000000001</v>
      </c>
      <c r="J222">
        <v>141.69999999999999</v>
      </c>
      <c r="K222">
        <v>118.4</v>
      </c>
      <c r="L222">
        <v>137</v>
      </c>
      <c r="M222">
        <v>131.6</v>
      </c>
      <c r="N222">
        <v>119.9</v>
      </c>
      <c r="O222">
        <v>110.4</v>
      </c>
      <c r="P222">
        <v>140.80000000000001</v>
      </c>
      <c r="Q222">
        <v>128.30000000000001</v>
      </c>
      <c r="R222">
        <v>153.5</v>
      </c>
      <c r="S222">
        <v>138</v>
      </c>
      <c r="T222">
        <v>164.9</v>
      </c>
      <c r="U222">
        <v>143.30000000000001</v>
      </c>
      <c r="V222">
        <v>130.80000000000001</v>
      </c>
      <c r="W222">
        <v>141.4</v>
      </c>
      <c r="X222">
        <v>148.5</v>
      </c>
      <c r="Y222">
        <v>127.1</v>
      </c>
      <c r="Z222">
        <v>136.6</v>
      </c>
      <c r="AA222">
        <v>138.5</v>
      </c>
      <c r="AB222">
        <v>119.2</v>
      </c>
      <c r="AC222">
        <v>132.19999999999999</v>
      </c>
      <c r="AD222">
        <v>146.6</v>
      </c>
      <c r="AE222">
        <v>133</v>
      </c>
      <c r="AF222">
        <v>132.4</v>
      </c>
      <c r="AG222">
        <v>138.6</v>
      </c>
      <c r="AH222">
        <f t="shared" si="23"/>
        <v>1754.4</v>
      </c>
      <c r="AI222">
        <f t="shared" si="24"/>
        <v>127.1</v>
      </c>
      <c r="AJ222">
        <f t="shared" si="25"/>
        <v>119.2</v>
      </c>
      <c r="AK222">
        <f t="shared" si="26"/>
        <v>146.6</v>
      </c>
      <c r="AL222">
        <f t="shared" si="27"/>
        <v>1401.6000000000001</v>
      </c>
    </row>
    <row r="223" spans="1:38" x14ac:dyDescent="0.3">
      <c r="A223" t="s">
        <v>33</v>
      </c>
      <c r="B223" s="28">
        <f t="shared" si="21"/>
        <v>43497</v>
      </c>
      <c r="C223">
        <v>2019</v>
      </c>
      <c r="D223" t="s">
        <v>34</v>
      </c>
      <c r="E223" t="str">
        <f t="shared" si="22"/>
        <v>Feb-19</v>
      </c>
      <c r="F223">
        <f>VLOOKUP(D223,'Problem Statement 4'!$G$2:$H$13,2,0)</f>
        <v>2</v>
      </c>
      <c r="G223">
        <v>137.6</v>
      </c>
      <c r="H223">
        <v>152</v>
      </c>
      <c r="I223">
        <v>141.5</v>
      </c>
      <c r="J223">
        <v>142.19999999999999</v>
      </c>
      <c r="K223">
        <v>122</v>
      </c>
      <c r="L223">
        <v>136.4</v>
      </c>
      <c r="M223">
        <v>129.69999999999999</v>
      </c>
      <c r="N223">
        <v>121</v>
      </c>
      <c r="O223">
        <v>109</v>
      </c>
      <c r="P223">
        <v>139.69999999999999</v>
      </c>
      <c r="Q223">
        <v>133.6</v>
      </c>
      <c r="R223">
        <v>154.9</v>
      </c>
      <c r="S223">
        <v>137.5</v>
      </c>
      <c r="T223">
        <v>163.4</v>
      </c>
      <c r="U223">
        <v>147.69999999999999</v>
      </c>
      <c r="V223">
        <v>139.69999999999999</v>
      </c>
      <c r="W223">
        <v>146.5</v>
      </c>
      <c r="X223">
        <v>148.5</v>
      </c>
      <c r="Y223">
        <v>138.4</v>
      </c>
      <c r="Z223">
        <v>143.69999999999999</v>
      </c>
      <c r="AA223">
        <v>145.6</v>
      </c>
      <c r="AB223">
        <v>123.9</v>
      </c>
      <c r="AC223">
        <v>137.1</v>
      </c>
      <c r="AD223">
        <v>150.30000000000001</v>
      </c>
      <c r="AE223">
        <v>134.1</v>
      </c>
      <c r="AF223">
        <v>137.4</v>
      </c>
      <c r="AG223">
        <v>139.9</v>
      </c>
      <c r="AH223">
        <f t="shared" si="23"/>
        <v>1757.1</v>
      </c>
      <c r="AI223">
        <f t="shared" si="24"/>
        <v>138.4</v>
      </c>
      <c r="AJ223">
        <f t="shared" si="25"/>
        <v>123.9</v>
      </c>
      <c r="AK223">
        <f t="shared" si="26"/>
        <v>150.30000000000001</v>
      </c>
      <c r="AL223">
        <f t="shared" si="27"/>
        <v>1443.6999999999998</v>
      </c>
    </row>
    <row r="224" spans="1:38" x14ac:dyDescent="0.3">
      <c r="A224" t="s">
        <v>30</v>
      </c>
      <c r="B224" s="28">
        <f t="shared" si="21"/>
        <v>43525</v>
      </c>
      <c r="C224">
        <v>2019</v>
      </c>
      <c r="D224" t="s">
        <v>35</v>
      </c>
      <c r="E224" t="str">
        <f t="shared" si="22"/>
        <v>Mar-19</v>
      </c>
      <c r="F224">
        <f>VLOOKUP(D224,'Problem Statement 4'!$G$2:$H$13,2,0)</f>
        <v>3</v>
      </c>
      <c r="G224">
        <v>136.9</v>
      </c>
      <c r="H224">
        <v>154.1</v>
      </c>
      <c r="I224">
        <v>138.69999999999999</v>
      </c>
      <c r="J224">
        <v>142.5</v>
      </c>
      <c r="K224">
        <v>124.1</v>
      </c>
      <c r="L224">
        <v>136.1</v>
      </c>
      <c r="M224">
        <v>128.19999999999999</v>
      </c>
      <c r="N224">
        <v>122.3</v>
      </c>
      <c r="O224">
        <v>108.3</v>
      </c>
      <c r="P224">
        <v>138.9</v>
      </c>
      <c r="Q224">
        <v>137.4</v>
      </c>
      <c r="R224">
        <v>156.4</v>
      </c>
      <c r="S224">
        <v>137.30000000000001</v>
      </c>
      <c r="T224">
        <v>162.9</v>
      </c>
      <c r="U224">
        <v>150.80000000000001</v>
      </c>
      <c r="V224">
        <v>146.1</v>
      </c>
      <c r="W224">
        <v>150.1</v>
      </c>
      <c r="X224">
        <v>149</v>
      </c>
      <c r="Y224">
        <v>146.4</v>
      </c>
      <c r="Z224">
        <v>150</v>
      </c>
      <c r="AA224">
        <v>150.4</v>
      </c>
      <c r="AB224">
        <v>129.9</v>
      </c>
      <c r="AC224">
        <v>143.80000000000001</v>
      </c>
      <c r="AD224">
        <v>155.5</v>
      </c>
      <c r="AE224">
        <v>134</v>
      </c>
      <c r="AF224">
        <v>142.4</v>
      </c>
      <c r="AG224">
        <v>141.19999999999999</v>
      </c>
      <c r="AH224">
        <f t="shared" si="23"/>
        <v>1761.2000000000003</v>
      </c>
      <c r="AI224">
        <f t="shared" si="24"/>
        <v>146.4</v>
      </c>
      <c r="AJ224">
        <f t="shared" si="25"/>
        <v>129.9</v>
      </c>
      <c r="AK224">
        <f t="shared" si="26"/>
        <v>155.5</v>
      </c>
      <c r="AL224">
        <f t="shared" si="27"/>
        <v>1479.5000000000002</v>
      </c>
    </row>
    <row r="225" spans="1:38" x14ac:dyDescent="0.3">
      <c r="A225" t="s">
        <v>32</v>
      </c>
      <c r="B225" s="28">
        <f t="shared" si="21"/>
        <v>43525</v>
      </c>
      <c r="C225">
        <v>2019</v>
      </c>
      <c r="D225" t="s">
        <v>35</v>
      </c>
      <c r="E225" t="str">
        <f t="shared" si="22"/>
        <v>Mar-19</v>
      </c>
      <c r="F225">
        <f>VLOOKUP(D225,'Problem Statement 4'!$G$2:$H$13,2,0)</f>
        <v>3</v>
      </c>
      <c r="G225">
        <v>139.69999999999999</v>
      </c>
      <c r="H225">
        <v>151.1</v>
      </c>
      <c r="I225">
        <v>142.9</v>
      </c>
      <c r="J225">
        <v>141.9</v>
      </c>
      <c r="K225">
        <v>118.4</v>
      </c>
      <c r="L225">
        <v>139.4</v>
      </c>
      <c r="M225">
        <v>141.19999999999999</v>
      </c>
      <c r="N225">
        <v>120.7</v>
      </c>
      <c r="O225">
        <v>110.4</v>
      </c>
      <c r="P225">
        <v>140.69999999999999</v>
      </c>
      <c r="Q225">
        <v>128.5</v>
      </c>
      <c r="R225">
        <v>153.9</v>
      </c>
      <c r="S225">
        <v>139.6</v>
      </c>
      <c r="T225">
        <v>165.3</v>
      </c>
      <c r="U225">
        <v>143.5</v>
      </c>
      <c r="V225">
        <v>131.19999999999999</v>
      </c>
      <c r="W225">
        <v>141.6</v>
      </c>
      <c r="X225">
        <v>149</v>
      </c>
      <c r="Y225">
        <v>128.80000000000001</v>
      </c>
      <c r="Z225">
        <v>136.80000000000001</v>
      </c>
      <c r="AA225">
        <v>139.19999999999999</v>
      </c>
      <c r="AB225">
        <v>119.9</v>
      </c>
      <c r="AC225">
        <v>133</v>
      </c>
      <c r="AD225">
        <v>146.69999999999999</v>
      </c>
      <c r="AE225">
        <v>132.5</v>
      </c>
      <c r="AF225">
        <v>132.80000000000001</v>
      </c>
      <c r="AG225">
        <v>139.5</v>
      </c>
      <c r="AH225">
        <f t="shared" si="23"/>
        <v>1768.4</v>
      </c>
      <c r="AI225">
        <f t="shared" si="24"/>
        <v>128.80000000000001</v>
      </c>
      <c r="AJ225">
        <f t="shared" si="25"/>
        <v>119.9</v>
      </c>
      <c r="AK225">
        <f t="shared" si="26"/>
        <v>146.69999999999999</v>
      </c>
      <c r="AL225">
        <f t="shared" si="27"/>
        <v>1404.9</v>
      </c>
    </row>
    <row r="226" spans="1:38" x14ac:dyDescent="0.3">
      <c r="A226" t="s">
        <v>33</v>
      </c>
      <c r="B226" s="28">
        <f t="shared" si="21"/>
        <v>43525</v>
      </c>
      <c r="C226">
        <v>2019</v>
      </c>
      <c r="D226" t="s">
        <v>35</v>
      </c>
      <c r="E226" t="str">
        <f t="shared" si="22"/>
        <v>Mar-19</v>
      </c>
      <c r="F226">
        <f>VLOOKUP(D226,'Problem Statement 4'!$G$2:$H$13,2,0)</f>
        <v>3</v>
      </c>
      <c r="G226">
        <v>137.80000000000001</v>
      </c>
      <c r="H226">
        <v>153</v>
      </c>
      <c r="I226">
        <v>140.30000000000001</v>
      </c>
      <c r="J226">
        <v>142.30000000000001</v>
      </c>
      <c r="K226">
        <v>122</v>
      </c>
      <c r="L226">
        <v>137.6</v>
      </c>
      <c r="M226">
        <v>132.6</v>
      </c>
      <c r="N226">
        <v>121.8</v>
      </c>
      <c r="O226">
        <v>109</v>
      </c>
      <c r="P226">
        <v>139.5</v>
      </c>
      <c r="Q226">
        <v>133.69999999999999</v>
      </c>
      <c r="R226">
        <v>155.19999999999999</v>
      </c>
      <c r="S226">
        <v>138.1</v>
      </c>
      <c r="T226">
        <v>163.5</v>
      </c>
      <c r="U226">
        <v>147.9</v>
      </c>
      <c r="V226">
        <v>139.9</v>
      </c>
      <c r="W226">
        <v>146.69999999999999</v>
      </c>
      <c r="X226">
        <v>149</v>
      </c>
      <c r="Y226">
        <v>139.69999999999999</v>
      </c>
      <c r="Z226">
        <v>143.80000000000001</v>
      </c>
      <c r="AA226">
        <v>146.19999999999999</v>
      </c>
      <c r="AB226">
        <v>124.6</v>
      </c>
      <c r="AC226">
        <v>137.69999999999999</v>
      </c>
      <c r="AD226">
        <v>150.30000000000001</v>
      </c>
      <c r="AE226">
        <v>133.4</v>
      </c>
      <c r="AF226">
        <v>137.69999999999999</v>
      </c>
      <c r="AG226">
        <v>140.4</v>
      </c>
      <c r="AH226">
        <f t="shared" si="23"/>
        <v>1762.9</v>
      </c>
      <c r="AI226">
        <f t="shared" si="24"/>
        <v>139.69999999999999</v>
      </c>
      <c r="AJ226">
        <f t="shared" si="25"/>
        <v>124.6</v>
      </c>
      <c r="AK226">
        <f t="shared" si="26"/>
        <v>150.30000000000001</v>
      </c>
      <c r="AL226">
        <f t="shared" si="27"/>
        <v>1445.8000000000002</v>
      </c>
    </row>
    <row r="227" spans="1:38" x14ac:dyDescent="0.3">
      <c r="A227" t="s">
        <v>30</v>
      </c>
      <c r="B227" s="28">
        <f t="shared" si="21"/>
        <v>43586</v>
      </c>
      <c r="C227">
        <v>2019</v>
      </c>
      <c r="D227" t="s">
        <v>37</v>
      </c>
      <c r="E227" t="str">
        <f t="shared" si="22"/>
        <v>May-19</v>
      </c>
      <c r="F227">
        <f>VLOOKUP(D227,'Problem Statement 4'!$G$2:$H$13,2,0)</f>
        <v>5</v>
      </c>
      <c r="G227">
        <v>137.4</v>
      </c>
      <c r="H227">
        <v>159.5</v>
      </c>
      <c r="I227">
        <v>134.5</v>
      </c>
      <c r="J227">
        <v>142.6</v>
      </c>
      <c r="K227">
        <v>124</v>
      </c>
      <c r="L227">
        <v>143.69999999999999</v>
      </c>
      <c r="M227">
        <v>133.4</v>
      </c>
      <c r="N227">
        <v>125.1</v>
      </c>
      <c r="O227">
        <v>109.3</v>
      </c>
      <c r="P227">
        <v>139.30000000000001</v>
      </c>
      <c r="Q227">
        <v>137.69999999999999</v>
      </c>
      <c r="R227">
        <v>156.4</v>
      </c>
      <c r="S227">
        <v>139.19999999999999</v>
      </c>
      <c r="T227">
        <v>163.30000000000001</v>
      </c>
      <c r="U227">
        <v>151.30000000000001</v>
      </c>
      <c r="V227">
        <v>146.6</v>
      </c>
      <c r="W227">
        <v>150.69999999999999</v>
      </c>
      <c r="X227">
        <v>150.1</v>
      </c>
      <c r="Y227">
        <v>146.9</v>
      </c>
      <c r="Z227">
        <v>149.5</v>
      </c>
      <c r="AA227">
        <v>151.30000000000001</v>
      </c>
      <c r="AB227">
        <v>130.19999999999999</v>
      </c>
      <c r="AC227">
        <v>145.9</v>
      </c>
      <c r="AD227">
        <v>156.69999999999999</v>
      </c>
      <c r="AE227">
        <v>133.9</v>
      </c>
      <c r="AF227">
        <v>142.9</v>
      </c>
      <c r="AG227">
        <v>142.4</v>
      </c>
      <c r="AH227">
        <f t="shared" si="23"/>
        <v>1782.1000000000001</v>
      </c>
      <c r="AI227">
        <f t="shared" si="24"/>
        <v>146.9</v>
      </c>
      <c r="AJ227">
        <f t="shared" si="25"/>
        <v>130.19999999999999</v>
      </c>
      <c r="AK227">
        <f t="shared" si="26"/>
        <v>156.69999999999999</v>
      </c>
      <c r="AL227">
        <f t="shared" si="27"/>
        <v>1485.5000000000005</v>
      </c>
    </row>
    <row r="228" spans="1:38" x14ac:dyDescent="0.3">
      <c r="A228" t="s">
        <v>32</v>
      </c>
      <c r="B228" s="28">
        <f t="shared" si="21"/>
        <v>43586</v>
      </c>
      <c r="C228">
        <v>2019</v>
      </c>
      <c r="D228" t="s">
        <v>37</v>
      </c>
      <c r="E228" t="str">
        <f t="shared" si="22"/>
        <v>May-19</v>
      </c>
      <c r="F228">
        <f>VLOOKUP(D228,'Problem Statement 4'!$G$2:$H$13,2,0)</f>
        <v>5</v>
      </c>
      <c r="G228">
        <v>140.4</v>
      </c>
      <c r="H228">
        <v>156.69999999999999</v>
      </c>
      <c r="I228">
        <v>138.30000000000001</v>
      </c>
      <c r="J228">
        <v>142.4</v>
      </c>
      <c r="K228">
        <v>118.6</v>
      </c>
      <c r="L228">
        <v>149.69999999999999</v>
      </c>
      <c r="M228">
        <v>161.6</v>
      </c>
      <c r="N228">
        <v>124.4</v>
      </c>
      <c r="O228">
        <v>111.2</v>
      </c>
      <c r="P228">
        <v>141</v>
      </c>
      <c r="Q228">
        <v>128.9</v>
      </c>
      <c r="R228">
        <v>154.5</v>
      </c>
      <c r="S228">
        <v>143.80000000000001</v>
      </c>
      <c r="T228">
        <v>166.2</v>
      </c>
      <c r="U228">
        <v>144</v>
      </c>
      <c r="V228">
        <v>131.69999999999999</v>
      </c>
      <c r="W228">
        <v>142.19999999999999</v>
      </c>
      <c r="X228">
        <v>150.1</v>
      </c>
      <c r="Y228">
        <v>129.4</v>
      </c>
      <c r="Z228">
        <v>137.19999999999999</v>
      </c>
      <c r="AA228">
        <v>139.80000000000001</v>
      </c>
      <c r="AB228">
        <v>120.1</v>
      </c>
      <c r="AC228">
        <v>134</v>
      </c>
      <c r="AD228">
        <v>148</v>
      </c>
      <c r="AE228">
        <v>132.6</v>
      </c>
      <c r="AF228">
        <v>133.30000000000001</v>
      </c>
      <c r="AG228">
        <v>141.5</v>
      </c>
      <c r="AH228">
        <f t="shared" si="23"/>
        <v>1811.5000000000002</v>
      </c>
      <c r="AI228">
        <f t="shared" si="24"/>
        <v>129.4</v>
      </c>
      <c r="AJ228">
        <f t="shared" si="25"/>
        <v>120.1</v>
      </c>
      <c r="AK228">
        <f t="shared" si="26"/>
        <v>148</v>
      </c>
      <c r="AL228">
        <f t="shared" si="27"/>
        <v>1411.0999999999997</v>
      </c>
    </row>
    <row r="229" spans="1:38" x14ac:dyDescent="0.3">
      <c r="A229" t="s">
        <v>33</v>
      </c>
      <c r="B229" s="28">
        <f t="shared" si="21"/>
        <v>43586</v>
      </c>
      <c r="C229">
        <v>2019</v>
      </c>
      <c r="D229" t="s">
        <v>37</v>
      </c>
      <c r="E229" t="str">
        <f t="shared" si="22"/>
        <v>May-19</v>
      </c>
      <c r="F229">
        <f>VLOOKUP(D229,'Problem Statement 4'!$G$2:$H$13,2,0)</f>
        <v>5</v>
      </c>
      <c r="G229">
        <v>138.30000000000001</v>
      </c>
      <c r="H229">
        <v>158.5</v>
      </c>
      <c r="I229">
        <v>136</v>
      </c>
      <c r="J229">
        <v>142.5</v>
      </c>
      <c r="K229">
        <v>122</v>
      </c>
      <c r="L229">
        <v>146.5</v>
      </c>
      <c r="M229">
        <v>143</v>
      </c>
      <c r="N229">
        <v>124.9</v>
      </c>
      <c r="O229">
        <v>109.9</v>
      </c>
      <c r="P229">
        <v>139.9</v>
      </c>
      <c r="Q229">
        <v>134</v>
      </c>
      <c r="R229">
        <v>155.5</v>
      </c>
      <c r="S229">
        <v>140.9</v>
      </c>
      <c r="T229">
        <v>164.1</v>
      </c>
      <c r="U229">
        <v>148.4</v>
      </c>
      <c r="V229">
        <v>140.4</v>
      </c>
      <c r="W229">
        <v>147.30000000000001</v>
      </c>
      <c r="X229">
        <v>150.1</v>
      </c>
      <c r="Y229">
        <v>140.30000000000001</v>
      </c>
      <c r="Z229">
        <v>143.69999999999999</v>
      </c>
      <c r="AA229">
        <v>146.9</v>
      </c>
      <c r="AB229">
        <v>124.9</v>
      </c>
      <c r="AC229">
        <v>139.19999999999999</v>
      </c>
      <c r="AD229">
        <v>151.6</v>
      </c>
      <c r="AE229">
        <v>133.4</v>
      </c>
      <c r="AF229">
        <v>138.19999999999999</v>
      </c>
      <c r="AG229">
        <v>142</v>
      </c>
      <c r="AH229">
        <f t="shared" si="23"/>
        <v>1791.9000000000003</v>
      </c>
      <c r="AI229">
        <f t="shared" si="24"/>
        <v>140.30000000000001</v>
      </c>
      <c r="AJ229">
        <f t="shared" si="25"/>
        <v>124.9</v>
      </c>
      <c r="AK229">
        <f t="shared" si="26"/>
        <v>151.6</v>
      </c>
      <c r="AL229">
        <f t="shared" si="27"/>
        <v>1451.7000000000003</v>
      </c>
    </row>
    <row r="230" spans="1:38" x14ac:dyDescent="0.3">
      <c r="A230" t="s">
        <v>30</v>
      </c>
      <c r="B230" s="28">
        <f t="shared" si="21"/>
        <v>43617</v>
      </c>
      <c r="C230">
        <v>2019</v>
      </c>
      <c r="D230" t="s">
        <v>38</v>
      </c>
      <c r="E230" t="str">
        <f t="shared" si="22"/>
        <v>Jun-19</v>
      </c>
      <c r="F230">
        <f>VLOOKUP(D230,'Problem Statement 4'!$G$2:$H$13,2,0)</f>
        <v>6</v>
      </c>
      <c r="G230">
        <v>137.80000000000001</v>
      </c>
      <c r="H230">
        <v>163.5</v>
      </c>
      <c r="I230">
        <v>136.19999999999999</v>
      </c>
      <c r="J230">
        <v>143.19999999999999</v>
      </c>
      <c r="K230">
        <v>124.3</v>
      </c>
      <c r="L230">
        <v>143.30000000000001</v>
      </c>
      <c r="M230">
        <v>140.6</v>
      </c>
      <c r="N230">
        <v>128.69999999999999</v>
      </c>
      <c r="O230">
        <v>110.6</v>
      </c>
      <c r="P230">
        <v>140.4</v>
      </c>
      <c r="Q230">
        <v>138</v>
      </c>
      <c r="R230">
        <v>156.6</v>
      </c>
      <c r="S230">
        <v>141</v>
      </c>
      <c r="T230">
        <v>164.2</v>
      </c>
      <c r="U230">
        <v>151.4</v>
      </c>
      <c r="V230">
        <v>146.5</v>
      </c>
      <c r="W230">
        <v>150.69999999999999</v>
      </c>
      <c r="X230">
        <v>149.4</v>
      </c>
      <c r="Y230">
        <v>147.80000000000001</v>
      </c>
      <c r="Z230">
        <v>149.6</v>
      </c>
      <c r="AA230">
        <v>151.69999999999999</v>
      </c>
      <c r="AB230">
        <v>130.19999999999999</v>
      </c>
      <c r="AC230">
        <v>146.4</v>
      </c>
      <c r="AD230">
        <v>157.69999999999999</v>
      </c>
      <c r="AE230">
        <v>134.80000000000001</v>
      </c>
      <c r="AF230">
        <v>143.30000000000001</v>
      </c>
      <c r="AG230">
        <v>143.6</v>
      </c>
      <c r="AH230">
        <f t="shared" si="23"/>
        <v>1804.1999999999998</v>
      </c>
      <c r="AI230">
        <f t="shared" si="24"/>
        <v>147.80000000000001</v>
      </c>
      <c r="AJ230">
        <f t="shared" si="25"/>
        <v>130.19999999999999</v>
      </c>
      <c r="AK230">
        <f t="shared" si="26"/>
        <v>157.69999999999999</v>
      </c>
      <c r="AL230">
        <f t="shared" si="27"/>
        <v>1488</v>
      </c>
    </row>
    <row r="231" spans="1:38" x14ac:dyDescent="0.3">
      <c r="A231" t="s">
        <v>32</v>
      </c>
      <c r="B231" s="28">
        <f t="shared" si="21"/>
        <v>43617</v>
      </c>
      <c r="C231">
        <v>2019</v>
      </c>
      <c r="D231" t="s">
        <v>38</v>
      </c>
      <c r="E231" t="str">
        <f t="shared" si="22"/>
        <v>Jun-19</v>
      </c>
      <c r="F231">
        <f>VLOOKUP(D231,'Problem Statement 4'!$G$2:$H$13,2,0)</f>
        <v>6</v>
      </c>
      <c r="G231">
        <v>140.69999999999999</v>
      </c>
      <c r="H231">
        <v>159.6</v>
      </c>
      <c r="I231">
        <v>140.4</v>
      </c>
      <c r="J231">
        <v>143.4</v>
      </c>
      <c r="K231">
        <v>118.6</v>
      </c>
      <c r="L231">
        <v>150.9</v>
      </c>
      <c r="M231">
        <v>169.8</v>
      </c>
      <c r="N231">
        <v>127.4</v>
      </c>
      <c r="O231">
        <v>111.8</v>
      </c>
      <c r="P231">
        <v>141</v>
      </c>
      <c r="Q231">
        <v>129</v>
      </c>
      <c r="R231">
        <v>155.1</v>
      </c>
      <c r="S231">
        <v>145.6</v>
      </c>
      <c r="T231">
        <v>166.7</v>
      </c>
      <c r="U231">
        <v>144.30000000000001</v>
      </c>
      <c r="V231">
        <v>131.69999999999999</v>
      </c>
      <c r="W231">
        <v>142.4</v>
      </c>
      <c r="X231">
        <v>149.4</v>
      </c>
      <c r="Y231">
        <v>130.5</v>
      </c>
      <c r="Z231">
        <v>137.4</v>
      </c>
      <c r="AA231">
        <v>140.30000000000001</v>
      </c>
      <c r="AB231">
        <v>119.6</v>
      </c>
      <c r="AC231">
        <v>134.30000000000001</v>
      </c>
      <c r="AD231">
        <v>148.9</v>
      </c>
      <c r="AE231">
        <v>133.69999999999999</v>
      </c>
      <c r="AF231">
        <v>133.6</v>
      </c>
      <c r="AG231">
        <v>142.1</v>
      </c>
      <c r="AH231">
        <f t="shared" si="23"/>
        <v>1833.2999999999997</v>
      </c>
      <c r="AI231">
        <f t="shared" si="24"/>
        <v>130.5</v>
      </c>
      <c r="AJ231">
        <f t="shared" si="25"/>
        <v>119.6</v>
      </c>
      <c r="AK231">
        <f t="shared" si="26"/>
        <v>148.9</v>
      </c>
      <c r="AL231">
        <f t="shared" si="27"/>
        <v>1413.8</v>
      </c>
    </row>
    <row r="232" spans="1:38" x14ac:dyDescent="0.3">
      <c r="A232" t="s">
        <v>33</v>
      </c>
      <c r="B232" s="28">
        <f t="shared" si="21"/>
        <v>43617</v>
      </c>
      <c r="C232">
        <v>2019</v>
      </c>
      <c r="D232" t="s">
        <v>38</v>
      </c>
      <c r="E232" t="str">
        <f t="shared" si="22"/>
        <v>Jun-19</v>
      </c>
      <c r="F232">
        <f>VLOOKUP(D232,'Problem Statement 4'!$G$2:$H$13,2,0)</f>
        <v>6</v>
      </c>
      <c r="G232">
        <v>138.69999999999999</v>
      </c>
      <c r="H232">
        <v>162.1</v>
      </c>
      <c r="I232">
        <v>137.80000000000001</v>
      </c>
      <c r="J232">
        <v>143.30000000000001</v>
      </c>
      <c r="K232">
        <v>122.2</v>
      </c>
      <c r="L232">
        <v>146.80000000000001</v>
      </c>
      <c r="M232">
        <v>150.5</v>
      </c>
      <c r="N232">
        <v>128.30000000000001</v>
      </c>
      <c r="O232">
        <v>111</v>
      </c>
      <c r="P232">
        <v>140.6</v>
      </c>
      <c r="Q232">
        <v>134.19999999999999</v>
      </c>
      <c r="R232">
        <v>155.9</v>
      </c>
      <c r="S232">
        <v>142.69999999999999</v>
      </c>
      <c r="T232">
        <v>164.9</v>
      </c>
      <c r="U232">
        <v>148.6</v>
      </c>
      <c r="V232">
        <v>140.4</v>
      </c>
      <c r="W232">
        <v>147.4</v>
      </c>
      <c r="X232">
        <v>149.4</v>
      </c>
      <c r="Y232">
        <v>141.19999999999999</v>
      </c>
      <c r="Z232">
        <v>143.80000000000001</v>
      </c>
      <c r="AA232">
        <v>147.4</v>
      </c>
      <c r="AB232">
        <v>124.6</v>
      </c>
      <c r="AC232">
        <v>139.6</v>
      </c>
      <c r="AD232">
        <v>152.5</v>
      </c>
      <c r="AE232">
        <v>134.30000000000001</v>
      </c>
      <c r="AF232">
        <v>138.6</v>
      </c>
      <c r="AG232">
        <v>142.9</v>
      </c>
      <c r="AH232">
        <f t="shared" si="23"/>
        <v>1814.1000000000001</v>
      </c>
      <c r="AI232">
        <f t="shared" si="24"/>
        <v>141.19999999999999</v>
      </c>
      <c r="AJ232">
        <f t="shared" si="25"/>
        <v>124.6</v>
      </c>
      <c r="AK232">
        <f t="shared" si="26"/>
        <v>152.5</v>
      </c>
      <c r="AL232">
        <f t="shared" si="27"/>
        <v>1454.3999999999999</v>
      </c>
    </row>
    <row r="233" spans="1:38" x14ac:dyDescent="0.3">
      <c r="A233" t="s">
        <v>30</v>
      </c>
      <c r="B233" s="28">
        <f t="shared" si="21"/>
        <v>43647</v>
      </c>
      <c r="C233">
        <v>2019</v>
      </c>
      <c r="D233" t="s">
        <v>39</v>
      </c>
      <c r="E233" t="str">
        <f t="shared" si="22"/>
        <v>Jul-19</v>
      </c>
      <c r="F233">
        <f>VLOOKUP(D233,'Problem Statement 4'!$G$2:$H$13,2,0)</f>
        <v>7</v>
      </c>
      <c r="G233">
        <v>138.4</v>
      </c>
      <c r="H233">
        <v>164</v>
      </c>
      <c r="I233">
        <v>138.4</v>
      </c>
      <c r="J233">
        <v>143.9</v>
      </c>
      <c r="K233">
        <v>124.4</v>
      </c>
      <c r="L233">
        <v>146.4</v>
      </c>
      <c r="M233">
        <v>150.1</v>
      </c>
      <c r="N233">
        <v>130.6</v>
      </c>
      <c r="O233">
        <v>110.8</v>
      </c>
      <c r="P233">
        <v>141.69999999999999</v>
      </c>
      <c r="Q233">
        <v>138.5</v>
      </c>
      <c r="R233">
        <v>156.69999999999999</v>
      </c>
      <c r="S233">
        <v>143</v>
      </c>
      <c r="T233">
        <v>164.5</v>
      </c>
      <c r="U233">
        <v>151.6</v>
      </c>
      <c r="V233">
        <v>146.6</v>
      </c>
      <c r="W233">
        <v>150.9</v>
      </c>
      <c r="X233">
        <v>150.6</v>
      </c>
      <c r="Y233">
        <v>146.80000000000001</v>
      </c>
      <c r="Z233">
        <v>150</v>
      </c>
      <c r="AA233">
        <v>152.19999999999999</v>
      </c>
      <c r="AB233">
        <v>131.19999999999999</v>
      </c>
      <c r="AC233">
        <v>147.5</v>
      </c>
      <c r="AD233">
        <v>159.1</v>
      </c>
      <c r="AE233">
        <v>136.1</v>
      </c>
      <c r="AF233">
        <v>144.19999999999999</v>
      </c>
      <c r="AG233">
        <v>144.9</v>
      </c>
      <c r="AH233">
        <f t="shared" si="23"/>
        <v>1826.8999999999999</v>
      </c>
      <c r="AI233">
        <f t="shared" si="24"/>
        <v>146.80000000000001</v>
      </c>
      <c r="AJ233">
        <f t="shared" si="25"/>
        <v>131.19999999999999</v>
      </c>
      <c r="AK233">
        <f t="shared" si="26"/>
        <v>159.1</v>
      </c>
      <c r="AL233">
        <f t="shared" si="27"/>
        <v>1494.2</v>
      </c>
    </row>
    <row r="234" spans="1:38" x14ac:dyDescent="0.3">
      <c r="A234" t="s">
        <v>32</v>
      </c>
      <c r="B234" s="28">
        <f t="shared" si="21"/>
        <v>43647</v>
      </c>
      <c r="C234">
        <v>2019</v>
      </c>
      <c r="D234" t="s">
        <v>39</v>
      </c>
      <c r="E234" t="str">
        <f t="shared" si="22"/>
        <v>Jul-19</v>
      </c>
      <c r="F234">
        <f>VLOOKUP(D234,'Problem Statement 4'!$G$2:$H$13,2,0)</f>
        <v>7</v>
      </c>
      <c r="G234">
        <v>141.4</v>
      </c>
      <c r="H234">
        <v>160.19999999999999</v>
      </c>
      <c r="I234">
        <v>142.5</v>
      </c>
      <c r="J234">
        <v>144.1</v>
      </c>
      <c r="K234">
        <v>119.3</v>
      </c>
      <c r="L234">
        <v>154.69999999999999</v>
      </c>
      <c r="M234">
        <v>180.1</v>
      </c>
      <c r="N234">
        <v>128.9</v>
      </c>
      <c r="O234">
        <v>111.8</v>
      </c>
      <c r="P234">
        <v>141.6</v>
      </c>
      <c r="Q234">
        <v>129.5</v>
      </c>
      <c r="R234">
        <v>155.6</v>
      </c>
      <c r="S234">
        <v>147.69999999999999</v>
      </c>
      <c r="T234">
        <v>167.2</v>
      </c>
      <c r="U234">
        <v>144.69999999999999</v>
      </c>
      <c r="V234">
        <v>131.9</v>
      </c>
      <c r="W234">
        <v>142.69999999999999</v>
      </c>
      <c r="X234">
        <v>150.6</v>
      </c>
      <c r="Y234">
        <v>127</v>
      </c>
      <c r="Z234">
        <v>137.69999999999999</v>
      </c>
      <c r="AA234">
        <v>140.80000000000001</v>
      </c>
      <c r="AB234">
        <v>120.6</v>
      </c>
      <c r="AC234">
        <v>135</v>
      </c>
      <c r="AD234">
        <v>150.4</v>
      </c>
      <c r="AE234">
        <v>135.1</v>
      </c>
      <c r="AF234">
        <v>134.5</v>
      </c>
      <c r="AG234">
        <v>143.30000000000001</v>
      </c>
      <c r="AH234">
        <f t="shared" si="23"/>
        <v>1857.3999999999999</v>
      </c>
      <c r="AI234">
        <f t="shared" si="24"/>
        <v>127</v>
      </c>
      <c r="AJ234">
        <f t="shared" si="25"/>
        <v>120.6</v>
      </c>
      <c r="AK234">
        <f t="shared" si="26"/>
        <v>150.4</v>
      </c>
      <c r="AL234">
        <f t="shared" si="27"/>
        <v>1420.1999999999998</v>
      </c>
    </row>
    <row r="235" spans="1:38" x14ac:dyDescent="0.3">
      <c r="A235" t="s">
        <v>33</v>
      </c>
      <c r="B235" s="28">
        <f t="shared" si="21"/>
        <v>43647</v>
      </c>
      <c r="C235">
        <v>2019</v>
      </c>
      <c r="D235" t="s">
        <v>39</v>
      </c>
      <c r="E235" t="str">
        <f t="shared" si="22"/>
        <v>Jul-19</v>
      </c>
      <c r="F235">
        <f>VLOOKUP(D235,'Problem Statement 4'!$G$2:$H$13,2,0)</f>
        <v>7</v>
      </c>
      <c r="G235">
        <v>139.30000000000001</v>
      </c>
      <c r="H235">
        <v>162.69999999999999</v>
      </c>
      <c r="I235">
        <v>140</v>
      </c>
      <c r="J235">
        <v>144</v>
      </c>
      <c r="K235">
        <v>122.5</v>
      </c>
      <c r="L235">
        <v>150.30000000000001</v>
      </c>
      <c r="M235">
        <v>160.30000000000001</v>
      </c>
      <c r="N235">
        <v>130</v>
      </c>
      <c r="O235">
        <v>111.1</v>
      </c>
      <c r="P235">
        <v>141.69999999999999</v>
      </c>
      <c r="Q235">
        <v>134.69999999999999</v>
      </c>
      <c r="R235">
        <v>156.19999999999999</v>
      </c>
      <c r="S235">
        <v>144.69999999999999</v>
      </c>
      <c r="T235">
        <v>165.2</v>
      </c>
      <c r="U235">
        <v>148.9</v>
      </c>
      <c r="V235">
        <v>140.5</v>
      </c>
      <c r="W235">
        <v>147.6</v>
      </c>
      <c r="X235">
        <v>150.6</v>
      </c>
      <c r="Y235">
        <v>139.30000000000001</v>
      </c>
      <c r="Z235">
        <v>144.19999999999999</v>
      </c>
      <c r="AA235">
        <v>147.9</v>
      </c>
      <c r="AB235">
        <v>125.6</v>
      </c>
      <c r="AC235">
        <v>140.5</v>
      </c>
      <c r="AD235">
        <v>154</v>
      </c>
      <c r="AE235">
        <v>135.69999999999999</v>
      </c>
      <c r="AF235">
        <v>139.5</v>
      </c>
      <c r="AG235">
        <v>144.19999999999999</v>
      </c>
      <c r="AH235">
        <f t="shared" si="23"/>
        <v>1837.5</v>
      </c>
      <c r="AI235">
        <f t="shared" si="24"/>
        <v>139.30000000000001</v>
      </c>
      <c r="AJ235">
        <f t="shared" si="25"/>
        <v>125.6</v>
      </c>
      <c r="AK235">
        <f t="shared" si="26"/>
        <v>154</v>
      </c>
      <c r="AL235">
        <f t="shared" si="27"/>
        <v>1460.6000000000001</v>
      </c>
    </row>
    <row r="236" spans="1:38" x14ac:dyDescent="0.3">
      <c r="A236" t="s">
        <v>30</v>
      </c>
      <c r="B236" s="28">
        <f t="shared" si="21"/>
        <v>43678</v>
      </c>
      <c r="C236">
        <v>2019</v>
      </c>
      <c r="D236" t="s">
        <v>40</v>
      </c>
      <c r="E236" t="str">
        <f t="shared" si="22"/>
        <v>Aug-19</v>
      </c>
      <c r="F236">
        <f>VLOOKUP(D236,'Problem Statement 4'!$G$2:$H$13,2,0)</f>
        <v>8</v>
      </c>
      <c r="G236">
        <v>139.19999999999999</v>
      </c>
      <c r="H236">
        <v>161.9</v>
      </c>
      <c r="I236">
        <v>137.1</v>
      </c>
      <c r="J236">
        <v>144.6</v>
      </c>
      <c r="K236">
        <v>124.7</v>
      </c>
      <c r="L236">
        <v>145.5</v>
      </c>
      <c r="M236">
        <v>156.19999999999999</v>
      </c>
      <c r="N236">
        <v>131.5</v>
      </c>
      <c r="O236">
        <v>111.7</v>
      </c>
      <c r="P236">
        <v>142.69999999999999</v>
      </c>
      <c r="Q236">
        <v>138.5</v>
      </c>
      <c r="R236">
        <v>156.9</v>
      </c>
      <c r="S236">
        <v>144</v>
      </c>
      <c r="T236">
        <v>165.1</v>
      </c>
      <c r="U236">
        <v>151.80000000000001</v>
      </c>
      <c r="V236">
        <v>146.6</v>
      </c>
      <c r="W236">
        <v>151.1</v>
      </c>
      <c r="X236">
        <v>151.6</v>
      </c>
      <c r="Y236">
        <v>146.4</v>
      </c>
      <c r="Z236">
        <v>150.19999999999999</v>
      </c>
      <c r="AA236">
        <v>152.69999999999999</v>
      </c>
      <c r="AB236">
        <v>131.4</v>
      </c>
      <c r="AC236">
        <v>148</v>
      </c>
      <c r="AD236">
        <v>159.69999999999999</v>
      </c>
      <c r="AE236">
        <v>138.80000000000001</v>
      </c>
      <c r="AF236">
        <v>144.9</v>
      </c>
      <c r="AG236">
        <v>145.69999999999999</v>
      </c>
      <c r="AH236">
        <f t="shared" si="23"/>
        <v>1834.5000000000002</v>
      </c>
      <c r="AI236">
        <f t="shared" si="24"/>
        <v>146.4</v>
      </c>
      <c r="AJ236">
        <f t="shared" si="25"/>
        <v>131.4</v>
      </c>
      <c r="AK236">
        <f t="shared" si="26"/>
        <v>159.69999999999999</v>
      </c>
      <c r="AL236">
        <f t="shared" si="27"/>
        <v>1500.8000000000002</v>
      </c>
    </row>
    <row r="237" spans="1:38" x14ac:dyDescent="0.3">
      <c r="A237" t="s">
        <v>32</v>
      </c>
      <c r="B237" s="28">
        <f t="shared" si="21"/>
        <v>43678</v>
      </c>
      <c r="C237">
        <v>2019</v>
      </c>
      <c r="D237" t="s">
        <v>40</v>
      </c>
      <c r="E237" t="str">
        <f t="shared" si="22"/>
        <v>Aug-19</v>
      </c>
      <c r="F237">
        <f>VLOOKUP(D237,'Problem Statement 4'!$G$2:$H$13,2,0)</f>
        <v>8</v>
      </c>
      <c r="G237">
        <v>142.1</v>
      </c>
      <c r="H237">
        <v>158.30000000000001</v>
      </c>
      <c r="I237">
        <v>140.80000000000001</v>
      </c>
      <c r="J237">
        <v>144.9</v>
      </c>
      <c r="K237">
        <v>119.9</v>
      </c>
      <c r="L237">
        <v>153.9</v>
      </c>
      <c r="M237">
        <v>189.1</v>
      </c>
      <c r="N237">
        <v>129.80000000000001</v>
      </c>
      <c r="O237">
        <v>112.7</v>
      </c>
      <c r="P237">
        <v>142.5</v>
      </c>
      <c r="Q237">
        <v>129.80000000000001</v>
      </c>
      <c r="R237">
        <v>156.19999999999999</v>
      </c>
      <c r="S237">
        <v>149.1</v>
      </c>
      <c r="T237">
        <v>167.9</v>
      </c>
      <c r="U237">
        <v>145</v>
      </c>
      <c r="V237">
        <v>132.19999999999999</v>
      </c>
      <c r="W237">
        <v>143</v>
      </c>
      <c r="X237">
        <v>151.6</v>
      </c>
      <c r="Y237">
        <v>125.5</v>
      </c>
      <c r="Z237">
        <v>138.1</v>
      </c>
      <c r="AA237">
        <v>141.5</v>
      </c>
      <c r="AB237">
        <v>120.8</v>
      </c>
      <c r="AC237">
        <v>135.4</v>
      </c>
      <c r="AD237">
        <v>151.5</v>
      </c>
      <c r="AE237">
        <v>137.80000000000001</v>
      </c>
      <c r="AF237">
        <v>135.30000000000001</v>
      </c>
      <c r="AG237">
        <v>144.19999999999999</v>
      </c>
      <c r="AH237">
        <f t="shared" si="23"/>
        <v>1869.1</v>
      </c>
      <c r="AI237">
        <f t="shared" si="24"/>
        <v>125.5</v>
      </c>
      <c r="AJ237">
        <f t="shared" si="25"/>
        <v>120.8</v>
      </c>
      <c r="AK237">
        <f t="shared" si="26"/>
        <v>151.5</v>
      </c>
      <c r="AL237">
        <f t="shared" si="27"/>
        <v>1427.8</v>
      </c>
    </row>
    <row r="238" spans="1:38" x14ac:dyDescent="0.3">
      <c r="A238" t="s">
        <v>33</v>
      </c>
      <c r="B238" s="28">
        <f t="shared" si="21"/>
        <v>43678</v>
      </c>
      <c r="C238">
        <v>2019</v>
      </c>
      <c r="D238" t="s">
        <v>40</v>
      </c>
      <c r="E238" t="str">
        <f t="shared" si="22"/>
        <v>Aug-19</v>
      </c>
      <c r="F238">
        <f>VLOOKUP(D238,'Problem Statement 4'!$G$2:$H$13,2,0)</f>
        <v>8</v>
      </c>
      <c r="G238">
        <v>140.1</v>
      </c>
      <c r="H238">
        <v>160.6</v>
      </c>
      <c r="I238">
        <v>138.5</v>
      </c>
      <c r="J238">
        <v>144.69999999999999</v>
      </c>
      <c r="K238">
        <v>122.9</v>
      </c>
      <c r="L238">
        <v>149.4</v>
      </c>
      <c r="M238">
        <v>167.4</v>
      </c>
      <c r="N238">
        <v>130.9</v>
      </c>
      <c r="O238">
        <v>112</v>
      </c>
      <c r="P238">
        <v>142.6</v>
      </c>
      <c r="Q238">
        <v>134.9</v>
      </c>
      <c r="R238">
        <v>156.6</v>
      </c>
      <c r="S238">
        <v>145.9</v>
      </c>
      <c r="T238">
        <v>165.8</v>
      </c>
      <c r="U238">
        <v>149.1</v>
      </c>
      <c r="V238">
        <v>140.6</v>
      </c>
      <c r="W238">
        <v>147.9</v>
      </c>
      <c r="X238">
        <v>151.6</v>
      </c>
      <c r="Y238">
        <v>138.5</v>
      </c>
      <c r="Z238">
        <v>144.5</v>
      </c>
      <c r="AA238">
        <v>148.5</v>
      </c>
      <c r="AB238">
        <v>125.8</v>
      </c>
      <c r="AC238">
        <v>140.9</v>
      </c>
      <c r="AD238">
        <v>154.9</v>
      </c>
      <c r="AE238">
        <v>138.4</v>
      </c>
      <c r="AF238">
        <v>140.19999999999999</v>
      </c>
      <c r="AG238">
        <v>145</v>
      </c>
      <c r="AH238">
        <f t="shared" si="23"/>
        <v>1846.5</v>
      </c>
      <c r="AI238">
        <f t="shared" si="24"/>
        <v>138.5</v>
      </c>
      <c r="AJ238">
        <f t="shared" si="25"/>
        <v>125.8</v>
      </c>
      <c r="AK238">
        <f t="shared" si="26"/>
        <v>154.9</v>
      </c>
      <c r="AL238">
        <f t="shared" si="27"/>
        <v>1467.5000000000002</v>
      </c>
    </row>
    <row r="239" spans="1:38" x14ac:dyDescent="0.3">
      <c r="A239" t="s">
        <v>30</v>
      </c>
      <c r="B239" s="28">
        <f t="shared" si="21"/>
        <v>43709</v>
      </c>
      <c r="C239">
        <v>2019</v>
      </c>
      <c r="D239" t="s">
        <v>41</v>
      </c>
      <c r="E239" t="str">
        <f t="shared" si="22"/>
        <v>Sep-19</v>
      </c>
      <c r="F239">
        <f>VLOOKUP(D239,'Problem Statement 4'!$G$2:$H$13,2,0)</f>
        <v>9</v>
      </c>
      <c r="G239">
        <v>140.1</v>
      </c>
      <c r="H239">
        <v>161.9</v>
      </c>
      <c r="I239">
        <v>138.30000000000001</v>
      </c>
      <c r="J239">
        <v>145.69999999999999</v>
      </c>
      <c r="K239">
        <v>125.1</v>
      </c>
      <c r="L239">
        <v>143.80000000000001</v>
      </c>
      <c r="M239">
        <v>163.4</v>
      </c>
      <c r="N239">
        <v>132.19999999999999</v>
      </c>
      <c r="O239">
        <v>112.8</v>
      </c>
      <c r="P239">
        <v>144.19999999999999</v>
      </c>
      <c r="Q239">
        <v>138.5</v>
      </c>
      <c r="R239">
        <v>157.19999999999999</v>
      </c>
      <c r="S239">
        <v>145.5</v>
      </c>
      <c r="T239">
        <v>165.7</v>
      </c>
      <c r="U239">
        <v>151.69999999999999</v>
      </c>
      <c r="V239">
        <v>146.6</v>
      </c>
      <c r="W239">
        <v>151</v>
      </c>
      <c r="X239">
        <v>152.19999999999999</v>
      </c>
      <c r="Y239">
        <v>146.9</v>
      </c>
      <c r="Z239">
        <v>150.30000000000001</v>
      </c>
      <c r="AA239">
        <v>153.4</v>
      </c>
      <c r="AB239">
        <v>131.6</v>
      </c>
      <c r="AC239">
        <v>148.30000000000001</v>
      </c>
      <c r="AD239">
        <v>160.19999999999999</v>
      </c>
      <c r="AE239">
        <v>140.19999999999999</v>
      </c>
      <c r="AF239">
        <v>145.4</v>
      </c>
      <c r="AG239">
        <v>146.69999999999999</v>
      </c>
      <c r="AH239">
        <f t="shared" si="23"/>
        <v>1848.7</v>
      </c>
      <c r="AI239">
        <f t="shared" si="24"/>
        <v>146.9</v>
      </c>
      <c r="AJ239">
        <f t="shared" si="25"/>
        <v>131.6</v>
      </c>
      <c r="AK239">
        <f t="shared" si="26"/>
        <v>160.19999999999999</v>
      </c>
      <c r="AL239">
        <f t="shared" si="27"/>
        <v>1504.8000000000002</v>
      </c>
    </row>
    <row r="240" spans="1:38" x14ac:dyDescent="0.3">
      <c r="A240" t="s">
        <v>32</v>
      </c>
      <c r="B240" s="28">
        <f t="shared" si="21"/>
        <v>43709</v>
      </c>
      <c r="C240">
        <v>2019</v>
      </c>
      <c r="D240" t="s">
        <v>41</v>
      </c>
      <c r="E240" t="str">
        <f t="shared" si="22"/>
        <v>Sep-19</v>
      </c>
      <c r="F240">
        <f>VLOOKUP(D240,'Problem Statement 4'!$G$2:$H$13,2,0)</f>
        <v>9</v>
      </c>
      <c r="G240">
        <v>142.69999999999999</v>
      </c>
      <c r="H240">
        <v>158.69999999999999</v>
      </c>
      <c r="I240">
        <v>141.6</v>
      </c>
      <c r="J240">
        <v>144.9</v>
      </c>
      <c r="K240">
        <v>120.8</v>
      </c>
      <c r="L240">
        <v>149.80000000000001</v>
      </c>
      <c r="M240">
        <v>192.4</v>
      </c>
      <c r="N240">
        <v>130.30000000000001</v>
      </c>
      <c r="O240">
        <v>114</v>
      </c>
      <c r="P240">
        <v>143.80000000000001</v>
      </c>
      <c r="Q240">
        <v>130</v>
      </c>
      <c r="R240">
        <v>156.4</v>
      </c>
      <c r="S240">
        <v>149.5</v>
      </c>
      <c r="T240">
        <v>168.6</v>
      </c>
      <c r="U240">
        <v>145.30000000000001</v>
      </c>
      <c r="V240">
        <v>132.19999999999999</v>
      </c>
      <c r="W240">
        <v>143.30000000000001</v>
      </c>
      <c r="X240">
        <v>152.19999999999999</v>
      </c>
      <c r="Y240">
        <v>126.6</v>
      </c>
      <c r="Z240">
        <v>138.30000000000001</v>
      </c>
      <c r="AA240">
        <v>141.9</v>
      </c>
      <c r="AB240">
        <v>121.2</v>
      </c>
      <c r="AC240">
        <v>135.9</v>
      </c>
      <c r="AD240">
        <v>151.6</v>
      </c>
      <c r="AE240">
        <v>139</v>
      </c>
      <c r="AF240">
        <v>135.69999999999999</v>
      </c>
      <c r="AG240">
        <v>144.69999999999999</v>
      </c>
      <c r="AH240">
        <f t="shared" si="23"/>
        <v>1874.9</v>
      </c>
      <c r="AI240">
        <f t="shared" si="24"/>
        <v>126.6</v>
      </c>
      <c r="AJ240">
        <f t="shared" si="25"/>
        <v>121.2</v>
      </c>
      <c r="AK240">
        <f t="shared" si="26"/>
        <v>151.6</v>
      </c>
      <c r="AL240">
        <f t="shared" si="27"/>
        <v>1432.3999999999999</v>
      </c>
    </row>
    <row r="241" spans="1:38" x14ac:dyDescent="0.3">
      <c r="A241" t="s">
        <v>33</v>
      </c>
      <c r="B241" s="28">
        <f t="shared" si="21"/>
        <v>43709</v>
      </c>
      <c r="C241">
        <v>2019</v>
      </c>
      <c r="D241" t="s">
        <v>41</v>
      </c>
      <c r="E241" t="str">
        <f t="shared" si="22"/>
        <v>Sep-19</v>
      </c>
      <c r="F241">
        <f>VLOOKUP(D241,'Problem Statement 4'!$G$2:$H$13,2,0)</f>
        <v>9</v>
      </c>
      <c r="G241">
        <v>140.9</v>
      </c>
      <c r="H241">
        <v>160.80000000000001</v>
      </c>
      <c r="I241">
        <v>139.6</v>
      </c>
      <c r="J241">
        <v>145.4</v>
      </c>
      <c r="K241">
        <v>123.5</v>
      </c>
      <c r="L241">
        <v>146.6</v>
      </c>
      <c r="M241">
        <v>173.2</v>
      </c>
      <c r="N241">
        <v>131.6</v>
      </c>
      <c r="O241">
        <v>113.2</v>
      </c>
      <c r="P241">
        <v>144.1</v>
      </c>
      <c r="Q241">
        <v>135</v>
      </c>
      <c r="R241">
        <v>156.80000000000001</v>
      </c>
      <c r="S241">
        <v>147</v>
      </c>
      <c r="T241">
        <v>166.5</v>
      </c>
      <c r="U241">
        <v>149.19999999999999</v>
      </c>
      <c r="V241">
        <v>140.6</v>
      </c>
      <c r="W241">
        <v>147.9</v>
      </c>
      <c r="X241">
        <v>152.19999999999999</v>
      </c>
      <c r="Y241">
        <v>139.19999999999999</v>
      </c>
      <c r="Z241">
        <v>144.6</v>
      </c>
      <c r="AA241">
        <v>149</v>
      </c>
      <c r="AB241">
        <v>126.1</v>
      </c>
      <c r="AC241">
        <v>141.30000000000001</v>
      </c>
      <c r="AD241">
        <v>155.19999999999999</v>
      </c>
      <c r="AE241">
        <v>139.69999999999999</v>
      </c>
      <c r="AF241">
        <v>140.69999999999999</v>
      </c>
      <c r="AG241">
        <v>145.80000000000001</v>
      </c>
      <c r="AH241">
        <f t="shared" si="23"/>
        <v>1857.6999999999998</v>
      </c>
      <c r="AI241">
        <f t="shared" si="24"/>
        <v>139.19999999999999</v>
      </c>
      <c r="AJ241">
        <f t="shared" si="25"/>
        <v>126.1</v>
      </c>
      <c r="AK241">
        <f t="shared" si="26"/>
        <v>155.19999999999999</v>
      </c>
      <c r="AL241">
        <f t="shared" si="27"/>
        <v>1471.7</v>
      </c>
    </row>
    <row r="242" spans="1:38" x14ac:dyDescent="0.3">
      <c r="A242" t="s">
        <v>30</v>
      </c>
      <c r="B242" s="28">
        <f t="shared" si="21"/>
        <v>43739</v>
      </c>
      <c r="C242">
        <v>2019</v>
      </c>
      <c r="D242" t="s">
        <v>42</v>
      </c>
      <c r="E242" t="str">
        <f t="shared" si="22"/>
        <v>Oct-19</v>
      </c>
      <c r="F242">
        <f>VLOOKUP(D242,'Problem Statement 4'!$G$2:$H$13,2,0)</f>
        <v>10</v>
      </c>
      <c r="G242">
        <v>141</v>
      </c>
      <c r="H242">
        <v>161.6</v>
      </c>
      <c r="I242">
        <v>141.19999999999999</v>
      </c>
      <c r="J242">
        <v>146.5</v>
      </c>
      <c r="K242">
        <v>125.6</v>
      </c>
      <c r="L242">
        <v>145.69999999999999</v>
      </c>
      <c r="M242">
        <v>178.8</v>
      </c>
      <c r="N242">
        <v>133.1</v>
      </c>
      <c r="O242">
        <v>113.6</v>
      </c>
      <c r="P242">
        <v>145.5</v>
      </c>
      <c r="Q242">
        <v>138.6</v>
      </c>
      <c r="R242">
        <v>157.4</v>
      </c>
      <c r="S242">
        <v>148.30000000000001</v>
      </c>
      <c r="T242">
        <v>166.3</v>
      </c>
      <c r="U242">
        <v>151.69999999999999</v>
      </c>
      <c r="V242">
        <v>146.69999999999999</v>
      </c>
      <c r="W242">
        <v>151</v>
      </c>
      <c r="X242">
        <v>153</v>
      </c>
      <c r="Y242">
        <v>147.69999999999999</v>
      </c>
      <c r="Z242">
        <v>150.6</v>
      </c>
      <c r="AA242">
        <v>153.69999999999999</v>
      </c>
      <c r="AB242">
        <v>131.69999999999999</v>
      </c>
      <c r="AC242">
        <v>148.69999999999999</v>
      </c>
      <c r="AD242">
        <v>160.69999999999999</v>
      </c>
      <c r="AE242">
        <v>140.30000000000001</v>
      </c>
      <c r="AF242">
        <v>145.69999999999999</v>
      </c>
      <c r="AG242">
        <v>148.30000000000001</v>
      </c>
      <c r="AH242">
        <f t="shared" si="23"/>
        <v>1876.8999999999996</v>
      </c>
      <c r="AI242">
        <f t="shared" si="24"/>
        <v>147.69999999999999</v>
      </c>
      <c r="AJ242">
        <f t="shared" si="25"/>
        <v>131.69999999999999</v>
      </c>
      <c r="AK242">
        <f t="shared" si="26"/>
        <v>160.69999999999999</v>
      </c>
      <c r="AL242">
        <f t="shared" si="27"/>
        <v>1507.7</v>
      </c>
    </row>
    <row r="243" spans="1:38" x14ac:dyDescent="0.3">
      <c r="A243" t="s">
        <v>32</v>
      </c>
      <c r="B243" s="28">
        <f t="shared" si="21"/>
        <v>43739</v>
      </c>
      <c r="C243">
        <v>2019</v>
      </c>
      <c r="D243" t="s">
        <v>42</v>
      </c>
      <c r="E243" t="str">
        <f t="shared" si="22"/>
        <v>Oct-19</v>
      </c>
      <c r="F243">
        <f>VLOOKUP(D243,'Problem Statement 4'!$G$2:$H$13,2,0)</f>
        <v>10</v>
      </c>
      <c r="G243">
        <v>143.5</v>
      </c>
      <c r="H243">
        <v>159.80000000000001</v>
      </c>
      <c r="I243">
        <v>144.69999999999999</v>
      </c>
      <c r="J243">
        <v>145.6</v>
      </c>
      <c r="K243">
        <v>121.1</v>
      </c>
      <c r="L243">
        <v>150.6</v>
      </c>
      <c r="M243">
        <v>207.2</v>
      </c>
      <c r="N243">
        <v>131.19999999999999</v>
      </c>
      <c r="O243">
        <v>114.8</v>
      </c>
      <c r="P243">
        <v>145.19999999999999</v>
      </c>
      <c r="Q243">
        <v>130.19999999999999</v>
      </c>
      <c r="R243">
        <v>156.80000000000001</v>
      </c>
      <c r="S243">
        <v>151.9</v>
      </c>
      <c r="T243">
        <v>169.3</v>
      </c>
      <c r="U243">
        <v>145.9</v>
      </c>
      <c r="V243">
        <v>132.4</v>
      </c>
      <c r="W243">
        <v>143.9</v>
      </c>
      <c r="X243">
        <v>153</v>
      </c>
      <c r="Y243">
        <v>128.9</v>
      </c>
      <c r="Z243">
        <v>138.69999999999999</v>
      </c>
      <c r="AA243">
        <v>142.4</v>
      </c>
      <c r="AB243">
        <v>121.5</v>
      </c>
      <c r="AC243">
        <v>136.19999999999999</v>
      </c>
      <c r="AD243">
        <v>151.69999999999999</v>
      </c>
      <c r="AE243">
        <v>139.5</v>
      </c>
      <c r="AF243">
        <v>136</v>
      </c>
      <c r="AG243">
        <v>146</v>
      </c>
      <c r="AH243">
        <f t="shared" si="23"/>
        <v>1902.6000000000001</v>
      </c>
      <c r="AI243">
        <f t="shared" si="24"/>
        <v>128.9</v>
      </c>
      <c r="AJ243">
        <f t="shared" si="25"/>
        <v>121.5</v>
      </c>
      <c r="AK243">
        <f t="shared" si="26"/>
        <v>151.69999999999999</v>
      </c>
      <c r="AL243">
        <f t="shared" si="27"/>
        <v>1437.3000000000002</v>
      </c>
    </row>
    <row r="244" spans="1:38" x14ac:dyDescent="0.3">
      <c r="A244" t="s">
        <v>33</v>
      </c>
      <c r="B244" s="28">
        <f t="shared" si="21"/>
        <v>43739</v>
      </c>
      <c r="C244">
        <v>2019</v>
      </c>
      <c r="D244" t="s">
        <v>42</v>
      </c>
      <c r="E244" t="str">
        <f t="shared" si="22"/>
        <v>Oct-19</v>
      </c>
      <c r="F244">
        <f>VLOOKUP(D244,'Problem Statement 4'!$G$2:$H$13,2,0)</f>
        <v>10</v>
      </c>
      <c r="G244">
        <v>141.80000000000001</v>
      </c>
      <c r="H244">
        <v>161</v>
      </c>
      <c r="I244">
        <v>142.6</v>
      </c>
      <c r="J244">
        <v>146.19999999999999</v>
      </c>
      <c r="K244">
        <v>123.9</v>
      </c>
      <c r="L244">
        <v>148</v>
      </c>
      <c r="M244">
        <v>188.4</v>
      </c>
      <c r="N244">
        <v>132.5</v>
      </c>
      <c r="O244">
        <v>114</v>
      </c>
      <c r="P244">
        <v>145.4</v>
      </c>
      <c r="Q244">
        <v>135.1</v>
      </c>
      <c r="R244">
        <v>157.1</v>
      </c>
      <c r="S244">
        <v>149.6</v>
      </c>
      <c r="T244">
        <v>167.1</v>
      </c>
      <c r="U244">
        <v>149.4</v>
      </c>
      <c r="V244">
        <v>140.80000000000001</v>
      </c>
      <c r="W244">
        <v>148.19999999999999</v>
      </c>
      <c r="X244">
        <v>153</v>
      </c>
      <c r="Y244">
        <v>140.6</v>
      </c>
      <c r="Z244">
        <v>145</v>
      </c>
      <c r="AA244">
        <v>149.4</v>
      </c>
      <c r="AB244">
        <v>126.3</v>
      </c>
      <c r="AC244">
        <v>141.69999999999999</v>
      </c>
      <c r="AD244">
        <v>155.4</v>
      </c>
      <c r="AE244">
        <v>140</v>
      </c>
      <c r="AF244">
        <v>141</v>
      </c>
      <c r="AG244">
        <v>147.19999999999999</v>
      </c>
      <c r="AH244">
        <f t="shared" si="23"/>
        <v>1885.5999999999997</v>
      </c>
      <c r="AI244">
        <f t="shared" si="24"/>
        <v>140.6</v>
      </c>
      <c r="AJ244">
        <f t="shared" si="25"/>
        <v>126.3</v>
      </c>
      <c r="AK244">
        <f t="shared" si="26"/>
        <v>155.4</v>
      </c>
      <c r="AL244">
        <f t="shared" si="27"/>
        <v>1475.6000000000001</v>
      </c>
    </row>
    <row r="245" spans="1:38" x14ac:dyDescent="0.3">
      <c r="A245" t="s">
        <v>30</v>
      </c>
      <c r="B245" s="28">
        <f t="shared" si="21"/>
        <v>43770</v>
      </c>
      <c r="C245">
        <v>2019</v>
      </c>
      <c r="D245" t="s">
        <v>44</v>
      </c>
      <c r="E245" t="str">
        <f t="shared" si="22"/>
        <v>Nov-19</v>
      </c>
      <c r="F245">
        <f>VLOOKUP(D245,'Problem Statement 4'!$G$2:$H$13,2,0)</f>
        <v>11</v>
      </c>
      <c r="G245">
        <v>141.80000000000001</v>
      </c>
      <c r="H245">
        <v>163.69999999999999</v>
      </c>
      <c r="I245">
        <v>143.80000000000001</v>
      </c>
      <c r="J245">
        <v>147.1</v>
      </c>
      <c r="K245">
        <v>126</v>
      </c>
      <c r="L245">
        <v>146.19999999999999</v>
      </c>
      <c r="M245">
        <v>191.4</v>
      </c>
      <c r="N245">
        <v>136.19999999999999</v>
      </c>
      <c r="O245">
        <v>113.8</v>
      </c>
      <c r="P245">
        <v>147.30000000000001</v>
      </c>
      <c r="Q245">
        <v>138.69999999999999</v>
      </c>
      <c r="R245">
        <v>157.69999999999999</v>
      </c>
      <c r="S245">
        <v>150.9</v>
      </c>
      <c r="T245">
        <v>167.2</v>
      </c>
      <c r="U245">
        <v>152.30000000000001</v>
      </c>
      <c r="V245">
        <v>147</v>
      </c>
      <c r="W245">
        <v>151.5</v>
      </c>
      <c r="X245">
        <v>153.5</v>
      </c>
      <c r="Y245">
        <v>148.4</v>
      </c>
      <c r="Z245">
        <v>150.9</v>
      </c>
      <c r="AA245">
        <v>154.30000000000001</v>
      </c>
      <c r="AB245">
        <v>132.1</v>
      </c>
      <c r="AC245">
        <v>149.1</v>
      </c>
      <c r="AD245">
        <v>160.80000000000001</v>
      </c>
      <c r="AE245">
        <v>140.6</v>
      </c>
      <c r="AF245">
        <v>146.1</v>
      </c>
      <c r="AG245">
        <v>149.9</v>
      </c>
      <c r="AH245">
        <f t="shared" si="23"/>
        <v>1904.6000000000001</v>
      </c>
      <c r="AI245">
        <f t="shared" si="24"/>
        <v>148.4</v>
      </c>
      <c r="AJ245">
        <f t="shared" si="25"/>
        <v>132.1</v>
      </c>
      <c r="AK245">
        <f t="shared" si="26"/>
        <v>160.80000000000001</v>
      </c>
      <c r="AL245">
        <f t="shared" si="27"/>
        <v>1512.4999999999998</v>
      </c>
    </row>
    <row r="246" spans="1:38" x14ac:dyDescent="0.3">
      <c r="A246" t="s">
        <v>32</v>
      </c>
      <c r="B246" s="28">
        <f t="shared" si="21"/>
        <v>43770</v>
      </c>
      <c r="C246">
        <v>2019</v>
      </c>
      <c r="D246" t="s">
        <v>44</v>
      </c>
      <c r="E246" t="str">
        <f t="shared" si="22"/>
        <v>Nov-19</v>
      </c>
      <c r="F246">
        <f>VLOOKUP(D246,'Problem Statement 4'!$G$2:$H$13,2,0)</f>
        <v>11</v>
      </c>
      <c r="G246">
        <v>144.1</v>
      </c>
      <c r="H246">
        <v>162.4</v>
      </c>
      <c r="I246">
        <v>148.4</v>
      </c>
      <c r="J246">
        <v>145.9</v>
      </c>
      <c r="K246">
        <v>121.5</v>
      </c>
      <c r="L246">
        <v>148.80000000000001</v>
      </c>
      <c r="M246">
        <v>215.7</v>
      </c>
      <c r="N246">
        <v>134.6</v>
      </c>
      <c r="O246">
        <v>115</v>
      </c>
      <c r="P246">
        <v>146.30000000000001</v>
      </c>
      <c r="Q246">
        <v>130.5</v>
      </c>
      <c r="R246">
        <v>157.19999999999999</v>
      </c>
      <c r="S246">
        <v>153.6</v>
      </c>
      <c r="T246">
        <v>169.9</v>
      </c>
      <c r="U246">
        <v>146.30000000000001</v>
      </c>
      <c r="V246">
        <v>132.6</v>
      </c>
      <c r="W246">
        <v>144.19999999999999</v>
      </c>
      <c r="X246">
        <v>153.5</v>
      </c>
      <c r="Y246">
        <v>132.19999999999999</v>
      </c>
      <c r="Z246">
        <v>139.1</v>
      </c>
      <c r="AA246">
        <v>142.80000000000001</v>
      </c>
      <c r="AB246">
        <v>121.7</v>
      </c>
      <c r="AC246">
        <v>136.69999999999999</v>
      </c>
      <c r="AD246">
        <v>151.80000000000001</v>
      </c>
      <c r="AE246">
        <v>139.80000000000001</v>
      </c>
      <c r="AF246">
        <v>136.30000000000001</v>
      </c>
      <c r="AG246">
        <v>147</v>
      </c>
      <c r="AH246">
        <f t="shared" si="23"/>
        <v>1923.9999999999998</v>
      </c>
      <c r="AI246">
        <f t="shared" si="24"/>
        <v>132.19999999999999</v>
      </c>
      <c r="AJ246">
        <f t="shared" si="25"/>
        <v>121.7</v>
      </c>
      <c r="AK246">
        <f t="shared" si="26"/>
        <v>151.80000000000001</v>
      </c>
      <c r="AL246">
        <f t="shared" si="27"/>
        <v>1441.2</v>
      </c>
    </row>
    <row r="247" spans="1:38" x14ac:dyDescent="0.3">
      <c r="A247" t="s">
        <v>33</v>
      </c>
      <c r="B247" s="28">
        <f t="shared" si="21"/>
        <v>43770</v>
      </c>
      <c r="C247">
        <v>2019</v>
      </c>
      <c r="D247" t="s">
        <v>44</v>
      </c>
      <c r="E247" t="str">
        <f t="shared" si="22"/>
        <v>Nov-19</v>
      </c>
      <c r="F247">
        <f>VLOOKUP(D247,'Problem Statement 4'!$G$2:$H$13,2,0)</f>
        <v>11</v>
      </c>
      <c r="G247">
        <v>142.5</v>
      </c>
      <c r="H247">
        <v>163.19999999999999</v>
      </c>
      <c r="I247">
        <v>145.6</v>
      </c>
      <c r="J247">
        <v>146.69999999999999</v>
      </c>
      <c r="K247">
        <v>124.3</v>
      </c>
      <c r="L247">
        <v>147.4</v>
      </c>
      <c r="M247">
        <v>199.6</v>
      </c>
      <c r="N247">
        <v>135.69999999999999</v>
      </c>
      <c r="O247">
        <v>114.2</v>
      </c>
      <c r="P247">
        <v>147</v>
      </c>
      <c r="Q247">
        <v>135.30000000000001</v>
      </c>
      <c r="R247">
        <v>157.5</v>
      </c>
      <c r="S247">
        <v>151.9</v>
      </c>
      <c r="T247">
        <v>167.9</v>
      </c>
      <c r="U247">
        <v>149.9</v>
      </c>
      <c r="V247">
        <v>141</v>
      </c>
      <c r="W247">
        <v>148.6</v>
      </c>
      <c r="X247">
        <v>153.5</v>
      </c>
      <c r="Y247">
        <v>142.30000000000001</v>
      </c>
      <c r="Z247">
        <v>145.30000000000001</v>
      </c>
      <c r="AA247">
        <v>149.9</v>
      </c>
      <c r="AB247">
        <v>126.6</v>
      </c>
      <c r="AC247">
        <v>142.1</v>
      </c>
      <c r="AD247">
        <v>155.5</v>
      </c>
      <c r="AE247">
        <v>140.30000000000001</v>
      </c>
      <c r="AF247">
        <v>141.30000000000001</v>
      </c>
      <c r="AG247">
        <v>148.6</v>
      </c>
      <c r="AH247">
        <f t="shared" si="23"/>
        <v>1910.9</v>
      </c>
      <c r="AI247">
        <f t="shared" si="24"/>
        <v>142.30000000000001</v>
      </c>
      <c r="AJ247">
        <f t="shared" si="25"/>
        <v>126.6</v>
      </c>
      <c r="AK247">
        <f t="shared" si="26"/>
        <v>155.5</v>
      </c>
      <c r="AL247">
        <f t="shared" si="27"/>
        <v>1479.8</v>
      </c>
    </row>
    <row r="248" spans="1:38" x14ac:dyDescent="0.3">
      <c r="A248" t="s">
        <v>30</v>
      </c>
      <c r="B248" s="28">
        <f t="shared" si="21"/>
        <v>43800</v>
      </c>
      <c r="C248">
        <v>2019</v>
      </c>
      <c r="D248" t="s">
        <v>45</v>
      </c>
      <c r="E248" t="str">
        <f t="shared" si="22"/>
        <v>Dec-19</v>
      </c>
      <c r="F248">
        <f>VLOOKUP(D248,'Problem Statement 4'!$G$2:$H$13,2,0)</f>
        <v>12</v>
      </c>
      <c r="G248">
        <v>142.80000000000001</v>
      </c>
      <c r="H248">
        <v>165.3</v>
      </c>
      <c r="I248">
        <v>149.5</v>
      </c>
      <c r="J248">
        <v>148.69999999999999</v>
      </c>
      <c r="K248">
        <v>127.5</v>
      </c>
      <c r="L248">
        <v>144.30000000000001</v>
      </c>
      <c r="M248">
        <v>209.5</v>
      </c>
      <c r="N248">
        <v>138.80000000000001</v>
      </c>
      <c r="O248">
        <v>113.6</v>
      </c>
      <c r="P248">
        <v>149.1</v>
      </c>
      <c r="Q248">
        <v>139.30000000000001</v>
      </c>
      <c r="R248">
        <v>158.30000000000001</v>
      </c>
      <c r="S248">
        <v>154.30000000000001</v>
      </c>
      <c r="T248">
        <v>167.8</v>
      </c>
      <c r="U248">
        <v>152.6</v>
      </c>
      <c r="V248">
        <v>147.30000000000001</v>
      </c>
      <c r="W248">
        <v>151.9</v>
      </c>
      <c r="X248">
        <v>152.80000000000001</v>
      </c>
      <c r="Y248">
        <v>149.9</v>
      </c>
      <c r="Z248">
        <v>151.19999999999999</v>
      </c>
      <c r="AA248">
        <v>154.80000000000001</v>
      </c>
      <c r="AB248">
        <v>135</v>
      </c>
      <c r="AC248">
        <v>149.5</v>
      </c>
      <c r="AD248">
        <v>161.1</v>
      </c>
      <c r="AE248">
        <v>140.6</v>
      </c>
      <c r="AF248">
        <v>147.1</v>
      </c>
      <c r="AG248">
        <v>152.30000000000001</v>
      </c>
      <c r="AH248">
        <f t="shared" si="23"/>
        <v>1940.9999999999995</v>
      </c>
      <c r="AI248">
        <f t="shared" si="24"/>
        <v>149.9</v>
      </c>
      <c r="AJ248">
        <f t="shared" si="25"/>
        <v>135</v>
      </c>
      <c r="AK248">
        <f t="shared" si="26"/>
        <v>161.1</v>
      </c>
      <c r="AL248">
        <f t="shared" si="27"/>
        <v>1515.6</v>
      </c>
    </row>
    <row r="249" spans="1:38" x14ac:dyDescent="0.3">
      <c r="A249" t="s">
        <v>32</v>
      </c>
      <c r="B249" s="28">
        <f t="shared" si="21"/>
        <v>43800</v>
      </c>
      <c r="C249">
        <v>2019</v>
      </c>
      <c r="D249" t="s">
        <v>45</v>
      </c>
      <c r="E249" t="str">
        <f t="shared" si="22"/>
        <v>Dec-19</v>
      </c>
      <c r="F249">
        <f>VLOOKUP(D249,'Problem Statement 4'!$G$2:$H$13,2,0)</f>
        <v>12</v>
      </c>
      <c r="G249">
        <v>144.9</v>
      </c>
      <c r="H249">
        <v>164.5</v>
      </c>
      <c r="I249">
        <v>153.69999999999999</v>
      </c>
      <c r="J249">
        <v>147.5</v>
      </c>
      <c r="K249">
        <v>122.7</v>
      </c>
      <c r="L249">
        <v>147.19999999999999</v>
      </c>
      <c r="M249">
        <v>231.5</v>
      </c>
      <c r="N249">
        <v>137.19999999999999</v>
      </c>
      <c r="O249">
        <v>114.7</v>
      </c>
      <c r="P249">
        <v>148</v>
      </c>
      <c r="Q249">
        <v>130.80000000000001</v>
      </c>
      <c r="R249">
        <v>157.69999999999999</v>
      </c>
      <c r="S249">
        <v>156.30000000000001</v>
      </c>
      <c r="T249">
        <v>170.4</v>
      </c>
      <c r="U249">
        <v>146.80000000000001</v>
      </c>
      <c r="V249">
        <v>132.80000000000001</v>
      </c>
      <c r="W249">
        <v>144.6</v>
      </c>
      <c r="X249">
        <v>152.80000000000001</v>
      </c>
      <c r="Y249">
        <v>133.6</v>
      </c>
      <c r="Z249">
        <v>139.80000000000001</v>
      </c>
      <c r="AA249">
        <v>143.19999999999999</v>
      </c>
      <c r="AB249">
        <v>125.2</v>
      </c>
      <c r="AC249">
        <v>136.80000000000001</v>
      </c>
      <c r="AD249">
        <v>151.9</v>
      </c>
      <c r="AE249">
        <v>140.19999999999999</v>
      </c>
      <c r="AF249">
        <v>137.69999999999999</v>
      </c>
      <c r="AG249">
        <v>148.30000000000001</v>
      </c>
      <c r="AH249">
        <f t="shared" si="23"/>
        <v>1956.7</v>
      </c>
      <c r="AI249">
        <f t="shared" si="24"/>
        <v>133.6</v>
      </c>
      <c r="AJ249">
        <f t="shared" si="25"/>
        <v>125.2</v>
      </c>
      <c r="AK249">
        <f t="shared" si="26"/>
        <v>151.9</v>
      </c>
      <c r="AL249">
        <f t="shared" si="27"/>
        <v>1445.1000000000001</v>
      </c>
    </row>
    <row r="250" spans="1:38" x14ac:dyDescent="0.3">
      <c r="A250" t="s">
        <v>33</v>
      </c>
      <c r="B250" s="28">
        <f t="shared" si="21"/>
        <v>43800</v>
      </c>
      <c r="C250">
        <v>2019</v>
      </c>
      <c r="D250" t="s">
        <v>45</v>
      </c>
      <c r="E250" t="str">
        <f t="shared" si="22"/>
        <v>Dec-19</v>
      </c>
      <c r="F250">
        <f>VLOOKUP(D250,'Problem Statement 4'!$G$2:$H$13,2,0)</f>
        <v>12</v>
      </c>
      <c r="G250">
        <v>143.5</v>
      </c>
      <c r="H250">
        <v>165</v>
      </c>
      <c r="I250">
        <v>151.1</v>
      </c>
      <c r="J250">
        <v>148.30000000000001</v>
      </c>
      <c r="K250">
        <v>125.7</v>
      </c>
      <c r="L250">
        <v>145.69999999999999</v>
      </c>
      <c r="M250">
        <v>217</v>
      </c>
      <c r="N250">
        <v>138.30000000000001</v>
      </c>
      <c r="O250">
        <v>114</v>
      </c>
      <c r="P250">
        <v>148.69999999999999</v>
      </c>
      <c r="Q250">
        <v>135.80000000000001</v>
      </c>
      <c r="R250">
        <v>158</v>
      </c>
      <c r="S250">
        <v>155</v>
      </c>
      <c r="T250">
        <v>168.5</v>
      </c>
      <c r="U250">
        <v>150.30000000000001</v>
      </c>
      <c r="V250">
        <v>141.30000000000001</v>
      </c>
      <c r="W250">
        <v>149</v>
      </c>
      <c r="X250">
        <v>152.80000000000001</v>
      </c>
      <c r="Y250">
        <v>143.69999999999999</v>
      </c>
      <c r="Z250">
        <v>145.80000000000001</v>
      </c>
      <c r="AA250">
        <v>150.4</v>
      </c>
      <c r="AB250">
        <v>129.80000000000001</v>
      </c>
      <c r="AC250">
        <v>142.30000000000001</v>
      </c>
      <c r="AD250">
        <v>155.69999999999999</v>
      </c>
      <c r="AE250">
        <v>140.4</v>
      </c>
      <c r="AF250">
        <v>142.5</v>
      </c>
      <c r="AG250">
        <v>150.4</v>
      </c>
      <c r="AH250">
        <f t="shared" si="23"/>
        <v>1946.1000000000001</v>
      </c>
      <c r="AI250">
        <f t="shared" si="24"/>
        <v>143.69999999999999</v>
      </c>
      <c r="AJ250">
        <f t="shared" si="25"/>
        <v>129.80000000000001</v>
      </c>
      <c r="AK250">
        <f t="shared" si="26"/>
        <v>155.69999999999999</v>
      </c>
      <c r="AL250">
        <f t="shared" si="27"/>
        <v>1483.3000000000002</v>
      </c>
    </row>
    <row r="251" spans="1:38" x14ac:dyDescent="0.3">
      <c r="A251" t="s">
        <v>30</v>
      </c>
      <c r="B251" s="28">
        <f t="shared" si="21"/>
        <v>43831</v>
      </c>
      <c r="C251">
        <v>2020</v>
      </c>
      <c r="D251" t="s">
        <v>31</v>
      </c>
      <c r="E251" t="str">
        <f t="shared" si="22"/>
        <v>Jan-20</v>
      </c>
      <c r="F251">
        <f>VLOOKUP(D251,'Problem Statement 4'!$G$2:$H$13,2,0)</f>
        <v>1</v>
      </c>
      <c r="G251">
        <v>143.69999999999999</v>
      </c>
      <c r="H251">
        <v>167.3</v>
      </c>
      <c r="I251">
        <v>153.5</v>
      </c>
      <c r="J251">
        <v>150.5</v>
      </c>
      <c r="K251">
        <v>132</v>
      </c>
      <c r="L251">
        <v>142.19999999999999</v>
      </c>
      <c r="M251">
        <v>191.5</v>
      </c>
      <c r="N251">
        <v>141.1</v>
      </c>
      <c r="O251">
        <v>113.8</v>
      </c>
      <c r="P251">
        <v>151.6</v>
      </c>
      <c r="Q251">
        <v>139.69999999999999</v>
      </c>
      <c r="R251">
        <v>158.69999999999999</v>
      </c>
      <c r="S251">
        <v>153</v>
      </c>
      <c r="T251">
        <v>168.6</v>
      </c>
      <c r="U251">
        <v>152.80000000000001</v>
      </c>
      <c r="V251">
        <v>147.4</v>
      </c>
      <c r="W251">
        <v>152.1</v>
      </c>
      <c r="X251">
        <v>153.9</v>
      </c>
      <c r="Y251">
        <v>150.4</v>
      </c>
      <c r="Z251">
        <v>151.69999999999999</v>
      </c>
      <c r="AA251">
        <v>155.69999999999999</v>
      </c>
      <c r="AB251">
        <v>136.30000000000001</v>
      </c>
      <c r="AC251">
        <v>150.1</v>
      </c>
      <c r="AD251">
        <v>161.69999999999999</v>
      </c>
      <c r="AE251">
        <v>142.5</v>
      </c>
      <c r="AF251">
        <v>148.1</v>
      </c>
      <c r="AG251">
        <v>151.9</v>
      </c>
      <c r="AH251">
        <f t="shared" si="23"/>
        <v>1938.6</v>
      </c>
      <c r="AI251">
        <f t="shared" si="24"/>
        <v>150.4</v>
      </c>
      <c r="AJ251">
        <f t="shared" si="25"/>
        <v>136.30000000000001</v>
      </c>
      <c r="AK251">
        <f t="shared" si="26"/>
        <v>161.69999999999999</v>
      </c>
      <c r="AL251">
        <f t="shared" si="27"/>
        <v>1522.8999999999999</v>
      </c>
    </row>
    <row r="252" spans="1:38" x14ac:dyDescent="0.3">
      <c r="A252" t="s">
        <v>32</v>
      </c>
      <c r="B252" s="28">
        <f t="shared" si="21"/>
        <v>43831</v>
      </c>
      <c r="C252">
        <v>2020</v>
      </c>
      <c r="D252" t="s">
        <v>31</v>
      </c>
      <c r="E252" t="str">
        <f t="shared" si="22"/>
        <v>Jan-20</v>
      </c>
      <c r="F252">
        <f>VLOOKUP(D252,'Problem Statement 4'!$G$2:$H$13,2,0)</f>
        <v>1</v>
      </c>
      <c r="G252">
        <v>145.6</v>
      </c>
      <c r="H252">
        <v>167.6</v>
      </c>
      <c r="I252">
        <v>157</v>
      </c>
      <c r="J252">
        <v>149.30000000000001</v>
      </c>
      <c r="K252">
        <v>126.3</v>
      </c>
      <c r="L252">
        <v>144.4</v>
      </c>
      <c r="M252">
        <v>207.8</v>
      </c>
      <c r="N252">
        <v>139.1</v>
      </c>
      <c r="O252">
        <v>114.8</v>
      </c>
      <c r="P252">
        <v>149.5</v>
      </c>
      <c r="Q252">
        <v>131.1</v>
      </c>
      <c r="R252">
        <v>158.5</v>
      </c>
      <c r="S252">
        <v>154.4</v>
      </c>
      <c r="T252">
        <v>170.8</v>
      </c>
      <c r="U252">
        <v>147</v>
      </c>
      <c r="V252">
        <v>133.19999999999999</v>
      </c>
      <c r="W252">
        <v>144.9</v>
      </c>
      <c r="X252">
        <v>153.9</v>
      </c>
      <c r="Y252">
        <v>135.1</v>
      </c>
      <c r="Z252">
        <v>140.1</v>
      </c>
      <c r="AA252">
        <v>143.80000000000001</v>
      </c>
      <c r="AB252">
        <v>126.1</v>
      </c>
      <c r="AC252">
        <v>137.19999999999999</v>
      </c>
      <c r="AD252">
        <v>152.1</v>
      </c>
      <c r="AE252">
        <v>142.1</v>
      </c>
      <c r="AF252">
        <v>138.4</v>
      </c>
      <c r="AG252">
        <v>148.19999999999999</v>
      </c>
      <c r="AH252">
        <f t="shared" si="23"/>
        <v>1945.3999999999999</v>
      </c>
      <c r="AI252">
        <f t="shared" si="24"/>
        <v>135.1</v>
      </c>
      <c r="AJ252">
        <f t="shared" si="25"/>
        <v>126.1</v>
      </c>
      <c r="AK252">
        <f t="shared" si="26"/>
        <v>152.1</v>
      </c>
      <c r="AL252">
        <f t="shared" si="27"/>
        <v>1451.4</v>
      </c>
    </row>
    <row r="253" spans="1:38" x14ac:dyDescent="0.3">
      <c r="A253" t="s">
        <v>33</v>
      </c>
      <c r="B253" s="28">
        <f t="shared" si="21"/>
        <v>43831</v>
      </c>
      <c r="C253">
        <v>2020</v>
      </c>
      <c r="D253" t="s">
        <v>31</v>
      </c>
      <c r="E253" t="str">
        <f t="shared" si="22"/>
        <v>Jan-20</v>
      </c>
      <c r="F253">
        <f>VLOOKUP(D253,'Problem Statement 4'!$G$2:$H$13,2,0)</f>
        <v>1</v>
      </c>
      <c r="G253">
        <v>144.30000000000001</v>
      </c>
      <c r="H253">
        <v>167.4</v>
      </c>
      <c r="I253">
        <v>154.9</v>
      </c>
      <c r="J253">
        <v>150.1</v>
      </c>
      <c r="K253">
        <v>129.9</v>
      </c>
      <c r="L253">
        <v>143.19999999999999</v>
      </c>
      <c r="M253">
        <v>197</v>
      </c>
      <c r="N253">
        <v>140.4</v>
      </c>
      <c r="O253">
        <v>114.1</v>
      </c>
      <c r="P253">
        <v>150.9</v>
      </c>
      <c r="Q253">
        <v>136.1</v>
      </c>
      <c r="R253">
        <v>158.6</v>
      </c>
      <c r="S253">
        <v>153.5</v>
      </c>
      <c r="T253">
        <v>169.2</v>
      </c>
      <c r="U253">
        <v>150.5</v>
      </c>
      <c r="V253">
        <v>141.5</v>
      </c>
      <c r="W253">
        <v>149.19999999999999</v>
      </c>
      <c r="X253">
        <v>153.9</v>
      </c>
      <c r="Y253">
        <v>144.6</v>
      </c>
      <c r="Z253">
        <v>146.19999999999999</v>
      </c>
      <c r="AA253">
        <v>151.19999999999999</v>
      </c>
      <c r="AB253">
        <v>130.9</v>
      </c>
      <c r="AC253">
        <v>142.80000000000001</v>
      </c>
      <c r="AD253">
        <v>156.1</v>
      </c>
      <c r="AE253">
        <v>142.30000000000001</v>
      </c>
      <c r="AF253">
        <v>143.4</v>
      </c>
      <c r="AG253">
        <v>150.19999999999999</v>
      </c>
      <c r="AH253">
        <f t="shared" si="23"/>
        <v>1940.3999999999999</v>
      </c>
      <c r="AI253">
        <f t="shared" si="24"/>
        <v>144.6</v>
      </c>
      <c r="AJ253">
        <f t="shared" si="25"/>
        <v>130.9</v>
      </c>
      <c r="AK253">
        <f t="shared" si="26"/>
        <v>156.1</v>
      </c>
      <c r="AL253">
        <f t="shared" si="27"/>
        <v>1490.2</v>
      </c>
    </row>
    <row r="254" spans="1:38" x14ac:dyDescent="0.3">
      <c r="A254" t="s">
        <v>30</v>
      </c>
      <c r="B254" s="28">
        <f t="shared" si="21"/>
        <v>43862</v>
      </c>
      <c r="C254">
        <v>2020</v>
      </c>
      <c r="D254" t="s">
        <v>34</v>
      </c>
      <c r="E254" t="str">
        <f t="shared" si="22"/>
        <v>Feb-20</v>
      </c>
      <c r="F254">
        <f>VLOOKUP(D254,'Problem Statement 4'!$G$2:$H$13,2,0)</f>
        <v>2</v>
      </c>
      <c r="G254">
        <v>144.19999999999999</v>
      </c>
      <c r="H254">
        <v>167.5</v>
      </c>
      <c r="I254">
        <v>150.9</v>
      </c>
      <c r="J254">
        <v>150.9</v>
      </c>
      <c r="K254">
        <v>133.69999999999999</v>
      </c>
      <c r="L254">
        <v>140.69999999999999</v>
      </c>
      <c r="M254">
        <v>165.1</v>
      </c>
      <c r="N254">
        <v>141.80000000000001</v>
      </c>
      <c r="O254">
        <v>113.1</v>
      </c>
      <c r="P254">
        <v>152.80000000000001</v>
      </c>
      <c r="Q254">
        <v>140.1</v>
      </c>
      <c r="R254">
        <v>159.19999999999999</v>
      </c>
      <c r="S254">
        <v>149.80000000000001</v>
      </c>
      <c r="T254">
        <v>169.4</v>
      </c>
      <c r="U254">
        <v>153</v>
      </c>
      <c r="V254">
        <v>147.5</v>
      </c>
      <c r="W254">
        <v>152.30000000000001</v>
      </c>
      <c r="X254">
        <v>154.80000000000001</v>
      </c>
      <c r="Y254">
        <v>152.30000000000001</v>
      </c>
      <c r="Z254">
        <v>151.80000000000001</v>
      </c>
      <c r="AA254">
        <v>156.19999999999999</v>
      </c>
      <c r="AB254">
        <v>136</v>
      </c>
      <c r="AC254">
        <v>150.4</v>
      </c>
      <c r="AD254">
        <v>161.9</v>
      </c>
      <c r="AE254">
        <v>143.4</v>
      </c>
      <c r="AF254">
        <v>148.4</v>
      </c>
      <c r="AG254">
        <v>150.4</v>
      </c>
      <c r="AH254">
        <f t="shared" si="23"/>
        <v>1909.7999999999997</v>
      </c>
      <c r="AI254">
        <f t="shared" si="24"/>
        <v>152.30000000000001</v>
      </c>
      <c r="AJ254">
        <f t="shared" si="25"/>
        <v>136</v>
      </c>
      <c r="AK254">
        <f t="shared" si="26"/>
        <v>161.9</v>
      </c>
      <c r="AL254">
        <f t="shared" si="27"/>
        <v>1527.2000000000003</v>
      </c>
    </row>
    <row r="255" spans="1:38" x14ac:dyDescent="0.3">
      <c r="A255" t="s">
        <v>32</v>
      </c>
      <c r="B255" s="28">
        <f t="shared" si="21"/>
        <v>43862</v>
      </c>
      <c r="C255">
        <v>2020</v>
      </c>
      <c r="D255" t="s">
        <v>34</v>
      </c>
      <c r="E255" t="str">
        <f t="shared" si="22"/>
        <v>Feb-20</v>
      </c>
      <c r="F255">
        <f>VLOOKUP(D255,'Problem Statement 4'!$G$2:$H$13,2,0)</f>
        <v>2</v>
      </c>
      <c r="G255">
        <v>146.19999999999999</v>
      </c>
      <c r="H255">
        <v>167.6</v>
      </c>
      <c r="I255">
        <v>153.1</v>
      </c>
      <c r="J255">
        <v>150.69999999999999</v>
      </c>
      <c r="K255">
        <v>127.4</v>
      </c>
      <c r="L255">
        <v>143.1</v>
      </c>
      <c r="M255">
        <v>181.7</v>
      </c>
      <c r="N255">
        <v>139.6</v>
      </c>
      <c r="O255">
        <v>114.6</v>
      </c>
      <c r="P255">
        <v>150.4</v>
      </c>
      <c r="Q255">
        <v>131.5</v>
      </c>
      <c r="R255">
        <v>159</v>
      </c>
      <c r="S255">
        <v>151.69999999999999</v>
      </c>
      <c r="T255">
        <v>172</v>
      </c>
      <c r="U255">
        <v>147.30000000000001</v>
      </c>
      <c r="V255">
        <v>133.5</v>
      </c>
      <c r="W255">
        <v>145.19999999999999</v>
      </c>
      <c r="X255">
        <v>154.80000000000001</v>
      </c>
      <c r="Y255">
        <v>138.9</v>
      </c>
      <c r="Z255">
        <v>140.4</v>
      </c>
      <c r="AA255">
        <v>144.4</v>
      </c>
      <c r="AB255">
        <v>125.2</v>
      </c>
      <c r="AC255">
        <v>137.69999999999999</v>
      </c>
      <c r="AD255">
        <v>152.19999999999999</v>
      </c>
      <c r="AE255">
        <v>143.5</v>
      </c>
      <c r="AF255">
        <v>138.4</v>
      </c>
      <c r="AG255">
        <v>147.69999999999999</v>
      </c>
      <c r="AH255">
        <f t="shared" si="23"/>
        <v>1916.6</v>
      </c>
      <c r="AI255">
        <f t="shared" si="24"/>
        <v>138.9</v>
      </c>
      <c r="AJ255">
        <f t="shared" si="25"/>
        <v>125.2</v>
      </c>
      <c r="AK255">
        <f t="shared" si="26"/>
        <v>152.19999999999999</v>
      </c>
      <c r="AL255">
        <f t="shared" si="27"/>
        <v>1457.2</v>
      </c>
    </row>
    <row r="256" spans="1:38" x14ac:dyDescent="0.3">
      <c r="A256" t="s">
        <v>33</v>
      </c>
      <c r="B256" s="28">
        <f t="shared" si="21"/>
        <v>43862</v>
      </c>
      <c r="C256">
        <v>2020</v>
      </c>
      <c r="D256" t="s">
        <v>34</v>
      </c>
      <c r="E256" t="str">
        <f t="shared" si="22"/>
        <v>Feb-20</v>
      </c>
      <c r="F256">
        <f>VLOOKUP(D256,'Problem Statement 4'!$G$2:$H$13,2,0)</f>
        <v>2</v>
      </c>
      <c r="G256">
        <v>144.80000000000001</v>
      </c>
      <c r="H256">
        <v>167.5</v>
      </c>
      <c r="I256">
        <v>151.80000000000001</v>
      </c>
      <c r="J256">
        <v>150.80000000000001</v>
      </c>
      <c r="K256">
        <v>131.4</v>
      </c>
      <c r="L256">
        <v>141.80000000000001</v>
      </c>
      <c r="M256">
        <v>170.7</v>
      </c>
      <c r="N256">
        <v>141.1</v>
      </c>
      <c r="O256">
        <v>113.6</v>
      </c>
      <c r="P256">
        <v>152</v>
      </c>
      <c r="Q256">
        <v>136.5</v>
      </c>
      <c r="R256">
        <v>159.1</v>
      </c>
      <c r="S256">
        <v>150.5</v>
      </c>
      <c r="T256">
        <v>170.1</v>
      </c>
      <c r="U256">
        <v>150.80000000000001</v>
      </c>
      <c r="V256">
        <v>141.69999999999999</v>
      </c>
      <c r="W256">
        <v>149.5</v>
      </c>
      <c r="X256">
        <v>154.80000000000001</v>
      </c>
      <c r="Y256">
        <v>147.19999999999999</v>
      </c>
      <c r="Z256">
        <v>146.4</v>
      </c>
      <c r="AA256">
        <v>151.69999999999999</v>
      </c>
      <c r="AB256">
        <v>130.30000000000001</v>
      </c>
      <c r="AC256">
        <v>143.19999999999999</v>
      </c>
      <c r="AD256">
        <v>156.19999999999999</v>
      </c>
      <c r="AE256">
        <v>143.4</v>
      </c>
      <c r="AF256">
        <v>143.6</v>
      </c>
      <c r="AG256">
        <v>149.1</v>
      </c>
      <c r="AH256">
        <f t="shared" si="23"/>
        <v>1911.6</v>
      </c>
      <c r="AI256">
        <f t="shared" si="24"/>
        <v>147.19999999999999</v>
      </c>
      <c r="AJ256">
        <f t="shared" si="25"/>
        <v>130.30000000000001</v>
      </c>
      <c r="AK256">
        <f t="shared" si="26"/>
        <v>156.19999999999999</v>
      </c>
      <c r="AL256">
        <f t="shared" si="27"/>
        <v>1495.1999999999998</v>
      </c>
    </row>
    <row r="257" spans="1:38" x14ac:dyDescent="0.3">
      <c r="A257" t="s">
        <v>30</v>
      </c>
      <c r="B257" s="28">
        <f t="shared" si="21"/>
        <v>43891</v>
      </c>
      <c r="C257">
        <v>2020</v>
      </c>
      <c r="D257" t="s">
        <v>35</v>
      </c>
      <c r="E257" t="str">
        <f t="shared" si="22"/>
        <v>Mar-20</v>
      </c>
      <c r="F257">
        <f>VLOOKUP(D257,'Problem Statement 4'!$G$2:$H$13,2,0)</f>
        <v>3</v>
      </c>
      <c r="G257">
        <v>144.4</v>
      </c>
      <c r="H257">
        <v>166.8</v>
      </c>
      <c r="I257">
        <v>147.6</v>
      </c>
      <c r="J257">
        <v>151.69999999999999</v>
      </c>
      <c r="K257">
        <v>133.30000000000001</v>
      </c>
      <c r="L257">
        <v>141.80000000000001</v>
      </c>
      <c r="M257">
        <v>152.30000000000001</v>
      </c>
      <c r="N257">
        <v>141.80000000000001</v>
      </c>
      <c r="O257">
        <v>112.6</v>
      </c>
      <c r="P257">
        <v>154</v>
      </c>
      <c r="Q257">
        <v>140.1</v>
      </c>
      <c r="R257">
        <v>160</v>
      </c>
      <c r="S257">
        <v>148.19999999999999</v>
      </c>
      <c r="T257">
        <v>170.5</v>
      </c>
      <c r="U257">
        <v>153.4</v>
      </c>
      <c r="V257">
        <v>147.6</v>
      </c>
      <c r="W257">
        <v>152.5</v>
      </c>
      <c r="X257">
        <v>154.5</v>
      </c>
      <c r="Y257">
        <v>153.4</v>
      </c>
      <c r="Z257">
        <v>151.5</v>
      </c>
      <c r="AA257">
        <v>156.69999999999999</v>
      </c>
      <c r="AB257">
        <v>135.80000000000001</v>
      </c>
      <c r="AC257">
        <v>151.19999999999999</v>
      </c>
      <c r="AD257">
        <v>161.19999999999999</v>
      </c>
      <c r="AE257">
        <v>145.1</v>
      </c>
      <c r="AF257">
        <v>148.6</v>
      </c>
      <c r="AG257">
        <v>149.80000000000001</v>
      </c>
      <c r="AH257">
        <f t="shared" si="23"/>
        <v>1894.5999999999997</v>
      </c>
      <c r="AI257">
        <f t="shared" si="24"/>
        <v>153.4</v>
      </c>
      <c r="AJ257">
        <f t="shared" si="25"/>
        <v>135.80000000000001</v>
      </c>
      <c r="AK257">
        <f t="shared" si="26"/>
        <v>161.19999999999999</v>
      </c>
      <c r="AL257">
        <f t="shared" si="27"/>
        <v>1531.6</v>
      </c>
    </row>
    <row r="258" spans="1:38" x14ac:dyDescent="0.3">
      <c r="A258" t="s">
        <v>32</v>
      </c>
      <c r="B258" s="28">
        <f t="shared" si="21"/>
        <v>43891</v>
      </c>
      <c r="C258">
        <v>2020</v>
      </c>
      <c r="D258" t="s">
        <v>35</v>
      </c>
      <c r="E258" t="str">
        <f t="shared" si="22"/>
        <v>Mar-20</v>
      </c>
      <c r="F258">
        <f>VLOOKUP(D258,'Problem Statement 4'!$G$2:$H$13,2,0)</f>
        <v>3</v>
      </c>
      <c r="G258">
        <v>146.5</v>
      </c>
      <c r="H258">
        <v>167.5</v>
      </c>
      <c r="I258">
        <v>148.9</v>
      </c>
      <c r="J258">
        <v>151.1</v>
      </c>
      <c r="K258">
        <v>127.5</v>
      </c>
      <c r="L258">
        <v>143.30000000000001</v>
      </c>
      <c r="M258">
        <v>167</v>
      </c>
      <c r="N258">
        <v>139.69999999999999</v>
      </c>
      <c r="O258">
        <v>114.4</v>
      </c>
      <c r="P258">
        <v>151.5</v>
      </c>
      <c r="Q258">
        <v>131.9</v>
      </c>
      <c r="R258">
        <v>159.1</v>
      </c>
      <c r="S258">
        <v>150.1</v>
      </c>
      <c r="T258">
        <v>173.3</v>
      </c>
      <c r="U258">
        <v>147.69999999999999</v>
      </c>
      <c r="V258">
        <v>133.80000000000001</v>
      </c>
      <c r="W258">
        <v>145.6</v>
      </c>
      <c r="X258">
        <v>154.5</v>
      </c>
      <c r="Y258">
        <v>141.4</v>
      </c>
      <c r="Z258">
        <v>140.80000000000001</v>
      </c>
      <c r="AA258">
        <v>145</v>
      </c>
      <c r="AB258">
        <v>124.6</v>
      </c>
      <c r="AC258">
        <v>137.9</v>
      </c>
      <c r="AD258">
        <v>152.5</v>
      </c>
      <c r="AE258">
        <v>145.30000000000001</v>
      </c>
      <c r="AF258">
        <v>138.69999999999999</v>
      </c>
      <c r="AG258">
        <v>147.30000000000001</v>
      </c>
      <c r="AH258">
        <f t="shared" si="23"/>
        <v>1898.5</v>
      </c>
      <c r="AI258">
        <f t="shared" si="24"/>
        <v>141.4</v>
      </c>
      <c r="AJ258">
        <f t="shared" si="25"/>
        <v>124.6</v>
      </c>
      <c r="AK258">
        <f t="shared" si="26"/>
        <v>152.5</v>
      </c>
      <c r="AL258">
        <f t="shared" si="27"/>
        <v>1462.6000000000001</v>
      </c>
    </row>
    <row r="259" spans="1:38" x14ac:dyDescent="0.3">
      <c r="A259" t="s">
        <v>33</v>
      </c>
      <c r="B259" s="28">
        <f t="shared" ref="B259:B322" si="28">DATE(C259,F259,1)</f>
        <v>43891</v>
      </c>
      <c r="C259">
        <v>2020</v>
      </c>
      <c r="D259" t="s">
        <v>35</v>
      </c>
      <c r="E259" t="str">
        <f t="shared" ref="E259:E322" si="29">_xlfn.CONCAT(TEXT(B259,"mmm"),,"-",RIGHT(C259,2))</f>
        <v>Mar-20</v>
      </c>
      <c r="F259">
        <f>VLOOKUP(D259,'Problem Statement 4'!$G$2:$H$13,2,0)</f>
        <v>3</v>
      </c>
      <c r="G259">
        <v>145.1</v>
      </c>
      <c r="H259">
        <v>167</v>
      </c>
      <c r="I259">
        <v>148.1</v>
      </c>
      <c r="J259">
        <v>151.5</v>
      </c>
      <c r="K259">
        <v>131.19999999999999</v>
      </c>
      <c r="L259">
        <v>142.5</v>
      </c>
      <c r="M259">
        <v>157.30000000000001</v>
      </c>
      <c r="N259">
        <v>141.1</v>
      </c>
      <c r="O259">
        <v>113.2</v>
      </c>
      <c r="P259">
        <v>153.19999999999999</v>
      </c>
      <c r="Q259">
        <v>136.69999999999999</v>
      </c>
      <c r="R259">
        <v>159.6</v>
      </c>
      <c r="S259">
        <v>148.9</v>
      </c>
      <c r="T259">
        <v>171.2</v>
      </c>
      <c r="U259">
        <v>151.19999999999999</v>
      </c>
      <c r="V259">
        <v>141.9</v>
      </c>
      <c r="W259">
        <v>149.80000000000001</v>
      </c>
      <c r="X259">
        <v>154.5</v>
      </c>
      <c r="Y259">
        <v>148.9</v>
      </c>
      <c r="Z259">
        <v>146.4</v>
      </c>
      <c r="AA259">
        <v>152.30000000000001</v>
      </c>
      <c r="AB259">
        <v>129.9</v>
      </c>
      <c r="AC259">
        <v>143.69999999999999</v>
      </c>
      <c r="AD259">
        <v>156.1</v>
      </c>
      <c r="AE259">
        <v>145.19999999999999</v>
      </c>
      <c r="AF259">
        <v>143.80000000000001</v>
      </c>
      <c r="AG259">
        <v>148.6</v>
      </c>
      <c r="AH259">
        <f t="shared" ref="AH259:AH322" si="30">SUM(G259:S259)</f>
        <v>1895.4</v>
      </c>
      <c r="AI259">
        <f t="shared" ref="AI259:AI322" si="31">SUM(Y259)</f>
        <v>148.9</v>
      </c>
      <c r="AJ259">
        <f t="shared" ref="AJ259:AJ322" si="32">SUM(AB259)</f>
        <v>129.9</v>
      </c>
      <c r="AK259">
        <f t="shared" ref="AK259:AK322" si="33">SUM(AD259)</f>
        <v>156.1</v>
      </c>
      <c r="AL259">
        <f t="shared" ref="AL259:AL322" si="34">SUM(T259:X259,Z259:AA259,AC259,AE259:AF259)</f>
        <v>1500</v>
      </c>
    </row>
    <row r="260" spans="1:38" x14ac:dyDescent="0.3">
      <c r="A260" t="s">
        <v>30</v>
      </c>
      <c r="B260" s="28">
        <f t="shared" si="28"/>
        <v>43922</v>
      </c>
      <c r="C260">
        <v>2020</v>
      </c>
      <c r="D260" t="s">
        <v>36</v>
      </c>
      <c r="E260" t="str">
        <f t="shared" si="29"/>
        <v>Apr-20</v>
      </c>
      <c r="F260">
        <f>VLOOKUP(D260,'Problem Statement 4'!$G$2:$H$13,2,0)</f>
        <v>4</v>
      </c>
      <c r="G260">
        <v>147.19999999999999</v>
      </c>
      <c r="H260">
        <v>167</v>
      </c>
      <c r="I260">
        <v>146.9</v>
      </c>
      <c r="J260">
        <v>155.6</v>
      </c>
      <c r="K260">
        <v>137.1</v>
      </c>
      <c r="L260">
        <v>147.30000000000001</v>
      </c>
      <c r="M260">
        <v>162.69999999999999</v>
      </c>
      <c r="N260">
        <v>150.19999999999999</v>
      </c>
      <c r="O260">
        <v>119.8</v>
      </c>
      <c r="P260">
        <v>158.69999999999999</v>
      </c>
      <c r="Q260">
        <v>139.19999999999999</v>
      </c>
      <c r="R260">
        <v>159.6</v>
      </c>
      <c r="S260">
        <v>150.1</v>
      </c>
      <c r="T260">
        <v>171.2</v>
      </c>
      <c r="U260">
        <v>151.19999999999999</v>
      </c>
      <c r="V260">
        <v>141.9</v>
      </c>
      <c r="W260">
        <v>149.80000000000001</v>
      </c>
      <c r="X260">
        <v>155.6</v>
      </c>
      <c r="Y260">
        <v>148.4</v>
      </c>
      <c r="Z260">
        <v>146.4</v>
      </c>
      <c r="AA260">
        <v>154.30000000000001</v>
      </c>
      <c r="AB260">
        <v>129.9</v>
      </c>
      <c r="AC260">
        <v>143.69999999999999</v>
      </c>
      <c r="AD260">
        <v>156.1</v>
      </c>
      <c r="AE260">
        <v>145.19999999999999</v>
      </c>
      <c r="AF260">
        <v>143.80000000000001</v>
      </c>
      <c r="AG260">
        <v>148.6</v>
      </c>
      <c r="AH260">
        <f t="shared" si="30"/>
        <v>1941.4</v>
      </c>
      <c r="AI260">
        <f t="shared" si="31"/>
        <v>148.4</v>
      </c>
      <c r="AJ260">
        <f t="shared" si="32"/>
        <v>129.9</v>
      </c>
      <c r="AK260">
        <f t="shared" si="33"/>
        <v>156.1</v>
      </c>
      <c r="AL260">
        <f t="shared" si="34"/>
        <v>1503.1</v>
      </c>
    </row>
    <row r="261" spans="1:38" x14ac:dyDescent="0.3">
      <c r="A261" t="s">
        <v>32</v>
      </c>
      <c r="B261" s="28">
        <f t="shared" si="28"/>
        <v>43922</v>
      </c>
      <c r="C261">
        <v>2020</v>
      </c>
      <c r="D261" t="s">
        <v>36</v>
      </c>
      <c r="E261" t="str">
        <f t="shared" si="29"/>
        <v>Apr-20</v>
      </c>
      <c r="F261">
        <f>VLOOKUP(D261,'Problem Statement 4'!$G$2:$H$13,2,0)</f>
        <v>4</v>
      </c>
      <c r="G261">
        <v>151.80000000000001</v>
      </c>
      <c r="H261">
        <v>167</v>
      </c>
      <c r="I261">
        <v>151.9</v>
      </c>
      <c r="J261">
        <v>155.5</v>
      </c>
      <c r="K261">
        <v>131.6</v>
      </c>
      <c r="L261">
        <v>152.9</v>
      </c>
      <c r="M261">
        <v>180</v>
      </c>
      <c r="N261">
        <v>150.80000000000001</v>
      </c>
      <c r="O261">
        <v>121.2</v>
      </c>
      <c r="P261">
        <v>154</v>
      </c>
      <c r="Q261">
        <v>133.5</v>
      </c>
      <c r="R261">
        <v>159.6</v>
      </c>
      <c r="S261">
        <v>153.5</v>
      </c>
      <c r="T261">
        <v>171.2</v>
      </c>
      <c r="U261">
        <v>151.19999999999999</v>
      </c>
      <c r="V261">
        <v>141.9</v>
      </c>
      <c r="W261">
        <v>149.80000000000001</v>
      </c>
      <c r="X261">
        <v>155.6</v>
      </c>
      <c r="Y261">
        <v>137.1</v>
      </c>
      <c r="Z261">
        <v>146.4</v>
      </c>
      <c r="AA261">
        <v>144.80000000000001</v>
      </c>
      <c r="AB261">
        <v>129.9</v>
      </c>
      <c r="AC261">
        <v>143.69999999999999</v>
      </c>
      <c r="AD261">
        <v>156.1</v>
      </c>
      <c r="AE261">
        <v>145.19999999999999</v>
      </c>
      <c r="AF261">
        <v>143.80000000000001</v>
      </c>
      <c r="AG261">
        <v>148.6</v>
      </c>
      <c r="AH261">
        <f t="shared" si="30"/>
        <v>1963.3</v>
      </c>
      <c r="AI261">
        <f t="shared" si="31"/>
        <v>137.1</v>
      </c>
      <c r="AJ261">
        <f t="shared" si="32"/>
        <v>129.9</v>
      </c>
      <c r="AK261">
        <f t="shared" si="33"/>
        <v>156.1</v>
      </c>
      <c r="AL261">
        <f t="shared" si="34"/>
        <v>1493.6</v>
      </c>
    </row>
    <row r="262" spans="1:38" x14ac:dyDescent="0.3">
      <c r="A262" t="s">
        <v>33</v>
      </c>
      <c r="B262" s="28">
        <f t="shared" si="28"/>
        <v>43922</v>
      </c>
      <c r="C262">
        <v>2020</v>
      </c>
      <c r="D262" t="s">
        <v>36</v>
      </c>
      <c r="E262" t="str">
        <f t="shared" si="29"/>
        <v>Apr-20</v>
      </c>
      <c r="F262">
        <f>VLOOKUP(D262,'Problem Statement 4'!$G$2:$H$13,2,0)</f>
        <v>4</v>
      </c>
      <c r="G262">
        <v>148.69999999999999</v>
      </c>
      <c r="H262">
        <v>167</v>
      </c>
      <c r="I262">
        <v>148.80000000000001</v>
      </c>
      <c r="J262">
        <v>155.6</v>
      </c>
      <c r="K262">
        <v>135.1</v>
      </c>
      <c r="L262">
        <v>149.9</v>
      </c>
      <c r="M262">
        <v>168.6</v>
      </c>
      <c r="N262">
        <v>150.4</v>
      </c>
      <c r="O262">
        <v>120.3</v>
      </c>
      <c r="P262">
        <v>157.1</v>
      </c>
      <c r="Q262">
        <v>136.80000000000001</v>
      </c>
      <c r="R262">
        <v>159.6</v>
      </c>
      <c r="S262">
        <v>151.4</v>
      </c>
      <c r="T262">
        <v>171.2</v>
      </c>
      <c r="U262">
        <v>151.19999999999999</v>
      </c>
      <c r="V262">
        <v>141.9</v>
      </c>
      <c r="W262">
        <v>149.80000000000001</v>
      </c>
      <c r="X262">
        <v>155.6</v>
      </c>
      <c r="Y262">
        <v>144.1</v>
      </c>
      <c r="Z262">
        <v>146.4</v>
      </c>
      <c r="AA262">
        <v>150.69999999999999</v>
      </c>
      <c r="AB262">
        <v>129.9</v>
      </c>
      <c r="AC262">
        <v>143.69999999999999</v>
      </c>
      <c r="AD262">
        <v>156.1</v>
      </c>
      <c r="AE262">
        <v>145.19999999999999</v>
      </c>
      <c r="AF262">
        <v>143.80000000000001</v>
      </c>
      <c r="AG262">
        <v>148.6</v>
      </c>
      <c r="AH262">
        <f t="shared" si="30"/>
        <v>1949.3</v>
      </c>
      <c r="AI262">
        <f t="shared" si="31"/>
        <v>144.1</v>
      </c>
      <c r="AJ262">
        <f t="shared" si="32"/>
        <v>129.9</v>
      </c>
      <c r="AK262">
        <f t="shared" si="33"/>
        <v>156.1</v>
      </c>
      <c r="AL262">
        <f t="shared" si="34"/>
        <v>1499.5</v>
      </c>
    </row>
    <row r="263" spans="1:38" x14ac:dyDescent="0.3">
      <c r="A263" t="s">
        <v>30</v>
      </c>
      <c r="B263" s="28">
        <f t="shared" si="28"/>
        <v>43952</v>
      </c>
      <c r="C263">
        <v>2020</v>
      </c>
      <c r="D263" t="s">
        <v>37</v>
      </c>
      <c r="E263" t="str">
        <f t="shared" si="29"/>
        <v>May-20</v>
      </c>
      <c r="F263">
        <f>VLOOKUP(D263,'Problem Statement 4'!$G$2:$H$13,2,0)</f>
        <v>5</v>
      </c>
      <c r="G263">
        <v>148.69999999999999</v>
      </c>
      <c r="H263">
        <v>167</v>
      </c>
      <c r="I263">
        <v>148.80000000000001</v>
      </c>
      <c r="J263">
        <v>155.6</v>
      </c>
      <c r="K263">
        <v>135.1</v>
      </c>
      <c r="L263">
        <v>149.9</v>
      </c>
      <c r="M263">
        <v>168.6</v>
      </c>
      <c r="N263">
        <v>150.4</v>
      </c>
      <c r="O263">
        <v>120.3</v>
      </c>
      <c r="P263">
        <v>157.1</v>
      </c>
      <c r="Q263">
        <v>136.80000000000001</v>
      </c>
      <c r="R263">
        <v>159.6</v>
      </c>
      <c r="S263">
        <v>151.4</v>
      </c>
      <c r="T263">
        <v>171.2</v>
      </c>
      <c r="U263">
        <v>151.19999999999999</v>
      </c>
      <c r="V263">
        <v>141.9</v>
      </c>
      <c r="W263">
        <v>149.80000000000001</v>
      </c>
      <c r="X263">
        <v>155.6</v>
      </c>
      <c r="Y263">
        <v>144.1</v>
      </c>
      <c r="Z263">
        <v>146.4</v>
      </c>
      <c r="AA263">
        <v>150.69999999999999</v>
      </c>
      <c r="AB263">
        <v>129.9</v>
      </c>
      <c r="AC263">
        <v>143.69999999999999</v>
      </c>
      <c r="AD263">
        <v>156.1</v>
      </c>
      <c r="AE263">
        <v>145.19999999999999</v>
      </c>
      <c r="AF263">
        <v>143.80000000000001</v>
      </c>
      <c r="AG263">
        <v>148.6</v>
      </c>
      <c r="AH263">
        <f t="shared" si="30"/>
        <v>1949.3</v>
      </c>
      <c r="AI263">
        <f t="shared" si="31"/>
        <v>144.1</v>
      </c>
      <c r="AJ263">
        <f t="shared" si="32"/>
        <v>129.9</v>
      </c>
      <c r="AK263">
        <f t="shared" si="33"/>
        <v>156.1</v>
      </c>
      <c r="AL263">
        <f t="shared" si="34"/>
        <v>1499.5</v>
      </c>
    </row>
    <row r="264" spans="1:38" x14ac:dyDescent="0.3">
      <c r="A264" t="s">
        <v>32</v>
      </c>
      <c r="B264" s="28">
        <f t="shared" si="28"/>
        <v>43952</v>
      </c>
      <c r="C264">
        <v>2020</v>
      </c>
      <c r="D264" t="s">
        <v>37</v>
      </c>
      <c r="E264" t="str">
        <f t="shared" si="29"/>
        <v>May-20</v>
      </c>
      <c r="F264">
        <f>VLOOKUP(D264,'Problem Statement 4'!$G$2:$H$13,2,0)</f>
        <v>5</v>
      </c>
      <c r="G264">
        <v>148.69999999999999</v>
      </c>
      <c r="H264">
        <v>167</v>
      </c>
      <c r="I264">
        <v>148.80000000000001</v>
      </c>
      <c r="J264">
        <v>155.6</v>
      </c>
      <c r="K264">
        <v>135.1</v>
      </c>
      <c r="L264">
        <v>149.9</v>
      </c>
      <c r="M264">
        <v>168.6</v>
      </c>
      <c r="N264">
        <v>150.4</v>
      </c>
      <c r="O264">
        <v>120.3</v>
      </c>
      <c r="P264">
        <v>157.1</v>
      </c>
      <c r="Q264">
        <v>136.80000000000001</v>
      </c>
      <c r="R264">
        <v>159.6</v>
      </c>
      <c r="S264">
        <v>151.4</v>
      </c>
      <c r="T264">
        <v>171.2</v>
      </c>
      <c r="U264">
        <v>151.19999999999999</v>
      </c>
      <c r="V264">
        <v>141.9</v>
      </c>
      <c r="W264">
        <v>149.80000000000001</v>
      </c>
      <c r="X264">
        <v>155.6</v>
      </c>
      <c r="Y264">
        <v>144.1</v>
      </c>
      <c r="Z264">
        <v>146.4</v>
      </c>
      <c r="AA264">
        <v>150.69999999999999</v>
      </c>
      <c r="AB264">
        <v>129.9</v>
      </c>
      <c r="AC264">
        <v>143.69999999999999</v>
      </c>
      <c r="AD264">
        <v>156.1</v>
      </c>
      <c r="AE264">
        <v>145.19999999999999</v>
      </c>
      <c r="AF264">
        <v>143.80000000000001</v>
      </c>
      <c r="AG264">
        <v>148.6</v>
      </c>
      <c r="AH264">
        <f t="shared" si="30"/>
        <v>1949.3</v>
      </c>
      <c r="AI264">
        <f t="shared" si="31"/>
        <v>144.1</v>
      </c>
      <c r="AJ264">
        <f t="shared" si="32"/>
        <v>129.9</v>
      </c>
      <c r="AK264">
        <f t="shared" si="33"/>
        <v>156.1</v>
      </c>
      <c r="AL264">
        <f t="shared" si="34"/>
        <v>1499.5</v>
      </c>
    </row>
    <row r="265" spans="1:38" x14ac:dyDescent="0.3">
      <c r="A265" t="s">
        <v>33</v>
      </c>
      <c r="B265" s="28">
        <f t="shared" si="28"/>
        <v>43952</v>
      </c>
      <c r="C265">
        <v>2020</v>
      </c>
      <c r="D265" t="s">
        <v>37</v>
      </c>
      <c r="E265" t="str">
        <f t="shared" si="29"/>
        <v>May-20</v>
      </c>
      <c r="F265">
        <f>VLOOKUP(D265,'Problem Statement 4'!$G$2:$H$13,2,0)</f>
        <v>5</v>
      </c>
      <c r="G265">
        <v>148.69999999999999</v>
      </c>
      <c r="H265">
        <v>167</v>
      </c>
      <c r="I265">
        <v>148.80000000000001</v>
      </c>
      <c r="J265">
        <v>155.6</v>
      </c>
      <c r="K265">
        <v>135.1</v>
      </c>
      <c r="L265">
        <v>149.9</v>
      </c>
      <c r="M265">
        <v>168.6</v>
      </c>
      <c r="N265">
        <v>150.4</v>
      </c>
      <c r="O265">
        <v>120.3</v>
      </c>
      <c r="P265">
        <v>157.1</v>
      </c>
      <c r="Q265">
        <v>136.80000000000001</v>
      </c>
      <c r="R265">
        <v>159.6</v>
      </c>
      <c r="S265">
        <v>151.4</v>
      </c>
      <c r="T265">
        <v>171.2</v>
      </c>
      <c r="U265">
        <v>151.19999999999999</v>
      </c>
      <c r="V265">
        <v>141.9</v>
      </c>
      <c r="W265">
        <v>149.80000000000001</v>
      </c>
      <c r="X265">
        <v>155.6</v>
      </c>
      <c r="Y265">
        <v>144.1</v>
      </c>
      <c r="Z265">
        <v>146.4</v>
      </c>
      <c r="AA265">
        <v>150.69999999999999</v>
      </c>
      <c r="AB265">
        <v>129.9</v>
      </c>
      <c r="AC265">
        <v>143.69999999999999</v>
      </c>
      <c r="AD265">
        <v>156.1</v>
      </c>
      <c r="AE265">
        <v>145.19999999999999</v>
      </c>
      <c r="AF265">
        <v>143.80000000000001</v>
      </c>
      <c r="AG265">
        <v>148.6</v>
      </c>
      <c r="AH265">
        <f t="shared" si="30"/>
        <v>1949.3</v>
      </c>
      <c r="AI265">
        <f t="shared" si="31"/>
        <v>144.1</v>
      </c>
      <c r="AJ265">
        <f t="shared" si="32"/>
        <v>129.9</v>
      </c>
      <c r="AK265">
        <f t="shared" si="33"/>
        <v>156.1</v>
      </c>
      <c r="AL265">
        <f t="shared" si="34"/>
        <v>1499.5</v>
      </c>
    </row>
    <row r="266" spans="1:38" x14ac:dyDescent="0.3">
      <c r="A266" t="s">
        <v>30</v>
      </c>
      <c r="B266" s="28">
        <f t="shared" si="28"/>
        <v>43983</v>
      </c>
      <c r="C266">
        <v>2020</v>
      </c>
      <c r="D266" t="s">
        <v>38</v>
      </c>
      <c r="E266" t="str">
        <f t="shared" si="29"/>
        <v>Jun-20</v>
      </c>
      <c r="F266">
        <f>VLOOKUP(D266,'Problem Statement 4'!$G$2:$H$13,2,0)</f>
        <v>6</v>
      </c>
      <c r="G266">
        <v>148.19999999999999</v>
      </c>
      <c r="H266">
        <v>190.3</v>
      </c>
      <c r="I266">
        <v>149.4</v>
      </c>
      <c r="J266">
        <v>153.30000000000001</v>
      </c>
      <c r="K266">
        <v>138.19999999999999</v>
      </c>
      <c r="L266">
        <v>143.19999999999999</v>
      </c>
      <c r="M266">
        <v>148.9</v>
      </c>
      <c r="N266">
        <v>150.30000000000001</v>
      </c>
      <c r="O266">
        <v>113.2</v>
      </c>
      <c r="P266">
        <v>159.80000000000001</v>
      </c>
      <c r="Q266">
        <v>142.1</v>
      </c>
      <c r="R266">
        <v>161.80000000000001</v>
      </c>
      <c r="S266">
        <v>152.30000000000001</v>
      </c>
      <c r="T266">
        <v>182.4</v>
      </c>
      <c r="U266">
        <v>154.69999999999999</v>
      </c>
      <c r="V266">
        <v>150</v>
      </c>
      <c r="W266">
        <v>154.1</v>
      </c>
      <c r="X266">
        <v>155.6</v>
      </c>
      <c r="Y266">
        <v>144.9</v>
      </c>
      <c r="Z266">
        <v>151.69999999999999</v>
      </c>
      <c r="AA266">
        <v>158.19999999999999</v>
      </c>
      <c r="AB266">
        <v>141.4</v>
      </c>
      <c r="AC266">
        <v>153.19999999999999</v>
      </c>
      <c r="AD266">
        <v>161.80000000000001</v>
      </c>
      <c r="AE266">
        <v>151.19999999999999</v>
      </c>
      <c r="AF266">
        <v>151.69999999999999</v>
      </c>
      <c r="AG266">
        <v>152.69999999999999</v>
      </c>
      <c r="AH266">
        <f t="shared" si="30"/>
        <v>1951</v>
      </c>
      <c r="AI266">
        <f t="shared" si="31"/>
        <v>144.9</v>
      </c>
      <c r="AJ266">
        <f t="shared" si="32"/>
        <v>141.4</v>
      </c>
      <c r="AK266">
        <f t="shared" si="33"/>
        <v>161.80000000000001</v>
      </c>
      <c r="AL266">
        <f t="shared" si="34"/>
        <v>1562.8000000000002</v>
      </c>
    </row>
    <row r="267" spans="1:38" x14ac:dyDescent="0.3">
      <c r="A267" t="s">
        <v>32</v>
      </c>
      <c r="B267" s="28">
        <f t="shared" si="28"/>
        <v>43983</v>
      </c>
      <c r="C267">
        <v>2020</v>
      </c>
      <c r="D267" t="s">
        <v>38</v>
      </c>
      <c r="E267" t="str">
        <f t="shared" si="29"/>
        <v>Jun-20</v>
      </c>
      <c r="F267">
        <f>VLOOKUP(D267,'Problem Statement 4'!$G$2:$H$13,2,0)</f>
        <v>6</v>
      </c>
      <c r="G267">
        <v>152.69999999999999</v>
      </c>
      <c r="H267">
        <v>197</v>
      </c>
      <c r="I267">
        <v>154.6</v>
      </c>
      <c r="J267">
        <v>153.4</v>
      </c>
      <c r="K267">
        <v>132.9</v>
      </c>
      <c r="L267">
        <v>151.80000000000001</v>
      </c>
      <c r="M267">
        <v>171.2</v>
      </c>
      <c r="N267">
        <v>152</v>
      </c>
      <c r="O267">
        <v>116.3</v>
      </c>
      <c r="P267">
        <v>158.80000000000001</v>
      </c>
      <c r="Q267">
        <v>135.6</v>
      </c>
      <c r="R267">
        <v>161.69999999999999</v>
      </c>
      <c r="S267">
        <v>157</v>
      </c>
      <c r="T267">
        <v>186.7</v>
      </c>
      <c r="U267">
        <v>149.1</v>
      </c>
      <c r="V267">
        <v>136.6</v>
      </c>
      <c r="W267">
        <v>147.19999999999999</v>
      </c>
      <c r="X267">
        <v>154.69999999999999</v>
      </c>
      <c r="Y267">
        <v>137.1</v>
      </c>
      <c r="Z267">
        <v>140.4</v>
      </c>
      <c r="AA267">
        <v>148.1</v>
      </c>
      <c r="AB267">
        <v>129.30000000000001</v>
      </c>
      <c r="AC267">
        <v>144.5</v>
      </c>
      <c r="AD267">
        <v>152.5</v>
      </c>
      <c r="AE267">
        <v>152.19999999999999</v>
      </c>
      <c r="AF267">
        <v>142</v>
      </c>
      <c r="AG267">
        <v>150.80000000000001</v>
      </c>
      <c r="AH267">
        <f t="shared" si="30"/>
        <v>1994.9999999999998</v>
      </c>
      <c r="AI267">
        <f t="shared" si="31"/>
        <v>137.1</v>
      </c>
      <c r="AJ267">
        <f t="shared" si="32"/>
        <v>129.30000000000001</v>
      </c>
      <c r="AK267">
        <f t="shared" si="33"/>
        <v>152.5</v>
      </c>
      <c r="AL267">
        <f t="shared" si="34"/>
        <v>1501.5</v>
      </c>
    </row>
    <row r="268" spans="1:38" x14ac:dyDescent="0.3">
      <c r="A268" t="s">
        <v>33</v>
      </c>
      <c r="B268" s="28">
        <f t="shared" si="28"/>
        <v>43983</v>
      </c>
      <c r="C268">
        <v>2020</v>
      </c>
      <c r="D268" t="s">
        <v>38</v>
      </c>
      <c r="E268" t="str">
        <f t="shared" si="29"/>
        <v>Jun-20</v>
      </c>
      <c r="F268">
        <f>VLOOKUP(D268,'Problem Statement 4'!$G$2:$H$13,2,0)</f>
        <v>6</v>
      </c>
      <c r="G268">
        <v>149.6</v>
      </c>
      <c r="H268">
        <v>192.7</v>
      </c>
      <c r="I268">
        <v>151.4</v>
      </c>
      <c r="J268">
        <v>153.30000000000001</v>
      </c>
      <c r="K268">
        <v>136.30000000000001</v>
      </c>
      <c r="L268">
        <v>147.19999999999999</v>
      </c>
      <c r="M268">
        <v>156.5</v>
      </c>
      <c r="N268">
        <v>150.9</v>
      </c>
      <c r="O268">
        <v>114.2</v>
      </c>
      <c r="P268">
        <v>159.5</v>
      </c>
      <c r="Q268">
        <v>139.4</v>
      </c>
      <c r="R268">
        <v>161.80000000000001</v>
      </c>
      <c r="S268">
        <v>154</v>
      </c>
      <c r="T268">
        <v>183.5</v>
      </c>
      <c r="U268">
        <v>152.5</v>
      </c>
      <c r="V268">
        <v>144.4</v>
      </c>
      <c r="W268">
        <v>151.4</v>
      </c>
      <c r="X268">
        <v>154.69999999999999</v>
      </c>
      <c r="Y268">
        <v>141.9</v>
      </c>
      <c r="Z268">
        <v>146.4</v>
      </c>
      <c r="AA268">
        <v>154.4</v>
      </c>
      <c r="AB268">
        <v>135</v>
      </c>
      <c r="AC268">
        <v>148.30000000000001</v>
      </c>
      <c r="AD268">
        <v>156.4</v>
      </c>
      <c r="AE268">
        <v>151.6</v>
      </c>
      <c r="AF268">
        <v>147</v>
      </c>
      <c r="AG268">
        <v>151.80000000000001</v>
      </c>
      <c r="AH268">
        <f t="shared" si="30"/>
        <v>1966.8000000000002</v>
      </c>
      <c r="AI268">
        <f t="shared" si="31"/>
        <v>141.9</v>
      </c>
      <c r="AJ268">
        <f t="shared" si="32"/>
        <v>135</v>
      </c>
      <c r="AK268">
        <f t="shared" si="33"/>
        <v>156.4</v>
      </c>
      <c r="AL268">
        <f t="shared" si="34"/>
        <v>1534.1999999999998</v>
      </c>
    </row>
    <row r="269" spans="1:38" x14ac:dyDescent="0.3">
      <c r="A269" t="s">
        <v>30</v>
      </c>
      <c r="B269" s="28">
        <f t="shared" si="28"/>
        <v>44013</v>
      </c>
      <c r="C269">
        <v>2020</v>
      </c>
      <c r="D269" t="s">
        <v>39</v>
      </c>
      <c r="E269" t="str">
        <f t="shared" si="29"/>
        <v>Jul-20</v>
      </c>
      <c r="F269">
        <f>VLOOKUP(D269,'Problem Statement 4'!$G$2:$H$13,2,0)</f>
        <v>7</v>
      </c>
      <c r="G269">
        <v>148.19999999999999</v>
      </c>
      <c r="H269">
        <v>190.3</v>
      </c>
      <c r="I269">
        <v>149.4</v>
      </c>
      <c r="J269">
        <v>153.30000000000001</v>
      </c>
      <c r="K269">
        <v>138.19999999999999</v>
      </c>
      <c r="L269">
        <v>143.19999999999999</v>
      </c>
      <c r="M269">
        <v>148.9</v>
      </c>
      <c r="N269">
        <v>150.30000000000001</v>
      </c>
      <c r="O269">
        <v>113.2</v>
      </c>
      <c r="P269">
        <v>159.80000000000001</v>
      </c>
      <c r="Q269">
        <v>142.1</v>
      </c>
      <c r="R269">
        <v>161.80000000000001</v>
      </c>
      <c r="S269">
        <v>152.30000000000001</v>
      </c>
      <c r="T269">
        <v>182.4</v>
      </c>
      <c r="U269">
        <v>154.69999999999999</v>
      </c>
      <c r="V269">
        <v>150</v>
      </c>
      <c r="W269">
        <v>154.1</v>
      </c>
      <c r="X269">
        <v>154.69999999999999</v>
      </c>
      <c r="Y269">
        <v>144.9</v>
      </c>
      <c r="Z269">
        <v>151.69999999999999</v>
      </c>
      <c r="AA269">
        <v>158.19999999999999</v>
      </c>
      <c r="AB269">
        <v>141.4</v>
      </c>
      <c r="AC269">
        <v>153.19999999999999</v>
      </c>
      <c r="AD269">
        <v>161.80000000000001</v>
      </c>
      <c r="AE269">
        <v>151.19999999999999</v>
      </c>
      <c r="AF269">
        <v>151.69999999999999</v>
      </c>
      <c r="AG269">
        <v>152.69999999999999</v>
      </c>
      <c r="AH269">
        <f t="shared" si="30"/>
        <v>1951</v>
      </c>
      <c r="AI269">
        <f t="shared" si="31"/>
        <v>144.9</v>
      </c>
      <c r="AJ269">
        <f t="shared" si="32"/>
        <v>141.4</v>
      </c>
      <c r="AK269">
        <f t="shared" si="33"/>
        <v>161.80000000000001</v>
      </c>
      <c r="AL269">
        <f t="shared" si="34"/>
        <v>1561.9000000000003</v>
      </c>
    </row>
    <row r="270" spans="1:38" x14ac:dyDescent="0.3">
      <c r="A270" t="s">
        <v>32</v>
      </c>
      <c r="B270" s="28">
        <f t="shared" si="28"/>
        <v>44013</v>
      </c>
      <c r="C270">
        <v>2020</v>
      </c>
      <c r="D270" t="s">
        <v>39</v>
      </c>
      <c r="E270" t="str">
        <f t="shared" si="29"/>
        <v>Jul-20</v>
      </c>
      <c r="F270">
        <f>VLOOKUP(D270,'Problem Statement 4'!$G$2:$H$13,2,0)</f>
        <v>7</v>
      </c>
      <c r="G270">
        <v>152.69999999999999</v>
      </c>
      <c r="H270">
        <v>197</v>
      </c>
      <c r="I270">
        <v>154.6</v>
      </c>
      <c r="J270">
        <v>153.4</v>
      </c>
      <c r="K270">
        <v>132.9</v>
      </c>
      <c r="L270">
        <v>151.80000000000001</v>
      </c>
      <c r="M270">
        <v>171.2</v>
      </c>
      <c r="N270">
        <v>152</v>
      </c>
      <c r="O270">
        <v>116.3</v>
      </c>
      <c r="P270">
        <v>158.80000000000001</v>
      </c>
      <c r="Q270">
        <v>135.6</v>
      </c>
      <c r="R270">
        <v>161.69999999999999</v>
      </c>
      <c r="S270">
        <v>157</v>
      </c>
      <c r="T270">
        <v>186.7</v>
      </c>
      <c r="U270">
        <v>149.1</v>
      </c>
      <c r="V270">
        <v>136.6</v>
      </c>
      <c r="W270">
        <v>147.19999999999999</v>
      </c>
      <c r="X270">
        <v>154.69999999999999</v>
      </c>
      <c r="Y270">
        <v>137.1</v>
      </c>
      <c r="Z270">
        <v>140.4</v>
      </c>
      <c r="AA270">
        <v>148.1</v>
      </c>
      <c r="AB270">
        <v>129.30000000000001</v>
      </c>
      <c r="AC270">
        <v>144.5</v>
      </c>
      <c r="AD270">
        <v>152.5</v>
      </c>
      <c r="AE270">
        <v>152.19999999999999</v>
      </c>
      <c r="AF270">
        <v>142</v>
      </c>
      <c r="AG270">
        <v>150.80000000000001</v>
      </c>
      <c r="AH270">
        <f t="shared" si="30"/>
        <v>1994.9999999999998</v>
      </c>
      <c r="AI270">
        <f t="shared" si="31"/>
        <v>137.1</v>
      </c>
      <c r="AJ270">
        <f t="shared" si="32"/>
        <v>129.30000000000001</v>
      </c>
      <c r="AK270">
        <f t="shared" si="33"/>
        <v>152.5</v>
      </c>
      <c r="AL270">
        <f t="shared" si="34"/>
        <v>1501.5</v>
      </c>
    </row>
    <row r="271" spans="1:38" x14ac:dyDescent="0.3">
      <c r="A271" t="s">
        <v>33</v>
      </c>
      <c r="B271" s="28">
        <f t="shared" si="28"/>
        <v>44013</v>
      </c>
      <c r="C271">
        <v>2020</v>
      </c>
      <c r="D271" t="s">
        <v>39</v>
      </c>
      <c r="E271" t="str">
        <f t="shared" si="29"/>
        <v>Jul-20</v>
      </c>
      <c r="F271">
        <f>VLOOKUP(D271,'Problem Statement 4'!$G$2:$H$13,2,0)</f>
        <v>7</v>
      </c>
      <c r="G271">
        <v>149.6</v>
      </c>
      <c r="H271">
        <v>192.7</v>
      </c>
      <c r="I271">
        <v>151.4</v>
      </c>
      <c r="J271">
        <v>153.30000000000001</v>
      </c>
      <c r="K271">
        <v>136.30000000000001</v>
      </c>
      <c r="L271">
        <v>147.19999999999999</v>
      </c>
      <c r="M271">
        <v>156.5</v>
      </c>
      <c r="N271">
        <v>150.9</v>
      </c>
      <c r="O271">
        <v>114.2</v>
      </c>
      <c r="P271">
        <v>159.5</v>
      </c>
      <c r="Q271">
        <v>139.4</v>
      </c>
      <c r="R271">
        <v>161.80000000000001</v>
      </c>
      <c r="S271">
        <v>154</v>
      </c>
      <c r="T271">
        <v>183.5</v>
      </c>
      <c r="U271">
        <v>152.5</v>
      </c>
      <c r="V271">
        <v>144.4</v>
      </c>
      <c r="W271">
        <v>151.4</v>
      </c>
      <c r="X271">
        <v>154.69999999999999</v>
      </c>
      <c r="Y271">
        <v>141.9</v>
      </c>
      <c r="Z271">
        <v>146.4</v>
      </c>
      <c r="AA271">
        <v>154.4</v>
      </c>
      <c r="AB271">
        <v>135</v>
      </c>
      <c r="AC271">
        <v>148.30000000000001</v>
      </c>
      <c r="AD271">
        <v>156.4</v>
      </c>
      <c r="AE271">
        <v>151.6</v>
      </c>
      <c r="AF271">
        <v>147</v>
      </c>
      <c r="AG271">
        <v>151.80000000000001</v>
      </c>
      <c r="AH271">
        <f t="shared" si="30"/>
        <v>1966.8000000000002</v>
      </c>
      <c r="AI271">
        <f t="shared" si="31"/>
        <v>141.9</v>
      </c>
      <c r="AJ271">
        <f t="shared" si="32"/>
        <v>135</v>
      </c>
      <c r="AK271">
        <f t="shared" si="33"/>
        <v>156.4</v>
      </c>
      <c r="AL271">
        <f t="shared" si="34"/>
        <v>1534.1999999999998</v>
      </c>
    </row>
    <row r="272" spans="1:38" x14ac:dyDescent="0.3">
      <c r="A272" t="s">
        <v>30</v>
      </c>
      <c r="B272" s="28">
        <f t="shared" si="28"/>
        <v>44044</v>
      </c>
      <c r="C272">
        <v>2020</v>
      </c>
      <c r="D272" t="s">
        <v>40</v>
      </c>
      <c r="E272" t="str">
        <f t="shared" si="29"/>
        <v>Aug-20</v>
      </c>
      <c r="F272">
        <f>VLOOKUP(D272,'Problem Statement 4'!$G$2:$H$13,2,0)</f>
        <v>8</v>
      </c>
      <c r="G272">
        <v>147.6</v>
      </c>
      <c r="H272">
        <v>187.2</v>
      </c>
      <c r="I272">
        <v>148.4</v>
      </c>
      <c r="J272">
        <v>153.30000000000001</v>
      </c>
      <c r="K272">
        <v>139.80000000000001</v>
      </c>
      <c r="L272">
        <v>146.9</v>
      </c>
      <c r="M272">
        <v>171</v>
      </c>
      <c r="N272">
        <v>149.9</v>
      </c>
      <c r="O272">
        <v>114.2</v>
      </c>
      <c r="P272">
        <v>160</v>
      </c>
      <c r="Q272">
        <v>143.5</v>
      </c>
      <c r="R272">
        <v>161.5</v>
      </c>
      <c r="S272">
        <v>155.30000000000001</v>
      </c>
      <c r="T272">
        <v>180.9</v>
      </c>
      <c r="U272">
        <v>155.1</v>
      </c>
      <c r="V272">
        <v>149.30000000000001</v>
      </c>
      <c r="W272">
        <v>154.30000000000001</v>
      </c>
      <c r="X272">
        <v>155.5</v>
      </c>
      <c r="Y272">
        <v>145.80000000000001</v>
      </c>
      <c r="Z272">
        <v>151.9</v>
      </c>
      <c r="AA272">
        <v>158.80000000000001</v>
      </c>
      <c r="AB272">
        <v>143.6</v>
      </c>
      <c r="AC272">
        <v>152.19999999999999</v>
      </c>
      <c r="AD272">
        <v>162.69999999999999</v>
      </c>
      <c r="AE272">
        <v>153.6</v>
      </c>
      <c r="AF272">
        <v>153</v>
      </c>
      <c r="AG272">
        <v>154.69999999999999</v>
      </c>
      <c r="AH272">
        <f t="shared" si="30"/>
        <v>1978.6</v>
      </c>
      <c r="AI272">
        <f t="shared" si="31"/>
        <v>145.80000000000001</v>
      </c>
      <c r="AJ272">
        <f t="shared" si="32"/>
        <v>143.6</v>
      </c>
      <c r="AK272">
        <f t="shared" si="33"/>
        <v>162.69999999999999</v>
      </c>
      <c r="AL272">
        <f t="shared" si="34"/>
        <v>1564.6</v>
      </c>
    </row>
    <row r="273" spans="1:38" x14ac:dyDescent="0.3">
      <c r="A273" t="s">
        <v>32</v>
      </c>
      <c r="B273" s="28">
        <f t="shared" si="28"/>
        <v>44044</v>
      </c>
      <c r="C273">
        <v>2020</v>
      </c>
      <c r="D273" t="s">
        <v>40</v>
      </c>
      <c r="E273" t="str">
        <f t="shared" si="29"/>
        <v>Aug-20</v>
      </c>
      <c r="F273">
        <f>VLOOKUP(D273,'Problem Statement 4'!$G$2:$H$13,2,0)</f>
        <v>8</v>
      </c>
      <c r="G273">
        <v>151.6</v>
      </c>
      <c r="H273">
        <v>197.8</v>
      </c>
      <c r="I273">
        <v>154.5</v>
      </c>
      <c r="J273">
        <v>153.4</v>
      </c>
      <c r="K273">
        <v>133.4</v>
      </c>
      <c r="L273">
        <v>154.5</v>
      </c>
      <c r="M273">
        <v>191.9</v>
      </c>
      <c r="N273">
        <v>151.30000000000001</v>
      </c>
      <c r="O273">
        <v>116.8</v>
      </c>
      <c r="P273">
        <v>160</v>
      </c>
      <c r="Q273">
        <v>136.5</v>
      </c>
      <c r="R273">
        <v>163.30000000000001</v>
      </c>
      <c r="S273">
        <v>159.9</v>
      </c>
      <c r="T273">
        <v>187.2</v>
      </c>
      <c r="U273">
        <v>150</v>
      </c>
      <c r="V273">
        <v>135.19999999999999</v>
      </c>
      <c r="W273">
        <v>147.80000000000001</v>
      </c>
      <c r="X273">
        <v>155.5</v>
      </c>
      <c r="Y273">
        <v>138.30000000000001</v>
      </c>
      <c r="Z273">
        <v>144.5</v>
      </c>
      <c r="AA273">
        <v>148.69999999999999</v>
      </c>
      <c r="AB273">
        <v>133.9</v>
      </c>
      <c r="AC273">
        <v>141.19999999999999</v>
      </c>
      <c r="AD273">
        <v>155.5</v>
      </c>
      <c r="AE273">
        <v>155.19999999999999</v>
      </c>
      <c r="AF273">
        <v>144.80000000000001</v>
      </c>
      <c r="AG273">
        <v>152.9</v>
      </c>
      <c r="AH273">
        <f t="shared" si="30"/>
        <v>2024.8999999999999</v>
      </c>
      <c r="AI273">
        <f t="shared" si="31"/>
        <v>138.30000000000001</v>
      </c>
      <c r="AJ273">
        <f t="shared" si="32"/>
        <v>133.9</v>
      </c>
      <c r="AK273">
        <f t="shared" si="33"/>
        <v>155.5</v>
      </c>
      <c r="AL273">
        <f t="shared" si="34"/>
        <v>1510.1000000000001</v>
      </c>
    </row>
    <row r="274" spans="1:38" x14ac:dyDescent="0.3">
      <c r="A274" t="s">
        <v>33</v>
      </c>
      <c r="B274" s="28">
        <f t="shared" si="28"/>
        <v>44044</v>
      </c>
      <c r="C274">
        <v>2020</v>
      </c>
      <c r="D274" t="s">
        <v>40</v>
      </c>
      <c r="E274" t="str">
        <f t="shared" si="29"/>
        <v>Aug-20</v>
      </c>
      <c r="F274">
        <f>VLOOKUP(D274,'Problem Statement 4'!$G$2:$H$13,2,0)</f>
        <v>8</v>
      </c>
      <c r="G274">
        <v>148.9</v>
      </c>
      <c r="H274">
        <v>190.9</v>
      </c>
      <c r="I274">
        <v>150.80000000000001</v>
      </c>
      <c r="J274">
        <v>153.30000000000001</v>
      </c>
      <c r="K274">
        <v>137.4</v>
      </c>
      <c r="L274">
        <v>150.4</v>
      </c>
      <c r="M274">
        <v>178.1</v>
      </c>
      <c r="N274">
        <v>150.4</v>
      </c>
      <c r="O274">
        <v>115.1</v>
      </c>
      <c r="P274">
        <v>160</v>
      </c>
      <c r="Q274">
        <v>140.6</v>
      </c>
      <c r="R274">
        <v>162.30000000000001</v>
      </c>
      <c r="S274">
        <v>157</v>
      </c>
      <c r="T274">
        <v>182.6</v>
      </c>
      <c r="U274">
        <v>153.1</v>
      </c>
      <c r="V274">
        <v>143.4</v>
      </c>
      <c r="W274">
        <v>151.69999999999999</v>
      </c>
      <c r="X274">
        <v>155.5</v>
      </c>
      <c r="Y274">
        <v>143</v>
      </c>
      <c r="Z274">
        <v>148.4</v>
      </c>
      <c r="AA274">
        <v>155</v>
      </c>
      <c r="AB274">
        <v>138.5</v>
      </c>
      <c r="AC274">
        <v>146</v>
      </c>
      <c r="AD274">
        <v>158.5</v>
      </c>
      <c r="AE274">
        <v>154.30000000000001</v>
      </c>
      <c r="AF274">
        <v>149</v>
      </c>
      <c r="AG274">
        <v>153.9</v>
      </c>
      <c r="AH274">
        <f t="shared" si="30"/>
        <v>1995.1999999999998</v>
      </c>
      <c r="AI274">
        <f t="shared" si="31"/>
        <v>143</v>
      </c>
      <c r="AJ274">
        <f t="shared" si="32"/>
        <v>138.5</v>
      </c>
      <c r="AK274">
        <f t="shared" si="33"/>
        <v>158.5</v>
      </c>
      <c r="AL274">
        <f t="shared" si="34"/>
        <v>1538.9999999999998</v>
      </c>
    </row>
    <row r="275" spans="1:38" x14ac:dyDescent="0.3">
      <c r="A275" t="s">
        <v>30</v>
      </c>
      <c r="B275" s="28">
        <f t="shared" si="28"/>
        <v>44075</v>
      </c>
      <c r="C275">
        <v>2020</v>
      </c>
      <c r="D275" t="s">
        <v>41</v>
      </c>
      <c r="E275" t="str">
        <f t="shared" si="29"/>
        <v>Sep-20</v>
      </c>
      <c r="F275">
        <f>VLOOKUP(D275,'Problem Statement 4'!$G$2:$H$13,2,0)</f>
        <v>9</v>
      </c>
      <c r="G275">
        <v>146.9</v>
      </c>
      <c r="H275">
        <v>183.9</v>
      </c>
      <c r="I275">
        <v>149.5</v>
      </c>
      <c r="J275">
        <v>153.4</v>
      </c>
      <c r="K275">
        <v>140.4</v>
      </c>
      <c r="L275">
        <v>147</v>
      </c>
      <c r="M275">
        <v>178.8</v>
      </c>
      <c r="N275">
        <v>149.30000000000001</v>
      </c>
      <c r="O275">
        <v>115.1</v>
      </c>
      <c r="P275">
        <v>160</v>
      </c>
      <c r="Q275">
        <v>145.4</v>
      </c>
      <c r="R275">
        <v>161.6</v>
      </c>
      <c r="S275">
        <v>156.1</v>
      </c>
      <c r="T275">
        <v>182.9</v>
      </c>
      <c r="U275">
        <v>155.4</v>
      </c>
      <c r="V275">
        <v>149.9</v>
      </c>
      <c r="W275">
        <v>154.6</v>
      </c>
      <c r="X275">
        <v>156.30000000000001</v>
      </c>
      <c r="Y275">
        <v>146.4</v>
      </c>
      <c r="Z275">
        <v>151.6</v>
      </c>
      <c r="AA275">
        <v>159.1</v>
      </c>
      <c r="AB275">
        <v>144.6</v>
      </c>
      <c r="AC275">
        <v>152.80000000000001</v>
      </c>
      <c r="AD275">
        <v>161.1</v>
      </c>
      <c r="AE275">
        <v>157.4</v>
      </c>
      <c r="AF275">
        <v>153.69999999999999</v>
      </c>
      <c r="AG275">
        <v>155.4</v>
      </c>
      <c r="AH275">
        <f t="shared" si="30"/>
        <v>1987.3999999999999</v>
      </c>
      <c r="AI275">
        <f t="shared" si="31"/>
        <v>146.4</v>
      </c>
      <c r="AJ275">
        <f t="shared" si="32"/>
        <v>144.6</v>
      </c>
      <c r="AK275">
        <f t="shared" si="33"/>
        <v>161.1</v>
      </c>
      <c r="AL275">
        <f t="shared" si="34"/>
        <v>1573.7000000000003</v>
      </c>
    </row>
    <row r="276" spans="1:38" x14ac:dyDescent="0.3">
      <c r="A276" t="s">
        <v>32</v>
      </c>
      <c r="B276" s="28">
        <f t="shared" si="28"/>
        <v>44075</v>
      </c>
      <c r="C276">
        <v>2020</v>
      </c>
      <c r="D276" t="s">
        <v>41</v>
      </c>
      <c r="E276" t="str">
        <f t="shared" si="29"/>
        <v>Sep-20</v>
      </c>
      <c r="F276">
        <f>VLOOKUP(D276,'Problem Statement 4'!$G$2:$H$13,2,0)</f>
        <v>9</v>
      </c>
      <c r="G276">
        <v>151.5</v>
      </c>
      <c r="H276">
        <v>193.1</v>
      </c>
      <c r="I276">
        <v>157.30000000000001</v>
      </c>
      <c r="J276">
        <v>153.9</v>
      </c>
      <c r="K276">
        <v>134.4</v>
      </c>
      <c r="L276">
        <v>155.4</v>
      </c>
      <c r="M276">
        <v>202</v>
      </c>
      <c r="N276">
        <v>150.80000000000001</v>
      </c>
      <c r="O276">
        <v>118.9</v>
      </c>
      <c r="P276">
        <v>160.9</v>
      </c>
      <c r="Q276">
        <v>137.69999999999999</v>
      </c>
      <c r="R276">
        <v>164.4</v>
      </c>
      <c r="S276">
        <v>161.30000000000001</v>
      </c>
      <c r="T276">
        <v>188.7</v>
      </c>
      <c r="U276">
        <v>150.19999999999999</v>
      </c>
      <c r="V276">
        <v>136.30000000000001</v>
      </c>
      <c r="W276">
        <v>148.1</v>
      </c>
      <c r="X276">
        <v>156.30000000000001</v>
      </c>
      <c r="Y276">
        <v>137.19999999999999</v>
      </c>
      <c r="Z276">
        <v>145.4</v>
      </c>
      <c r="AA276">
        <v>150</v>
      </c>
      <c r="AB276">
        <v>135.1</v>
      </c>
      <c r="AC276">
        <v>141.80000000000001</v>
      </c>
      <c r="AD276">
        <v>154.9</v>
      </c>
      <c r="AE276">
        <v>159.80000000000001</v>
      </c>
      <c r="AF276">
        <v>146</v>
      </c>
      <c r="AG276">
        <v>154</v>
      </c>
      <c r="AH276">
        <f t="shared" si="30"/>
        <v>2041.6000000000001</v>
      </c>
      <c r="AI276">
        <f t="shared" si="31"/>
        <v>137.19999999999999</v>
      </c>
      <c r="AJ276">
        <f t="shared" si="32"/>
        <v>135.1</v>
      </c>
      <c r="AK276">
        <f t="shared" si="33"/>
        <v>154.9</v>
      </c>
      <c r="AL276">
        <f t="shared" si="34"/>
        <v>1522.6</v>
      </c>
    </row>
    <row r="277" spans="1:38" x14ac:dyDescent="0.3">
      <c r="A277" t="s">
        <v>33</v>
      </c>
      <c r="B277" s="28">
        <f t="shared" si="28"/>
        <v>44075</v>
      </c>
      <c r="C277">
        <v>2020</v>
      </c>
      <c r="D277" t="s">
        <v>41</v>
      </c>
      <c r="E277" t="str">
        <f t="shared" si="29"/>
        <v>Sep-20</v>
      </c>
      <c r="F277">
        <f>VLOOKUP(D277,'Problem Statement 4'!$G$2:$H$13,2,0)</f>
        <v>9</v>
      </c>
      <c r="G277">
        <v>148.4</v>
      </c>
      <c r="H277">
        <v>187.1</v>
      </c>
      <c r="I277">
        <v>152.5</v>
      </c>
      <c r="J277">
        <v>153.6</v>
      </c>
      <c r="K277">
        <v>138.19999999999999</v>
      </c>
      <c r="L277">
        <v>150.9</v>
      </c>
      <c r="M277">
        <v>186.7</v>
      </c>
      <c r="N277">
        <v>149.80000000000001</v>
      </c>
      <c r="O277">
        <v>116.4</v>
      </c>
      <c r="P277">
        <v>160.30000000000001</v>
      </c>
      <c r="Q277">
        <v>142.19999999999999</v>
      </c>
      <c r="R277">
        <v>162.9</v>
      </c>
      <c r="S277">
        <v>158</v>
      </c>
      <c r="T277">
        <v>184.4</v>
      </c>
      <c r="U277">
        <v>153.4</v>
      </c>
      <c r="V277">
        <v>144.30000000000001</v>
      </c>
      <c r="W277">
        <v>152</v>
      </c>
      <c r="X277">
        <v>156.30000000000001</v>
      </c>
      <c r="Y277">
        <v>142.9</v>
      </c>
      <c r="Z277">
        <v>148.69999999999999</v>
      </c>
      <c r="AA277">
        <v>155.6</v>
      </c>
      <c r="AB277">
        <v>139.6</v>
      </c>
      <c r="AC277">
        <v>146.6</v>
      </c>
      <c r="AD277">
        <v>157.5</v>
      </c>
      <c r="AE277">
        <v>158.4</v>
      </c>
      <c r="AF277">
        <v>150</v>
      </c>
      <c r="AG277">
        <v>154.69999999999999</v>
      </c>
      <c r="AH277">
        <f t="shared" si="30"/>
        <v>2007</v>
      </c>
      <c r="AI277">
        <f t="shared" si="31"/>
        <v>142.9</v>
      </c>
      <c r="AJ277">
        <f t="shared" si="32"/>
        <v>139.6</v>
      </c>
      <c r="AK277">
        <f t="shared" si="33"/>
        <v>157.5</v>
      </c>
      <c r="AL277">
        <f t="shared" si="34"/>
        <v>1549.7</v>
      </c>
    </row>
    <row r="278" spans="1:38" x14ac:dyDescent="0.3">
      <c r="A278" t="s">
        <v>30</v>
      </c>
      <c r="B278" s="28">
        <f t="shared" si="28"/>
        <v>44105</v>
      </c>
      <c r="C278">
        <v>2020</v>
      </c>
      <c r="D278" t="s">
        <v>42</v>
      </c>
      <c r="E278" t="str">
        <f t="shared" si="29"/>
        <v>Oct-20</v>
      </c>
      <c r="F278">
        <f>VLOOKUP(D278,'Problem Statement 4'!$G$2:$H$13,2,0)</f>
        <v>10</v>
      </c>
      <c r="G278">
        <v>146</v>
      </c>
      <c r="H278">
        <v>186.3</v>
      </c>
      <c r="I278">
        <v>159.19999999999999</v>
      </c>
      <c r="J278">
        <v>153.6</v>
      </c>
      <c r="K278">
        <v>142.6</v>
      </c>
      <c r="L278">
        <v>147.19999999999999</v>
      </c>
      <c r="M278">
        <v>200.6</v>
      </c>
      <c r="N278">
        <v>150.30000000000001</v>
      </c>
      <c r="O278">
        <v>115.3</v>
      </c>
      <c r="P278">
        <v>160.9</v>
      </c>
      <c r="Q278">
        <v>147.4</v>
      </c>
      <c r="R278">
        <v>161.9</v>
      </c>
      <c r="S278">
        <v>159.6</v>
      </c>
      <c r="T278">
        <v>182.7</v>
      </c>
      <c r="U278">
        <v>155.69999999999999</v>
      </c>
      <c r="V278">
        <v>150.6</v>
      </c>
      <c r="W278">
        <v>155</v>
      </c>
      <c r="X278">
        <v>156.5</v>
      </c>
      <c r="Y278">
        <v>146.80000000000001</v>
      </c>
      <c r="Z278">
        <v>152</v>
      </c>
      <c r="AA278">
        <v>159.5</v>
      </c>
      <c r="AB278">
        <v>146.4</v>
      </c>
      <c r="AC278">
        <v>152.4</v>
      </c>
      <c r="AD278">
        <v>162.5</v>
      </c>
      <c r="AE278">
        <v>156.19999999999999</v>
      </c>
      <c r="AF278">
        <v>154.30000000000001</v>
      </c>
      <c r="AG278">
        <v>157.5</v>
      </c>
      <c r="AH278">
        <f t="shared" si="30"/>
        <v>2030.9</v>
      </c>
      <c r="AI278">
        <f t="shared" si="31"/>
        <v>146.80000000000001</v>
      </c>
      <c r="AJ278">
        <f t="shared" si="32"/>
        <v>146.4</v>
      </c>
      <c r="AK278">
        <f t="shared" si="33"/>
        <v>162.5</v>
      </c>
      <c r="AL278">
        <f t="shared" si="34"/>
        <v>1574.9</v>
      </c>
    </row>
    <row r="279" spans="1:38" x14ac:dyDescent="0.3">
      <c r="A279" t="s">
        <v>32</v>
      </c>
      <c r="B279" s="28">
        <f t="shared" si="28"/>
        <v>44105</v>
      </c>
      <c r="C279">
        <v>2020</v>
      </c>
      <c r="D279" t="s">
        <v>42</v>
      </c>
      <c r="E279" t="str">
        <f t="shared" si="29"/>
        <v>Oct-20</v>
      </c>
      <c r="F279">
        <f>VLOOKUP(D279,'Problem Statement 4'!$G$2:$H$13,2,0)</f>
        <v>10</v>
      </c>
      <c r="G279">
        <v>150.6</v>
      </c>
      <c r="H279">
        <v>193.7</v>
      </c>
      <c r="I279">
        <v>164.8</v>
      </c>
      <c r="J279">
        <v>153.69999999999999</v>
      </c>
      <c r="K279">
        <v>135.69999999999999</v>
      </c>
      <c r="L279">
        <v>155.69999999999999</v>
      </c>
      <c r="M279">
        <v>226</v>
      </c>
      <c r="N279">
        <v>152.19999999999999</v>
      </c>
      <c r="O279">
        <v>118.1</v>
      </c>
      <c r="P279">
        <v>161.30000000000001</v>
      </c>
      <c r="Q279">
        <v>139.19999999999999</v>
      </c>
      <c r="R279">
        <v>164.8</v>
      </c>
      <c r="S279">
        <v>164.4</v>
      </c>
      <c r="T279">
        <v>188.7</v>
      </c>
      <c r="U279">
        <v>150.5</v>
      </c>
      <c r="V279">
        <v>136.1</v>
      </c>
      <c r="W279">
        <v>148.30000000000001</v>
      </c>
      <c r="X279">
        <v>156.5</v>
      </c>
      <c r="Y279">
        <v>137.1</v>
      </c>
      <c r="Z279">
        <v>145.1</v>
      </c>
      <c r="AA279">
        <v>151</v>
      </c>
      <c r="AB279">
        <v>135.4</v>
      </c>
      <c r="AC279">
        <v>142</v>
      </c>
      <c r="AD279">
        <v>155.69999999999999</v>
      </c>
      <c r="AE279">
        <v>158.1</v>
      </c>
      <c r="AF279">
        <v>146.19999999999999</v>
      </c>
      <c r="AG279">
        <v>155.19999999999999</v>
      </c>
      <c r="AH279">
        <f t="shared" si="30"/>
        <v>2080.1999999999998</v>
      </c>
      <c r="AI279">
        <f t="shared" si="31"/>
        <v>137.1</v>
      </c>
      <c r="AJ279">
        <f t="shared" si="32"/>
        <v>135.4</v>
      </c>
      <c r="AK279">
        <f t="shared" si="33"/>
        <v>155.69999999999999</v>
      </c>
      <c r="AL279">
        <f t="shared" si="34"/>
        <v>1522.4999999999998</v>
      </c>
    </row>
    <row r="280" spans="1:38" x14ac:dyDescent="0.3">
      <c r="A280" t="s">
        <v>33</v>
      </c>
      <c r="B280" s="28">
        <f t="shared" si="28"/>
        <v>44105</v>
      </c>
      <c r="C280">
        <v>2020</v>
      </c>
      <c r="D280" t="s">
        <v>42</v>
      </c>
      <c r="E280" t="str">
        <f t="shared" si="29"/>
        <v>Oct-20</v>
      </c>
      <c r="F280">
        <f>VLOOKUP(D280,'Problem Statement 4'!$G$2:$H$13,2,0)</f>
        <v>10</v>
      </c>
      <c r="G280">
        <v>147.5</v>
      </c>
      <c r="H280">
        <v>188.9</v>
      </c>
      <c r="I280">
        <v>161.4</v>
      </c>
      <c r="J280">
        <v>153.6</v>
      </c>
      <c r="K280">
        <v>140.1</v>
      </c>
      <c r="L280">
        <v>151.19999999999999</v>
      </c>
      <c r="M280">
        <v>209.2</v>
      </c>
      <c r="N280">
        <v>150.9</v>
      </c>
      <c r="O280">
        <v>116.2</v>
      </c>
      <c r="P280">
        <v>161</v>
      </c>
      <c r="Q280">
        <v>144</v>
      </c>
      <c r="R280">
        <v>163.19999999999999</v>
      </c>
      <c r="S280">
        <v>161.4</v>
      </c>
      <c r="T280">
        <v>184.3</v>
      </c>
      <c r="U280">
        <v>153.69999999999999</v>
      </c>
      <c r="V280">
        <v>144.6</v>
      </c>
      <c r="W280">
        <v>152.30000000000001</v>
      </c>
      <c r="X280">
        <v>156.5</v>
      </c>
      <c r="Y280">
        <v>143.1</v>
      </c>
      <c r="Z280">
        <v>148.69999999999999</v>
      </c>
      <c r="AA280">
        <v>156.30000000000001</v>
      </c>
      <c r="AB280">
        <v>140.6</v>
      </c>
      <c r="AC280">
        <v>146.5</v>
      </c>
      <c r="AD280">
        <v>158.5</v>
      </c>
      <c r="AE280">
        <v>157</v>
      </c>
      <c r="AF280">
        <v>150.4</v>
      </c>
      <c r="AG280">
        <v>156.4</v>
      </c>
      <c r="AH280">
        <f t="shared" si="30"/>
        <v>2048.6000000000004</v>
      </c>
      <c r="AI280">
        <f t="shared" si="31"/>
        <v>143.1</v>
      </c>
      <c r="AJ280">
        <f t="shared" si="32"/>
        <v>140.6</v>
      </c>
      <c r="AK280">
        <f t="shared" si="33"/>
        <v>158.5</v>
      </c>
      <c r="AL280">
        <f t="shared" si="34"/>
        <v>1550.3000000000002</v>
      </c>
    </row>
    <row r="281" spans="1:38" x14ac:dyDescent="0.3">
      <c r="A281" t="s">
        <v>30</v>
      </c>
      <c r="B281" s="28">
        <f t="shared" si="28"/>
        <v>44136</v>
      </c>
      <c r="C281">
        <v>2020</v>
      </c>
      <c r="D281" t="s">
        <v>44</v>
      </c>
      <c r="E281" t="str">
        <f t="shared" si="29"/>
        <v>Nov-20</v>
      </c>
      <c r="F281">
        <f>VLOOKUP(D281,'Problem Statement 4'!$G$2:$H$13,2,0)</f>
        <v>11</v>
      </c>
      <c r="G281">
        <v>145.4</v>
      </c>
      <c r="H281">
        <v>188.6</v>
      </c>
      <c r="I281">
        <v>171.6</v>
      </c>
      <c r="J281">
        <v>153.80000000000001</v>
      </c>
      <c r="K281">
        <v>145.4</v>
      </c>
      <c r="L281">
        <v>146.5</v>
      </c>
      <c r="M281">
        <v>222.2</v>
      </c>
      <c r="N281">
        <v>155.9</v>
      </c>
      <c r="O281">
        <v>114.9</v>
      </c>
      <c r="P281">
        <v>162</v>
      </c>
      <c r="Q281">
        <v>150</v>
      </c>
      <c r="R281">
        <v>162.69999999999999</v>
      </c>
      <c r="S281">
        <v>163.4</v>
      </c>
      <c r="T281">
        <v>183.4</v>
      </c>
      <c r="U281">
        <v>156.30000000000001</v>
      </c>
      <c r="V281">
        <v>151</v>
      </c>
      <c r="W281">
        <v>155.5</v>
      </c>
      <c r="X281">
        <v>158</v>
      </c>
      <c r="Y281">
        <v>147.5</v>
      </c>
      <c r="Z281">
        <v>152.80000000000001</v>
      </c>
      <c r="AA281">
        <v>160.4</v>
      </c>
      <c r="AB281">
        <v>146.1</v>
      </c>
      <c r="AC281">
        <v>153.6</v>
      </c>
      <c r="AD281">
        <v>161.6</v>
      </c>
      <c r="AE281">
        <v>156.19999999999999</v>
      </c>
      <c r="AF281">
        <v>154.5</v>
      </c>
      <c r="AG281">
        <v>159.80000000000001</v>
      </c>
      <c r="AH281">
        <f t="shared" si="30"/>
        <v>2082.4</v>
      </c>
      <c r="AI281">
        <f t="shared" si="31"/>
        <v>147.5</v>
      </c>
      <c r="AJ281">
        <f t="shared" si="32"/>
        <v>146.1</v>
      </c>
      <c r="AK281">
        <f t="shared" si="33"/>
        <v>161.6</v>
      </c>
      <c r="AL281">
        <f t="shared" si="34"/>
        <v>1581.7</v>
      </c>
    </row>
    <row r="282" spans="1:38" x14ac:dyDescent="0.3">
      <c r="A282" t="s">
        <v>32</v>
      </c>
      <c r="B282" s="28">
        <f t="shared" si="28"/>
        <v>44136</v>
      </c>
      <c r="C282">
        <v>2020</v>
      </c>
      <c r="D282" t="s">
        <v>44</v>
      </c>
      <c r="E282" t="str">
        <f t="shared" si="29"/>
        <v>Nov-20</v>
      </c>
      <c r="F282">
        <f>VLOOKUP(D282,'Problem Statement 4'!$G$2:$H$13,2,0)</f>
        <v>11</v>
      </c>
      <c r="G282">
        <v>149.69999999999999</v>
      </c>
      <c r="H282">
        <v>195.5</v>
      </c>
      <c r="I282">
        <v>176.9</v>
      </c>
      <c r="J282">
        <v>153.9</v>
      </c>
      <c r="K282">
        <v>138</v>
      </c>
      <c r="L282">
        <v>150.5</v>
      </c>
      <c r="M282">
        <v>245.3</v>
      </c>
      <c r="N282">
        <v>158.69999999999999</v>
      </c>
      <c r="O282">
        <v>117.2</v>
      </c>
      <c r="P282">
        <v>161.4</v>
      </c>
      <c r="Q282">
        <v>141.5</v>
      </c>
      <c r="R282">
        <v>165.1</v>
      </c>
      <c r="S282">
        <v>167</v>
      </c>
      <c r="T282">
        <v>188.8</v>
      </c>
      <c r="U282">
        <v>151.1</v>
      </c>
      <c r="V282">
        <v>136.4</v>
      </c>
      <c r="W282">
        <v>148.80000000000001</v>
      </c>
      <c r="X282">
        <v>158</v>
      </c>
      <c r="Y282">
        <v>137.30000000000001</v>
      </c>
      <c r="Z282">
        <v>145.1</v>
      </c>
      <c r="AA282">
        <v>152</v>
      </c>
      <c r="AB282">
        <v>135.19999999999999</v>
      </c>
      <c r="AC282">
        <v>144.4</v>
      </c>
      <c r="AD282">
        <v>156.4</v>
      </c>
      <c r="AE282">
        <v>157.9</v>
      </c>
      <c r="AF282">
        <v>146.6</v>
      </c>
      <c r="AG282">
        <v>156.69999999999999</v>
      </c>
      <c r="AH282">
        <f t="shared" si="30"/>
        <v>2120.6999999999998</v>
      </c>
      <c r="AI282">
        <f t="shared" si="31"/>
        <v>137.30000000000001</v>
      </c>
      <c r="AJ282">
        <f t="shared" si="32"/>
        <v>135.19999999999999</v>
      </c>
      <c r="AK282">
        <f t="shared" si="33"/>
        <v>156.4</v>
      </c>
      <c r="AL282">
        <f t="shared" si="34"/>
        <v>1529.1</v>
      </c>
    </row>
    <row r="283" spans="1:38" x14ac:dyDescent="0.3">
      <c r="A283" t="s">
        <v>33</v>
      </c>
      <c r="B283" s="28">
        <f t="shared" si="28"/>
        <v>44136</v>
      </c>
      <c r="C283">
        <v>2020</v>
      </c>
      <c r="D283" t="s">
        <v>44</v>
      </c>
      <c r="E283" t="str">
        <f t="shared" si="29"/>
        <v>Nov-20</v>
      </c>
      <c r="F283">
        <f>VLOOKUP(D283,'Problem Statement 4'!$G$2:$H$13,2,0)</f>
        <v>11</v>
      </c>
      <c r="G283">
        <v>146.80000000000001</v>
      </c>
      <c r="H283">
        <v>191</v>
      </c>
      <c r="I283">
        <v>173.6</v>
      </c>
      <c r="J283">
        <v>153.80000000000001</v>
      </c>
      <c r="K283">
        <v>142.69999999999999</v>
      </c>
      <c r="L283">
        <v>148.4</v>
      </c>
      <c r="M283">
        <v>230</v>
      </c>
      <c r="N283">
        <v>156.80000000000001</v>
      </c>
      <c r="O283">
        <v>115.7</v>
      </c>
      <c r="P283">
        <v>161.80000000000001</v>
      </c>
      <c r="Q283">
        <v>146.5</v>
      </c>
      <c r="R283">
        <v>163.80000000000001</v>
      </c>
      <c r="S283">
        <v>164.7</v>
      </c>
      <c r="T283">
        <v>184.8</v>
      </c>
      <c r="U283">
        <v>154.30000000000001</v>
      </c>
      <c r="V283">
        <v>144.9</v>
      </c>
      <c r="W283">
        <v>152.80000000000001</v>
      </c>
      <c r="X283">
        <v>158</v>
      </c>
      <c r="Y283">
        <v>143.6</v>
      </c>
      <c r="Z283">
        <v>149.19999999999999</v>
      </c>
      <c r="AA283">
        <v>157.19999999999999</v>
      </c>
      <c r="AB283">
        <v>140.4</v>
      </c>
      <c r="AC283">
        <v>148.4</v>
      </c>
      <c r="AD283">
        <v>158.6</v>
      </c>
      <c r="AE283">
        <v>156.9</v>
      </c>
      <c r="AF283">
        <v>150.69999999999999</v>
      </c>
      <c r="AG283">
        <v>158.4</v>
      </c>
      <c r="AH283">
        <f t="shared" si="30"/>
        <v>2095.6</v>
      </c>
      <c r="AI283">
        <f t="shared" si="31"/>
        <v>143.6</v>
      </c>
      <c r="AJ283">
        <f t="shared" si="32"/>
        <v>140.4</v>
      </c>
      <c r="AK283">
        <f t="shared" si="33"/>
        <v>158.6</v>
      </c>
      <c r="AL283">
        <f t="shared" si="34"/>
        <v>1557.2000000000003</v>
      </c>
    </row>
    <row r="284" spans="1:38" x14ac:dyDescent="0.3">
      <c r="A284" t="s">
        <v>30</v>
      </c>
      <c r="B284" s="28">
        <f t="shared" si="28"/>
        <v>44166</v>
      </c>
      <c r="C284">
        <v>2020</v>
      </c>
      <c r="D284" t="s">
        <v>45</v>
      </c>
      <c r="E284" t="str">
        <f t="shared" si="29"/>
        <v>Dec-20</v>
      </c>
      <c r="F284">
        <f>VLOOKUP(D284,'Problem Statement 4'!$G$2:$H$13,2,0)</f>
        <v>12</v>
      </c>
      <c r="G284">
        <v>144.6</v>
      </c>
      <c r="H284">
        <v>188.5</v>
      </c>
      <c r="I284">
        <v>173.4</v>
      </c>
      <c r="J284">
        <v>154</v>
      </c>
      <c r="K284">
        <v>150</v>
      </c>
      <c r="L284">
        <v>145.9</v>
      </c>
      <c r="M284">
        <v>225.2</v>
      </c>
      <c r="N284">
        <v>159.5</v>
      </c>
      <c r="O284">
        <v>114.4</v>
      </c>
      <c r="P284">
        <v>163.5</v>
      </c>
      <c r="Q284">
        <v>153.4</v>
      </c>
      <c r="R284">
        <v>163.6</v>
      </c>
      <c r="S284">
        <v>164.5</v>
      </c>
      <c r="T284">
        <v>183.6</v>
      </c>
      <c r="U284">
        <v>157</v>
      </c>
      <c r="V284">
        <v>151.6</v>
      </c>
      <c r="W284">
        <v>156.30000000000001</v>
      </c>
      <c r="X284">
        <v>158.4</v>
      </c>
      <c r="Y284">
        <v>148.69999999999999</v>
      </c>
      <c r="Z284">
        <v>153.4</v>
      </c>
      <c r="AA284">
        <v>161.6</v>
      </c>
      <c r="AB284">
        <v>146.4</v>
      </c>
      <c r="AC284">
        <v>153.9</v>
      </c>
      <c r="AD284">
        <v>162.9</v>
      </c>
      <c r="AE284">
        <v>156.6</v>
      </c>
      <c r="AF284">
        <v>155.19999999999999</v>
      </c>
      <c r="AG284">
        <v>160.69999999999999</v>
      </c>
      <c r="AH284">
        <f t="shared" si="30"/>
        <v>2100.5</v>
      </c>
      <c r="AI284">
        <f t="shared" si="31"/>
        <v>148.69999999999999</v>
      </c>
      <c r="AJ284">
        <f t="shared" si="32"/>
        <v>146.4</v>
      </c>
      <c r="AK284">
        <f t="shared" si="33"/>
        <v>162.9</v>
      </c>
      <c r="AL284">
        <f t="shared" si="34"/>
        <v>1587.6</v>
      </c>
    </row>
    <row r="285" spans="1:38" x14ac:dyDescent="0.3">
      <c r="A285" t="s">
        <v>32</v>
      </c>
      <c r="B285" s="28">
        <f t="shared" si="28"/>
        <v>44166</v>
      </c>
      <c r="C285">
        <v>2020</v>
      </c>
      <c r="D285" t="s">
        <v>45</v>
      </c>
      <c r="E285" t="str">
        <f t="shared" si="29"/>
        <v>Dec-20</v>
      </c>
      <c r="F285">
        <f>VLOOKUP(D285,'Problem Statement 4'!$G$2:$H$13,2,0)</f>
        <v>12</v>
      </c>
      <c r="G285">
        <v>149</v>
      </c>
      <c r="H285">
        <v>195.7</v>
      </c>
      <c r="I285">
        <v>178.3</v>
      </c>
      <c r="J285">
        <v>154.19999999999999</v>
      </c>
      <c r="K285">
        <v>140.69999999999999</v>
      </c>
      <c r="L285">
        <v>149.69999999999999</v>
      </c>
      <c r="M285">
        <v>240.9</v>
      </c>
      <c r="N285">
        <v>161.5</v>
      </c>
      <c r="O285">
        <v>117.1</v>
      </c>
      <c r="P285">
        <v>161.9</v>
      </c>
      <c r="Q285">
        <v>143.30000000000001</v>
      </c>
      <c r="R285">
        <v>166.1</v>
      </c>
      <c r="S285">
        <v>167</v>
      </c>
      <c r="T285">
        <v>190.2</v>
      </c>
      <c r="U285">
        <v>151.9</v>
      </c>
      <c r="V285">
        <v>136.69999999999999</v>
      </c>
      <c r="W285">
        <v>149.6</v>
      </c>
      <c r="X285">
        <v>158.4</v>
      </c>
      <c r="Y285">
        <v>137.9</v>
      </c>
      <c r="Z285">
        <v>145.5</v>
      </c>
      <c r="AA285">
        <v>152.9</v>
      </c>
      <c r="AB285">
        <v>135.5</v>
      </c>
      <c r="AC285">
        <v>144.30000000000001</v>
      </c>
      <c r="AD285">
        <v>156.9</v>
      </c>
      <c r="AE285">
        <v>157.9</v>
      </c>
      <c r="AF285">
        <v>146.9</v>
      </c>
      <c r="AG285">
        <v>156.9</v>
      </c>
      <c r="AH285">
        <f t="shared" si="30"/>
        <v>2125.4</v>
      </c>
      <c r="AI285">
        <f t="shared" si="31"/>
        <v>137.9</v>
      </c>
      <c r="AJ285">
        <f t="shared" si="32"/>
        <v>135.5</v>
      </c>
      <c r="AK285">
        <f t="shared" si="33"/>
        <v>156.9</v>
      </c>
      <c r="AL285">
        <f t="shared" si="34"/>
        <v>1534.3000000000002</v>
      </c>
    </row>
    <row r="286" spans="1:38" x14ac:dyDescent="0.3">
      <c r="A286" t="s">
        <v>33</v>
      </c>
      <c r="B286" s="28">
        <f t="shared" si="28"/>
        <v>44166</v>
      </c>
      <c r="C286">
        <v>2020</v>
      </c>
      <c r="D286" t="s">
        <v>45</v>
      </c>
      <c r="E286" t="str">
        <f t="shared" si="29"/>
        <v>Dec-20</v>
      </c>
      <c r="F286">
        <f>VLOOKUP(D286,'Problem Statement 4'!$G$2:$H$13,2,0)</f>
        <v>12</v>
      </c>
      <c r="G286">
        <v>146</v>
      </c>
      <c r="H286">
        <v>191</v>
      </c>
      <c r="I286">
        <v>175.3</v>
      </c>
      <c r="J286">
        <v>154.1</v>
      </c>
      <c r="K286">
        <v>146.6</v>
      </c>
      <c r="L286">
        <v>147.69999999999999</v>
      </c>
      <c r="M286">
        <v>230.5</v>
      </c>
      <c r="N286">
        <v>160.19999999999999</v>
      </c>
      <c r="O286">
        <v>115.3</v>
      </c>
      <c r="P286">
        <v>163</v>
      </c>
      <c r="Q286">
        <v>149.19999999999999</v>
      </c>
      <c r="R286">
        <v>164.8</v>
      </c>
      <c r="S286">
        <v>165.4</v>
      </c>
      <c r="T286">
        <v>185.4</v>
      </c>
      <c r="U286">
        <v>155</v>
      </c>
      <c r="V286">
        <v>145.4</v>
      </c>
      <c r="W286">
        <v>153.6</v>
      </c>
      <c r="X286">
        <v>158.4</v>
      </c>
      <c r="Y286">
        <v>144.6</v>
      </c>
      <c r="Z286">
        <v>149.69999999999999</v>
      </c>
      <c r="AA286">
        <v>158.30000000000001</v>
      </c>
      <c r="AB286">
        <v>140.69999999999999</v>
      </c>
      <c r="AC286">
        <v>148.5</v>
      </c>
      <c r="AD286">
        <v>159.4</v>
      </c>
      <c r="AE286">
        <v>157.1</v>
      </c>
      <c r="AF286">
        <v>151.19999999999999</v>
      </c>
      <c r="AG286">
        <v>158.9</v>
      </c>
      <c r="AH286">
        <f t="shared" si="30"/>
        <v>2109.1</v>
      </c>
      <c r="AI286">
        <f t="shared" si="31"/>
        <v>144.6</v>
      </c>
      <c r="AJ286">
        <f t="shared" si="32"/>
        <v>140.69999999999999</v>
      </c>
      <c r="AK286">
        <f t="shared" si="33"/>
        <v>159.4</v>
      </c>
      <c r="AL286">
        <f t="shared" si="34"/>
        <v>1562.6</v>
      </c>
    </row>
    <row r="287" spans="1:38" x14ac:dyDescent="0.3">
      <c r="A287" t="s">
        <v>30</v>
      </c>
      <c r="B287" s="28">
        <f t="shared" si="28"/>
        <v>44197</v>
      </c>
      <c r="C287">
        <v>2021</v>
      </c>
      <c r="D287" t="s">
        <v>31</v>
      </c>
      <c r="E287" t="str">
        <f t="shared" si="29"/>
        <v>Jan-21</v>
      </c>
      <c r="F287">
        <f>VLOOKUP(D287,'Problem Statement 4'!$G$2:$H$13,2,0)</f>
        <v>1</v>
      </c>
      <c r="G287">
        <v>143.4</v>
      </c>
      <c r="H287">
        <v>187.5</v>
      </c>
      <c r="I287">
        <v>173.4</v>
      </c>
      <c r="J287">
        <v>154</v>
      </c>
      <c r="K287">
        <v>154.80000000000001</v>
      </c>
      <c r="L287">
        <v>147</v>
      </c>
      <c r="M287">
        <v>187.8</v>
      </c>
      <c r="N287">
        <v>159.5</v>
      </c>
      <c r="O287">
        <v>113.8</v>
      </c>
      <c r="P287">
        <v>164.5</v>
      </c>
      <c r="Q287">
        <v>156.1</v>
      </c>
      <c r="R287">
        <v>164.3</v>
      </c>
      <c r="S287">
        <v>159.6</v>
      </c>
      <c r="T287">
        <v>184.6</v>
      </c>
      <c r="U287">
        <v>157.5</v>
      </c>
      <c r="V287">
        <v>152.4</v>
      </c>
      <c r="W287">
        <v>156.80000000000001</v>
      </c>
      <c r="X287">
        <v>157.69999999999999</v>
      </c>
      <c r="Y287">
        <v>150.9</v>
      </c>
      <c r="Z287">
        <v>153.9</v>
      </c>
      <c r="AA287">
        <v>162.5</v>
      </c>
      <c r="AB287">
        <v>147.5</v>
      </c>
      <c r="AC287">
        <v>155.1</v>
      </c>
      <c r="AD287">
        <v>163.5</v>
      </c>
      <c r="AE287">
        <v>156.19999999999999</v>
      </c>
      <c r="AF287">
        <v>155.9</v>
      </c>
      <c r="AG287">
        <v>158.5</v>
      </c>
      <c r="AH287">
        <f t="shared" si="30"/>
        <v>2065.6999999999998</v>
      </c>
      <c r="AI287">
        <f t="shared" si="31"/>
        <v>150.9</v>
      </c>
      <c r="AJ287">
        <f t="shared" si="32"/>
        <v>147.5</v>
      </c>
      <c r="AK287">
        <f t="shared" si="33"/>
        <v>163.5</v>
      </c>
      <c r="AL287">
        <f t="shared" si="34"/>
        <v>1592.6000000000001</v>
      </c>
    </row>
    <row r="288" spans="1:38" x14ac:dyDescent="0.3">
      <c r="A288" t="s">
        <v>32</v>
      </c>
      <c r="B288" s="28">
        <f t="shared" si="28"/>
        <v>44197</v>
      </c>
      <c r="C288">
        <v>2021</v>
      </c>
      <c r="D288" t="s">
        <v>31</v>
      </c>
      <c r="E288" t="str">
        <f t="shared" si="29"/>
        <v>Jan-21</v>
      </c>
      <c r="F288">
        <f>VLOOKUP(D288,'Problem Statement 4'!$G$2:$H$13,2,0)</f>
        <v>1</v>
      </c>
      <c r="G288">
        <v>148</v>
      </c>
      <c r="H288">
        <v>194.8</v>
      </c>
      <c r="I288">
        <v>178.4</v>
      </c>
      <c r="J288">
        <v>154.4</v>
      </c>
      <c r="K288">
        <v>144.1</v>
      </c>
      <c r="L288">
        <v>152.6</v>
      </c>
      <c r="M288">
        <v>206.8</v>
      </c>
      <c r="N288">
        <v>162.1</v>
      </c>
      <c r="O288">
        <v>116.3</v>
      </c>
      <c r="P288">
        <v>163</v>
      </c>
      <c r="Q288">
        <v>145.9</v>
      </c>
      <c r="R288">
        <v>167.2</v>
      </c>
      <c r="S288">
        <v>163.4</v>
      </c>
      <c r="T288">
        <v>191.8</v>
      </c>
      <c r="U288">
        <v>152.5</v>
      </c>
      <c r="V288">
        <v>137.30000000000001</v>
      </c>
      <c r="W288">
        <v>150.19999999999999</v>
      </c>
      <c r="X288">
        <v>157.69999999999999</v>
      </c>
      <c r="Y288">
        <v>142.9</v>
      </c>
      <c r="Z288">
        <v>145.69999999999999</v>
      </c>
      <c r="AA288">
        <v>154.1</v>
      </c>
      <c r="AB288">
        <v>136.9</v>
      </c>
      <c r="AC288">
        <v>145.4</v>
      </c>
      <c r="AD288">
        <v>156.1</v>
      </c>
      <c r="AE288">
        <v>157.69999999999999</v>
      </c>
      <c r="AF288">
        <v>147.6</v>
      </c>
      <c r="AG288">
        <v>156</v>
      </c>
      <c r="AH288">
        <f t="shared" si="30"/>
        <v>2097</v>
      </c>
      <c r="AI288">
        <f t="shared" si="31"/>
        <v>142.9</v>
      </c>
      <c r="AJ288">
        <f t="shared" si="32"/>
        <v>136.9</v>
      </c>
      <c r="AK288">
        <f t="shared" si="33"/>
        <v>156.1</v>
      </c>
      <c r="AL288">
        <f t="shared" si="34"/>
        <v>1540</v>
      </c>
    </row>
    <row r="289" spans="1:38" x14ac:dyDescent="0.3">
      <c r="A289" t="s">
        <v>33</v>
      </c>
      <c r="B289" s="28">
        <f t="shared" si="28"/>
        <v>44197</v>
      </c>
      <c r="C289">
        <v>2021</v>
      </c>
      <c r="D289" t="s">
        <v>31</v>
      </c>
      <c r="E289" t="str">
        <f t="shared" si="29"/>
        <v>Jan-21</v>
      </c>
      <c r="F289">
        <f>VLOOKUP(D289,'Problem Statement 4'!$G$2:$H$13,2,0)</f>
        <v>1</v>
      </c>
      <c r="G289">
        <v>144.9</v>
      </c>
      <c r="H289">
        <v>190.1</v>
      </c>
      <c r="I289">
        <v>175.3</v>
      </c>
      <c r="J289">
        <v>154.1</v>
      </c>
      <c r="K289">
        <v>150.9</v>
      </c>
      <c r="L289">
        <v>149.6</v>
      </c>
      <c r="M289">
        <v>194.2</v>
      </c>
      <c r="N289">
        <v>160.4</v>
      </c>
      <c r="O289">
        <v>114.6</v>
      </c>
      <c r="P289">
        <v>164</v>
      </c>
      <c r="Q289">
        <v>151.80000000000001</v>
      </c>
      <c r="R289">
        <v>165.6</v>
      </c>
      <c r="S289">
        <v>161</v>
      </c>
      <c r="T289">
        <v>186.5</v>
      </c>
      <c r="U289">
        <v>155.5</v>
      </c>
      <c r="V289">
        <v>146.1</v>
      </c>
      <c r="W289">
        <v>154.19999999999999</v>
      </c>
      <c r="X289">
        <v>157.69999999999999</v>
      </c>
      <c r="Y289">
        <v>147.9</v>
      </c>
      <c r="Z289">
        <v>150</v>
      </c>
      <c r="AA289">
        <v>159.30000000000001</v>
      </c>
      <c r="AB289">
        <v>141.9</v>
      </c>
      <c r="AC289">
        <v>149.6</v>
      </c>
      <c r="AD289">
        <v>159.19999999999999</v>
      </c>
      <c r="AE289">
        <v>156.80000000000001</v>
      </c>
      <c r="AF289">
        <v>151.9</v>
      </c>
      <c r="AG289">
        <v>157.30000000000001</v>
      </c>
      <c r="AH289">
        <f t="shared" si="30"/>
        <v>2076.5</v>
      </c>
      <c r="AI289">
        <f t="shared" si="31"/>
        <v>147.9</v>
      </c>
      <c r="AJ289">
        <f t="shared" si="32"/>
        <v>141.9</v>
      </c>
      <c r="AK289">
        <f t="shared" si="33"/>
        <v>159.19999999999999</v>
      </c>
      <c r="AL289">
        <f t="shared" si="34"/>
        <v>1567.6</v>
      </c>
    </row>
    <row r="290" spans="1:38" x14ac:dyDescent="0.3">
      <c r="A290" t="s">
        <v>30</v>
      </c>
      <c r="B290" s="28">
        <f t="shared" si="28"/>
        <v>44228</v>
      </c>
      <c r="C290">
        <v>2021</v>
      </c>
      <c r="D290" t="s">
        <v>34</v>
      </c>
      <c r="E290" t="str">
        <f t="shared" si="29"/>
        <v>Feb-21</v>
      </c>
      <c r="F290">
        <f>VLOOKUP(D290,'Problem Statement 4'!$G$2:$H$13,2,0)</f>
        <v>2</v>
      </c>
      <c r="G290">
        <v>142.80000000000001</v>
      </c>
      <c r="H290">
        <v>184</v>
      </c>
      <c r="I290">
        <v>168</v>
      </c>
      <c r="J290">
        <v>154.4</v>
      </c>
      <c r="K290">
        <v>163</v>
      </c>
      <c r="L290">
        <v>147.80000000000001</v>
      </c>
      <c r="M290">
        <v>149.69999999999999</v>
      </c>
      <c r="N290">
        <v>158.30000000000001</v>
      </c>
      <c r="O290">
        <v>111.8</v>
      </c>
      <c r="P290">
        <v>165</v>
      </c>
      <c r="Q290">
        <v>160</v>
      </c>
      <c r="R290">
        <v>165.8</v>
      </c>
      <c r="S290">
        <v>154.69999999999999</v>
      </c>
      <c r="T290">
        <v>186.5</v>
      </c>
      <c r="U290">
        <v>159.1</v>
      </c>
      <c r="V290">
        <v>153.9</v>
      </c>
      <c r="W290">
        <v>158.4</v>
      </c>
      <c r="X290">
        <v>159.80000000000001</v>
      </c>
      <c r="Y290">
        <v>154.4</v>
      </c>
      <c r="Z290">
        <v>154.80000000000001</v>
      </c>
      <c r="AA290">
        <v>164.3</v>
      </c>
      <c r="AB290">
        <v>150.19999999999999</v>
      </c>
      <c r="AC290">
        <v>157</v>
      </c>
      <c r="AD290">
        <v>163.6</v>
      </c>
      <c r="AE290">
        <v>155.19999999999999</v>
      </c>
      <c r="AF290">
        <v>157.19999999999999</v>
      </c>
      <c r="AG290">
        <v>156.69999999999999</v>
      </c>
      <c r="AH290">
        <f t="shared" si="30"/>
        <v>2025.3</v>
      </c>
      <c r="AI290">
        <f t="shared" si="31"/>
        <v>154.4</v>
      </c>
      <c r="AJ290">
        <f t="shared" si="32"/>
        <v>150.19999999999999</v>
      </c>
      <c r="AK290">
        <f t="shared" si="33"/>
        <v>163.6</v>
      </c>
      <c r="AL290">
        <f t="shared" si="34"/>
        <v>1606.2</v>
      </c>
    </row>
    <row r="291" spans="1:38" x14ac:dyDescent="0.3">
      <c r="A291" t="s">
        <v>32</v>
      </c>
      <c r="B291" s="28">
        <f t="shared" si="28"/>
        <v>44228</v>
      </c>
      <c r="C291">
        <v>2021</v>
      </c>
      <c r="D291" t="s">
        <v>34</v>
      </c>
      <c r="E291" t="str">
        <f t="shared" si="29"/>
        <v>Feb-21</v>
      </c>
      <c r="F291">
        <f>VLOOKUP(D291,'Problem Statement 4'!$G$2:$H$13,2,0)</f>
        <v>2</v>
      </c>
      <c r="G291">
        <v>147.6</v>
      </c>
      <c r="H291">
        <v>191.2</v>
      </c>
      <c r="I291">
        <v>169.9</v>
      </c>
      <c r="J291">
        <v>155.1</v>
      </c>
      <c r="K291">
        <v>151.4</v>
      </c>
      <c r="L291">
        <v>154</v>
      </c>
      <c r="M291">
        <v>180.2</v>
      </c>
      <c r="N291">
        <v>159.80000000000001</v>
      </c>
      <c r="O291">
        <v>114.9</v>
      </c>
      <c r="P291">
        <v>162.5</v>
      </c>
      <c r="Q291">
        <v>149.19999999999999</v>
      </c>
      <c r="R291">
        <v>169.4</v>
      </c>
      <c r="S291">
        <v>160.80000000000001</v>
      </c>
      <c r="T291">
        <v>193.3</v>
      </c>
      <c r="U291">
        <v>154.19999999999999</v>
      </c>
      <c r="V291">
        <v>138.19999999999999</v>
      </c>
      <c r="W291">
        <v>151.80000000000001</v>
      </c>
      <c r="X291">
        <v>159.80000000000001</v>
      </c>
      <c r="Y291">
        <v>149.1</v>
      </c>
      <c r="Z291">
        <v>146.5</v>
      </c>
      <c r="AA291">
        <v>156.30000000000001</v>
      </c>
      <c r="AB291">
        <v>140.5</v>
      </c>
      <c r="AC291">
        <v>147.30000000000001</v>
      </c>
      <c r="AD291">
        <v>156.6</v>
      </c>
      <c r="AE291">
        <v>156.69999999999999</v>
      </c>
      <c r="AF291">
        <v>149.30000000000001</v>
      </c>
      <c r="AG291">
        <v>156.5</v>
      </c>
      <c r="AH291">
        <f t="shared" si="30"/>
        <v>2066</v>
      </c>
      <c r="AI291">
        <f t="shared" si="31"/>
        <v>149.1</v>
      </c>
      <c r="AJ291">
        <f t="shared" si="32"/>
        <v>140.5</v>
      </c>
      <c r="AK291">
        <f t="shared" si="33"/>
        <v>156.6</v>
      </c>
      <c r="AL291">
        <f t="shared" si="34"/>
        <v>1553.3999999999999</v>
      </c>
    </row>
    <row r="292" spans="1:38" x14ac:dyDescent="0.3">
      <c r="A292" t="s">
        <v>33</v>
      </c>
      <c r="B292" s="28">
        <f t="shared" si="28"/>
        <v>44228</v>
      </c>
      <c r="C292">
        <v>2021</v>
      </c>
      <c r="D292" t="s">
        <v>34</v>
      </c>
      <c r="E292" t="str">
        <f t="shared" si="29"/>
        <v>Feb-21</v>
      </c>
      <c r="F292">
        <f>VLOOKUP(D292,'Problem Statement 4'!$G$2:$H$13,2,0)</f>
        <v>2</v>
      </c>
      <c r="G292">
        <v>144.30000000000001</v>
      </c>
      <c r="H292">
        <v>186.5</v>
      </c>
      <c r="I292">
        <v>168.7</v>
      </c>
      <c r="J292">
        <v>154.69999999999999</v>
      </c>
      <c r="K292">
        <v>158.69999999999999</v>
      </c>
      <c r="L292">
        <v>150.69999999999999</v>
      </c>
      <c r="M292">
        <v>160</v>
      </c>
      <c r="N292">
        <v>158.80000000000001</v>
      </c>
      <c r="O292">
        <v>112.8</v>
      </c>
      <c r="P292">
        <v>164.2</v>
      </c>
      <c r="Q292">
        <v>155.5</v>
      </c>
      <c r="R292">
        <v>167.5</v>
      </c>
      <c r="S292">
        <v>156.9</v>
      </c>
      <c r="T292">
        <v>188.3</v>
      </c>
      <c r="U292">
        <v>157.19999999999999</v>
      </c>
      <c r="V292">
        <v>147.4</v>
      </c>
      <c r="W292">
        <v>155.80000000000001</v>
      </c>
      <c r="X292">
        <v>159.80000000000001</v>
      </c>
      <c r="Y292">
        <v>152.4</v>
      </c>
      <c r="Z292">
        <v>150.9</v>
      </c>
      <c r="AA292">
        <v>161.30000000000001</v>
      </c>
      <c r="AB292">
        <v>145.1</v>
      </c>
      <c r="AC292">
        <v>151.5</v>
      </c>
      <c r="AD292">
        <v>159.5</v>
      </c>
      <c r="AE292">
        <v>155.80000000000001</v>
      </c>
      <c r="AF292">
        <v>153.4</v>
      </c>
      <c r="AG292">
        <v>156.6</v>
      </c>
      <c r="AH292">
        <f t="shared" si="30"/>
        <v>2039.3000000000002</v>
      </c>
      <c r="AI292">
        <f t="shared" si="31"/>
        <v>152.4</v>
      </c>
      <c r="AJ292">
        <f t="shared" si="32"/>
        <v>145.1</v>
      </c>
      <c r="AK292">
        <f t="shared" si="33"/>
        <v>159.5</v>
      </c>
      <c r="AL292">
        <f t="shared" si="34"/>
        <v>1581.4</v>
      </c>
    </row>
    <row r="293" spans="1:38" x14ac:dyDescent="0.3">
      <c r="A293" t="s">
        <v>30</v>
      </c>
      <c r="B293" s="28">
        <f t="shared" si="28"/>
        <v>44256</v>
      </c>
      <c r="C293">
        <v>2021</v>
      </c>
      <c r="D293" t="s">
        <v>35</v>
      </c>
      <c r="E293" t="str">
        <f t="shared" si="29"/>
        <v>Mar-21</v>
      </c>
      <c r="F293">
        <f>VLOOKUP(D293,'Problem Statement 4'!$G$2:$H$13,2,0)</f>
        <v>3</v>
      </c>
      <c r="G293">
        <v>142.5</v>
      </c>
      <c r="H293">
        <v>189.4</v>
      </c>
      <c r="I293">
        <v>163.19999999999999</v>
      </c>
      <c r="J293">
        <v>154.5</v>
      </c>
      <c r="K293">
        <v>168.2</v>
      </c>
      <c r="L293">
        <v>150.5</v>
      </c>
      <c r="M293">
        <v>141</v>
      </c>
      <c r="N293">
        <v>159.19999999999999</v>
      </c>
      <c r="O293">
        <v>111.7</v>
      </c>
      <c r="P293">
        <v>164</v>
      </c>
      <c r="Q293">
        <v>160.6</v>
      </c>
      <c r="R293">
        <v>166.4</v>
      </c>
      <c r="S293">
        <v>154.5</v>
      </c>
      <c r="T293">
        <v>186.1</v>
      </c>
      <c r="U293">
        <v>159.6</v>
      </c>
      <c r="V293">
        <v>154.4</v>
      </c>
      <c r="W293">
        <v>158.9</v>
      </c>
      <c r="X293">
        <v>159.9</v>
      </c>
      <c r="Y293">
        <v>156</v>
      </c>
      <c r="Z293">
        <v>154.80000000000001</v>
      </c>
      <c r="AA293">
        <v>164.6</v>
      </c>
      <c r="AB293">
        <v>151.30000000000001</v>
      </c>
      <c r="AC293">
        <v>157.80000000000001</v>
      </c>
      <c r="AD293">
        <v>163.80000000000001</v>
      </c>
      <c r="AE293">
        <v>153.1</v>
      </c>
      <c r="AF293">
        <v>157.30000000000001</v>
      </c>
      <c r="AG293">
        <v>156.69999999999999</v>
      </c>
      <c r="AH293">
        <f t="shared" si="30"/>
        <v>2025.7</v>
      </c>
      <c r="AI293">
        <f t="shared" si="31"/>
        <v>156</v>
      </c>
      <c r="AJ293">
        <f t="shared" si="32"/>
        <v>151.30000000000001</v>
      </c>
      <c r="AK293">
        <f t="shared" si="33"/>
        <v>163.80000000000001</v>
      </c>
      <c r="AL293">
        <f t="shared" si="34"/>
        <v>1606.4999999999998</v>
      </c>
    </row>
    <row r="294" spans="1:38" x14ac:dyDescent="0.3">
      <c r="A294" t="s">
        <v>32</v>
      </c>
      <c r="B294" s="28">
        <f t="shared" si="28"/>
        <v>44256</v>
      </c>
      <c r="C294">
        <v>2021</v>
      </c>
      <c r="D294" t="s">
        <v>35</v>
      </c>
      <c r="E294" t="str">
        <f t="shared" si="29"/>
        <v>Mar-21</v>
      </c>
      <c r="F294">
        <f>VLOOKUP(D294,'Problem Statement 4'!$G$2:$H$13,2,0)</f>
        <v>3</v>
      </c>
      <c r="G294">
        <v>147.5</v>
      </c>
      <c r="H294">
        <v>197.5</v>
      </c>
      <c r="I294">
        <v>164.7</v>
      </c>
      <c r="J294">
        <v>155.6</v>
      </c>
      <c r="K294">
        <v>156.4</v>
      </c>
      <c r="L294">
        <v>157.30000000000001</v>
      </c>
      <c r="M294">
        <v>166.1</v>
      </c>
      <c r="N294">
        <v>161.1</v>
      </c>
      <c r="O294">
        <v>114.3</v>
      </c>
      <c r="P294">
        <v>162.6</v>
      </c>
      <c r="Q294">
        <v>150.69999999999999</v>
      </c>
      <c r="R294">
        <v>170.3</v>
      </c>
      <c r="S294">
        <v>160.4</v>
      </c>
      <c r="T294">
        <v>193.5</v>
      </c>
      <c r="U294">
        <v>155.1</v>
      </c>
      <c r="V294">
        <v>138.69999999999999</v>
      </c>
      <c r="W294">
        <v>152.6</v>
      </c>
      <c r="X294">
        <v>159.9</v>
      </c>
      <c r="Y294">
        <v>154.80000000000001</v>
      </c>
      <c r="Z294">
        <v>147.19999999999999</v>
      </c>
      <c r="AA294">
        <v>156.9</v>
      </c>
      <c r="AB294">
        <v>141.69999999999999</v>
      </c>
      <c r="AC294">
        <v>148.6</v>
      </c>
      <c r="AD294">
        <v>157.6</v>
      </c>
      <c r="AE294">
        <v>154.9</v>
      </c>
      <c r="AF294">
        <v>150</v>
      </c>
      <c r="AG294">
        <v>156.9</v>
      </c>
      <c r="AH294">
        <f t="shared" si="30"/>
        <v>2064.4999999999995</v>
      </c>
      <c r="AI294">
        <f t="shared" si="31"/>
        <v>154.80000000000001</v>
      </c>
      <c r="AJ294">
        <f t="shared" si="32"/>
        <v>141.69999999999999</v>
      </c>
      <c r="AK294">
        <f t="shared" si="33"/>
        <v>157.6</v>
      </c>
      <c r="AL294">
        <f t="shared" si="34"/>
        <v>1557.4</v>
      </c>
    </row>
    <row r="295" spans="1:38" x14ac:dyDescent="0.3">
      <c r="A295" t="s">
        <v>33</v>
      </c>
      <c r="B295" s="28">
        <f t="shared" si="28"/>
        <v>44256</v>
      </c>
      <c r="C295">
        <v>2021</v>
      </c>
      <c r="D295" t="s">
        <v>35</v>
      </c>
      <c r="E295" t="str">
        <f t="shared" si="29"/>
        <v>Mar-21</v>
      </c>
      <c r="F295">
        <f>VLOOKUP(D295,'Problem Statement 4'!$G$2:$H$13,2,0)</f>
        <v>3</v>
      </c>
      <c r="G295">
        <v>144.1</v>
      </c>
      <c r="H295">
        <v>192.2</v>
      </c>
      <c r="I295">
        <v>163.80000000000001</v>
      </c>
      <c r="J295">
        <v>154.9</v>
      </c>
      <c r="K295">
        <v>163.9</v>
      </c>
      <c r="L295">
        <v>153.69999999999999</v>
      </c>
      <c r="M295">
        <v>149.5</v>
      </c>
      <c r="N295">
        <v>159.80000000000001</v>
      </c>
      <c r="O295">
        <v>112.6</v>
      </c>
      <c r="P295">
        <v>163.5</v>
      </c>
      <c r="Q295">
        <v>156.5</v>
      </c>
      <c r="R295">
        <v>168.2</v>
      </c>
      <c r="S295">
        <v>156.69999999999999</v>
      </c>
      <c r="T295">
        <v>188.1</v>
      </c>
      <c r="U295">
        <v>157.80000000000001</v>
      </c>
      <c r="V295">
        <v>147.9</v>
      </c>
      <c r="W295">
        <v>156.4</v>
      </c>
      <c r="X295">
        <v>159.9</v>
      </c>
      <c r="Y295">
        <v>155.5</v>
      </c>
      <c r="Z295">
        <v>151.19999999999999</v>
      </c>
      <c r="AA295">
        <v>161.69999999999999</v>
      </c>
      <c r="AB295">
        <v>146.19999999999999</v>
      </c>
      <c r="AC295">
        <v>152.6</v>
      </c>
      <c r="AD295">
        <v>160.19999999999999</v>
      </c>
      <c r="AE295">
        <v>153.80000000000001</v>
      </c>
      <c r="AF295">
        <v>153.80000000000001</v>
      </c>
      <c r="AG295">
        <v>156.80000000000001</v>
      </c>
      <c r="AH295">
        <f t="shared" si="30"/>
        <v>2039.3999999999999</v>
      </c>
      <c r="AI295">
        <f t="shared" si="31"/>
        <v>155.5</v>
      </c>
      <c r="AJ295">
        <f t="shared" si="32"/>
        <v>146.19999999999999</v>
      </c>
      <c r="AK295">
        <f t="shared" si="33"/>
        <v>160.19999999999999</v>
      </c>
      <c r="AL295">
        <f t="shared" si="34"/>
        <v>1583.1999999999998</v>
      </c>
    </row>
    <row r="296" spans="1:38" x14ac:dyDescent="0.3">
      <c r="A296" t="s">
        <v>30</v>
      </c>
      <c r="B296" s="28">
        <f t="shared" si="28"/>
        <v>44287</v>
      </c>
      <c r="C296">
        <v>2021</v>
      </c>
      <c r="D296" t="s">
        <v>36</v>
      </c>
      <c r="E296" t="str">
        <f t="shared" si="29"/>
        <v>Apr-21</v>
      </c>
      <c r="F296">
        <f>VLOOKUP(D296,'Problem Statement 4'!$G$2:$H$13,2,0)</f>
        <v>4</v>
      </c>
      <c r="G296">
        <v>142.69999999999999</v>
      </c>
      <c r="H296">
        <v>195.5</v>
      </c>
      <c r="I296">
        <v>163.4</v>
      </c>
      <c r="J296">
        <v>155</v>
      </c>
      <c r="K296">
        <v>175.2</v>
      </c>
      <c r="L296">
        <v>160.6</v>
      </c>
      <c r="M296">
        <v>135.1</v>
      </c>
      <c r="N296">
        <v>161.1</v>
      </c>
      <c r="O296">
        <v>112.2</v>
      </c>
      <c r="P296">
        <v>164.4</v>
      </c>
      <c r="Q296">
        <v>161.9</v>
      </c>
      <c r="R296">
        <v>166.8</v>
      </c>
      <c r="S296">
        <v>155.6</v>
      </c>
      <c r="T296">
        <v>186.8</v>
      </c>
      <c r="U296">
        <v>160.69999999999999</v>
      </c>
      <c r="V296">
        <v>155.1</v>
      </c>
      <c r="W296">
        <v>159.9</v>
      </c>
      <c r="X296">
        <v>161.4</v>
      </c>
      <c r="Y296">
        <v>156</v>
      </c>
      <c r="Z296">
        <v>155.5</v>
      </c>
      <c r="AA296">
        <v>165.3</v>
      </c>
      <c r="AB296">
        <v>151.69999999999999</v>
      </c>
      <c r="AC296">
        <v>158.6</v>
      </c>
      <c r="AD296">
        <v>164.1</v>
      </c>
      <c r="AE296">
        <v>154.6</v>
      </c>
      <c r="AF296">
        <v>158</v>
      </c>
      <c r="AG296">
        <v>157.6</v>
      </c>
      <c r="AH296">
        <f t="shared" si="30"/>
        <v>2049.5</v>
      </c>
      <c r="AI296">
        <f t="shared" si="31"/>
        <v>156</v>
      </c>
      <c r="AJ296">
        <f t="shared" si="32"/>
        <v>151.69999999999999</v>
      </c>
      <c r="AK296">
        <f t="shared" si="33"/>
        <v>164.1</v>
      </c>
      <c r="AL296">
        <f t="shared" si="34"/>
        <v>1615.8999999999999</v>
      </c>
    </row>
    <row r="297" spans="1:38" x14ac:dyDescent="0.3">
      <c r="A297" t="s">
        <v>32</v>
      </c>
      <c r="B297" s="28">
        <f t="shared" si="28"/>
        <v>44287</v>
      </c>
      <c r="C297">
        <v>2021</v>
      </c>
      <c r="D297" t="s">
        <v>36</v>
      </c>
      <c r="E297" t="str">
        <f t="shared" si="29"/>
        <v>Apr-21</v>
      </c>
      <c r="F297">
        <f>VLOOKUP(D297,'Problem Statement 4'!$G$2:$H$13,2,0)</f>
        <v>4</v>
      </c>
      <c r="G297">
        <v>147.6</v>
      </c>
      <c r="H297">
        <v>202.5</v>
      </c>
      <c r="I297">
        <v>166.4</v>
      </c>
      <c r="J297">
        <v>156</v>
      </c>
      <c r="K297">
        <v>161.4</v>
      </c>
      <c r="L297">
        <v>168.8</v>
      </c>
      <c r="M297">
        <v>161.6</v>
      </c>
      <c r="N297">
        <v>162.80000000000001</v>
      </c>
      <c r="O297">
        <v>114.8</v>
      </c>
      <c r="P297">
        <v>162.80000000000001</v>
      </c>
      <c r="Q297">
        <v>151.5</v>
      </c>
      <c r="R297">
        <v>171.4</v>
      </c>
      <c r="S297">
        <v>162</v>
      </c>
      <c r="T297">
        <v>194.4</v>
      </c>
      <c r="U297">
        <v>155.9</v>
      </c>
      <c r="V297">
        <v>139.30000000000001</v>
      </c>
      <c r="W297">
        <v>153.4</v>
      </c>
      <c r="X297">
        <v>161.4</v>
      </c>
      <c r="Y297">
        <v>154.9</v>
      </c>
      <c r="Z297">
        <v>147.6</v>
      </c>
      <c r="AA297">
        <v>157.5</v>
      </c>
      <c r="AB297">
        <v>142.1</v>
      </c>
      <c r="AC297">
        <v>149.1</v>
      </c>
      <c r="AD297">
        <v>157.6</v>
      </c>
      <c r="AE297">
        <v>156.6</v>
      </c>
      <c r="AF297">
        <v>150.5</v>
      </c>
      <c r="AG297">
        <v>158</v>
      </c>
      <c r="AH297">
        <f t="shared" si="30"/>
        <v>2089.6</v>
      </c>
      <c r="AI297">
        <f t="shared" si="31"/>
        <v>154.9</v>
      </c>
      <c r="AJ297">
        <f t="shared" si="32"/>
        <v>142.1</v>
      </c>
      <c r="AK297">
        <f t="shared" si="33"/>
        <v>157.6</v>
      </c>
      <c r="AL297">
        <f t="shared" si="34"/>
        <v>1565.6999999999998</v>
      </c>
    </row>
    <row r="298" spans="1:38" x14ac:dyDescent="0.3">
      <c r="A298" t="s">
        <v>33</v>
      </c>
      <c r="B298" s="28">
        <f t="shared" si="28"/>
        <v>44287</v>
      </c>
      <c r="C298">
        <v>2021</v>
      </c>
      <c r="D298" t="s">
        <v>36</v>
      </c>
      <c r="E298" t="str">
        <f t="shared" si="29"/>
        <v>Apr-21</v>
      </c>
      <c r="F298">
        <f>VLOOKUP(D298,'Problem Statement 4'!$G$2:$H$13,2,0)</f>
        <v>4</v>
      </c>
      <c r="G298">
        <v>144.30000000000001</v>
      </c>
      <c r="H298">
        <v>198</v>
      </c>
      <c r="I298">
        <v>164.6</v>
      </c>
      <c r="J298">
        <v>155.4</v>
      </c>
      <c r="K298">
        <v>170.1</v>
      </c>
      <c r="L298">
        <v>164.4</v>
      </c>
      <c r="M298">
        <v>144.1</v>
      </c>
      <c r="N298">
        <v>161.69999999999999</v>
      </c>
      <c r="O298">
        <v>113.1</v>
      </c>
      <c r="P298">
        <v>163.9</v>
      </c>
      <c r="Q298">
        <v>157.6</v>
      </c>
      <c r="R298">
        <v>168.9</v>
      </c>
      <c r="S298">
        <v>158</v>
      </c>
      <c r="T298">
        <v>188.8</v>
      </c>
      <c r="U298">
        <v>158.80000000000001</v>
      </c>
      <c r="V298">
        <v>148.5</v>
      </c>
      <c r="W298">
        <v>157.30000000000001</v>
      </c>
      <c r="X298">
        <v>161.4</v>
      </c>
      <c r="Y298">
        <v>155.6</v>
      </c>
      <c r="Z298">
        <v>151.80000000000001</v>
      </c>
      <c r="AA298">
        <v>162.30000000000001</v>
      </c>
      <c r="AB298">
        <v>146.6</v>
      </c>
      <c r="AC298">
        <v>153.19999999999999</v>
      </c>
      <c r="AD298">
        <v>160.30000000000001</v>
      </c>
      <c r="AE298">
        <v>155.4</v>
      </c>
      <c r="AF298">
        <v>154.4</v>
      </c>
      <c r="AG298">
        <v>157.80000000000001</v>
      </c>
      <c r="AH298">
        <f t="shared" si="30"/>
        <v>2064.1</v>
      </c>
      <c r="AI298">
        <f t="shared" si="31"/>
        <v>155.6</v>
      </c>
      <c r="AJ298">
        <f t="shared" si="32"/>
        <v>146.6</v>
      </c>
      <c r="AK298">
        <f t="shared" si="33"/>
        <v>160.30000000000001</v>
      </c>
      <c r="AL298">
        <f t="shared" si="34"/>
        <v>1591.9000000000003</v>
      </c>
    </row>
    <row r="299" spans="1:38" x14ac:dyDescent="0.3">
      <c r="A299" t="s">
        <v>30</v>
      </c>
      <c r="B299" s="28">
        <f t="shared" si="28"/>
        <v>44317</v>
      </c>
      <c r="C299">
        <v>2021</v>
      </c>
      <c r="D299" t="s">
        <v>37</v>
      </c>
      <c r="E299" t="str">
        <f t="shared" si="29"/>
        <v>May-21</v>
      </c>
      <c r="F299">
        <f>VLOOKUP(D299,'Problem Statement 4'!$G$2:$H$13,2,0)</f>
        <v>5</v>
      </c>
      <c r="G299">
        <v>145.1</v>
      </c>
      <c r="H299">
        <v>198.5</v>
      </c>
      <c r="I299">
        <v>168.6</v>
      </c>
      <c r="J299">
        <v>155.80000000000001</v>
      </c>
      <c r="K299">
        <v>184.4</v>
      </c>
      <c r="L299">
        <v>162.30000000000001</v>
      </c>
      <c r="M299">
        <v>138.4</v>
      </c>
      <c r="N299">
        <v>165.1</v>
      </c>
      <c r="O299">
        <v>114.3</v>
      </c>
      <c r="P299">
        <v>169.7</v>
      </c>
      <c r="Q299">
        <v>164.6</v>
      </c>
      <c r="R299">
        <v>169.8</v>
      </c>
      <c r="S299">
        <v>158.69999999999999</v>
      </c>
      <c r="T299">
        <v>189.6</v>
      </c>
      <c r="U299">
        <v>165.3</v>
      </c>
      <c r="V299">
        <v>160.6</v>
      </c>
      <c r="W299">
        <v>164.5</v>
      </c>
      <c r="X299">
        <v>161.6</v>
      </c>
      <c r="Y299">
        <v>161.69999999999999</v>
      </c>
      <c r="Z299">
        <v>158.80000000000001</v>
      </c>
      <c r="AA299">
        <v>169.1</v>
      </c>
      <c r="AB299">
        <v>153.19999999999999</v>
      </c>
      <c r="AC299">
        <v>160</v>
      </c>
      <c r="AD299">
        <v>167.6</v>
      </c>
      <c r="AE299">
        <v>159.30000000000001</v>
      </c>
      <c r="AF299">
        <v>161.1</v>
      </c>
      <c r="AG299">
        <v>161.1</v>
      </c>
      <c r="AH299">
        <f t="shared" si="30"/>
        <v>2095.2999999999997</v>
      </c>
      <c r="AI299">
        <f t="shared" si="31"/>
        <v>161.69999999999999</v>
      </c>
      <c r="AJ299">
        <f t="shared" si="32"/>
        <v>153.19999999999999</v>
      </c>
      <c r="AK299">
        <f t="shared" si="33"/>
        <v>167.6</v>
      </c>
      <c r="AL299">
        <f t="shared" si="34"/>
        <v>1649.8999999999999</v>
      </c>
    </row>
    <row r="300" spans="1:38" x14ac:dyDescent="0.3">
      <c r="A300" t="s">
        <v>32</v>
      </c>
      <c r="B300" s="28">
        <f t="shared" si="28"/>
        <v>44317</v>
      </c>
      <c r="C300">
        <v>2021</v>
      </c>
      <c r="D300" t="s">
        <v>37</v>
      </c>
      <c r="E300" t="str">
        <f t="shared" si="29"/>
        <v>May-21</v>
      </c>
      <c r="F300">
        <f>VLOOKUP(D300,'Problem Statement 4'!$G$2:$H$13,2,0)</f>
        <v>5</v>
      </c>
      <c r="G300">
        <v>148.80000000000001</v>
      </c>
      <c r="H300">
        <v>204.3</v>
      </c>
      <c r="I300">
        <v>173</v>
      </c>
      <c r="J300">
        <v>156.5</v>
      </c>
      <c r="K300">
        <v>168.8</v>
      </c>
      <c r="L300">
        <v>172.5</v>
      </c>
      <c r="M300">
        <v>166.5</v>
      </c>
      <c r="N300">
        <v>165.9</v>
      </c>
      <c r="O300">
        <v>115.9</v>
      </c>
      <c r="P300">
        <v>165.2</v>
      </c>
      <c r="Q300">
        <v>152</v>
      </c>
      <c r="R300">
        <v>171.1</v>
      </c>
      <c r="S300">
        <v>164.2</v>
      </c>
      <c r="T300">
        <v>198.2</v>
      </c>
      <c r="U300">
        <v>156.5</v>
      </c>
      <c r="V300">
        <v>140.19999999999999</v>
      </c>
      <c r="W300">
        <v>154.1</v>
      </c>
      <c r="X300">
        <v>161.6</v>
      </c>
      <c r="Y300">
        <v>155.5</v>
      </c>
      <c r="Z300">
        <v>150.1</v>
      </c>
      <c r="AA300">
        <v>160.4</v>
      </c>
      <c r="AB300">
        <v>145</v>
      </c>
      <c r="AC300">
        <v>152.6</v>
      </c>
      <c r="AD300">
        <v>156.6</v>
      </c>
      <c r="AE300">
        <v>157.5</v>
      </c>
      <c r="AF300">
        <v>152.30000000000001</v>
      </c>
      <c r="AG300">
        <v>159.5</v>
      </c>
      <c r="AH300">
        <f t="shared" si="30"/>
        <v>2124.7000000000003</v>
      </c>
      <c r="AI300">
        <f t="shared" si="31"/>
        <v>155.5</v>
      </c>
      <c r="AJ300">
        <f t="shared" si="32"/>
        <v>145</v>
      </c>
      <c r="AK300">
        <f t="shared" si="33"/>
        <v>156.6</v>
      </c>
      <c r="AL300">
        <f t="shared" si="34"/>
        <v>1583.5</v>
      </c>
    </row>
    <row r="301" spans="1:38" x14ac:dyDescent="0.3">
      <c r="A301" t="s">
        <v>33</v>
      </c>
      <c r="B301" s="28">
        <f t="shared" si="28"/>
        <v>44317</v>
      </c>
      <c r="C301">
        <v>2021</v>
      </c>
      <c r="D301" t="s">
        <v>37</v>
      </c>
      <c r="E301" t="str">
        <f t="shared" si="29"/>
        <v>May-21</v>
      </c>
      <c r="F301">
        <f>VLOOKUP(D301,'Problem Statement 4'!$G$2:$H$13,2,0)</f>
        <v>5</v>
      </c>
      <c r="G301">
        <v>146.30000000000001</v>
      </c>
      <c r="H301">
        <v>200.5</v>
      </c>
      <c r="I301">
        <v>170.3</v>
      </c>
      <c r="J301">
        <v>156.1</v>
      </c>
      <c r="K301">
        <v>178.7</v>
      </c>
      <c r="L301">
        <v>167.1</v>
      </c>
      <c r="M301">
        <v>147.9</v>
      </c>
      <c r="N301">
        <v>165.4</v>
      </c>
      <c r="O301">
        <v>114.8</v>
      </c>
      <c r="P301">
        <v>168.2</v>
      </c>
      <c r="Q301">
        <v>159.30000000000001</v>
      </c>
      <c r="R301">
        <v>170.4</v>
      </c>
      <c r="S301">
        <v>160.69999999999999</v>
      </c>
      <c r="T301">
        <v>191.9</v>
      </c>
      <c r="U301">
        <v>161.80000000000001</v>
      </c>
      <c r="V301">
        <v>152.1</v>
      </c>
      <c r="W301">
        <v>160.4</v>
      </c>
      <c r="X301">
        <v>161.6</v>
      </c>
      <c r="Y301">
        <v>159.4</v>
      </c>
      <c r="Z301">
        <v>154.69999999999999</v>
      </c>
      <c r="AA301">
        <v>165.8</v>
      </c>
      <c r="AB301">
        <v>148.9</v>
      </c>
      <c r="AC301">
        <v>155.80000000000001</v>
      </c>
      <c r="AD301">
        <v>161.19999999999999</v>
      </c>
      <c r="AE301">
        <v>158.6</v>
      </c>
      <c r="AF301">
        <v>156.80000000000001</v>
      </c>
      <c r="AG301">
        <v>160.4</v>
      </c>
      <c r="AH301">
        <f t="shared" si="30"/>
        <v>2105.7000000000003</v>
      </c>
      <c r="AI301">
        <f t="shared" si="31"/>
        <v>159.4</v>
      </c>
      <c r="AJ301">
        <f t="shared" si="32"/>
        <v>148.9</v>
      </c>
      <c r="AK301">
        <f t="shared" si="33"/>
        <v>161.19999999999999</v>
      </c>
      <c r="AL301">
        <f t="shared" si="34"/>
        <v>1619.4999999999998</v>
      </c>
    </row>
    <row r="302" spans="1:38" x14ac:dyDescent="0.3">
      <c r="A302" t="s">
        <v>30</v>
      </c>
      <c r="B302" s="28">
        <f t="shared" si="28"/>
        <v>44348</v>
      </c>
      <c r="C302">
        <v>2021</v>
      </c>
      <c r="D302" t="s">
        <v>38</v>
      </c>
      <c r="E302" t="str">
        <f t="shared" si="29"/>
        <v>Jun-21</v>
      </c>
      <c r="F302">
        <f>VLOOKUP(D302,'Problem Statement 4'!$G$2:$H$13,2,0)</f>
        <v>6</v>
      </c>
      <c r="G302">
        <v>145.6</v>
      </c>
      <c r="H302">
        <v>200.1</v>
      </c>
      <c r="I302">
        <v>179.3</v>
      </c>
      <c r="J302">
        <v>156.1</v>
      </c>
      <c r="K302">
        <v>190.4</v>
      </c>
      <c r="L302">
        <v>158.6</v>
      </c>
      <c r="M302">
        <v>144.69999999999999</v>
      </c>
      <c r="N302">
        <v>165.5</v>
      </c>
      <c r="O302">
        <v>114.6</v>
      </c>
      <c r="P302">
        <v>170</v>
      </c>
      <c r="Q302">
        <v>165.5</v>
      </c>
      <c r="R302">
        <v>171.7</v>
      </c>
      <c r="S302">
        <v>160.5</v>
      </c>
      <c r="T302">
        <v>189.1</v>
      </c>
      <c r="U302">
        <v>165.3</v>
      </c>
      <c r="V302">
        <v>159.9</v>
      </c>
      <c r="W302">
        <v>164.6</v>
      </c>
      <c r="X302">
        <v>160.5</v>
      </c>
      <c r="Y302">
        <v>162.1</v>
      </c>
      <c r="Z302">
        <v>159.19999999999999</v>
      </c>
      <c r="AA302">
        <v>169.7</v>
      </c>
      <c r="AB302">
        <v>154.19999999999999</v>
      </c>
      <c r="AC302">
        <v>160.4</v>
      </c>
      <c r="AD302">
        <v>166.8</v>
      </c>
      <c r="AE302">
        <v>159.4</v>
      </c>
      <c r="AF302">
        <v>161.5</v>
      </c>
      <c r="AG302">
        <v>162.1</v>
      </c>
      <c r="AH302">
        <f t="shared" si="30"/>
        <v>2122.6</v>
      </c>
      <c r="AI302">
        <f t="shared" si="31"/>
        <v>162.1</v>
      </c>
      <c r="AJ302">
        <f t="shared" si="32"/>
        <v>154.19999999999999</v>
      </c>
      <c r="AK302">
        <f t="shared" si="33"/>
        <v>166.8</v>
      </c>
      <c r="AL302">
        <f t="shared" si="34"/>
        <v>1649.6000000000001</v>
      </c>
    </row>
    <row r="303" spans="1:38" x14ac:dyDescent="0.3">
      <c r="A303" t="s">
        <v>32</v>
      </c>
      <c r="B303" s="28">
        <f t="shared" si="28"/>
        <v>44348</v>
      </c>
      <c r="C303">
        <v>2021</v>
      </c>
      <c r="D303" t="s">
        <v>38</v>
      </c>
      <c r="E303" t="str">
        <f t="shared" si="29"/>
        <v>Jun-21</v>
      </c>
      <c r="F303">
        <f>VLOOKUP(D303,'Problem Statement 4'!$G$2:$H$13,2,0)</f>
        <v>6</v>
      </c>
      <c r="G303">
        <v>149.19999999999999</v>
      </c>
      <c r="H303">
        <v>205.5</v>
      </c>
      <c r="I303">
        <v>182.8</v>
      </c>
      <c r="J303">
        <v>156.5</v>
      </c>
      <c r="K303">
        <v>172.2</v>
      </c>
      <c r="L303">
        <v>171.5</v>
      </c>
      <c r="M303">
        <v>176.2</v>
      </c>
      <c r="N303">
        <v>166.9</v>
      </c>
      <c r="O303">
        <v>116.1</v>
      </c>
      <c r="P303">
        <v>165.5</v>
      </c>
      <c r="Q303">
        <v>152.30000000000001</v>
      </c>
      <c r="R303">
        <v>173.3</v>
      </c>
      <c r="S303">
        <v>166.2</v>
      </c>
      <c r="T303">
        <v>195.6</v>
      </c>
      <c r="U303">
        <v>157.30000000000001</v>
      </c>
      <c r="V303">
        <v>140.5</v>
      </c>
      <c r="W303">
        <v>154.80000000000001</v>
      </c>
      <c r="X303">
        <v>160.5</v>
      </c>
      <c r="Y303">
        <v>156.1</v>
      </c>
      <c r="Z303">
        <v>149.80000000000001</v>
      </c>
      <c r="AA303">
        <v>160.80000000000001</v>
      </c>
      <c r="AB303">
        <v>147.5</v>
      </c>
      <c r="AC303">
        <v>150.69999999999999</v>
      </c>
      <c r="AD303">
        <v>158.1</v>
      </c>
      <c r="AE303">
        <v>158</v>
      </c>
      <c r="AF303">
        <v>153.4</v>
      </c>
      <c r="AG303">
        <v>160.4</v>
      </c>
      <c r="AH303">
        <f t="shared" si="30"/>
        <v>2154.1999999999998</v>
      </c>
      <c r="AI303">
        <f t="shared" si="31"/>
        <v>156.1</v>
      </c>
      <c r="AJ303">
        <f t="shared" si="32"/>
        <v>147.5</v>
      </c>
      <c r="AK303">
        <f t="shared" si="33"/>
        <v>158.1</v>
      </c>
      <c r="AL303">
        <f t="shared" si="34"/>
        <v>1581.4</v>
      </c>
    </row>
    <row r="304" spans="1:38" x14ac:dyDescent="0.3">
      <c r="A304" t="s">
        <v>33</v>
      </c>
      <c r="B304" s="28">
        <f t="shared" si="28"/>
        <v>44348</v>
      </c>
      <c r="C304">
        <v>2021</v>
      </c>
      <c r="D304" t="s">
        <v>38</v>
      </c>
      <c r="E304" t="str">
        <f t="shared" si="29"/>
        <v>Jun-21</v>
      </c>
      <c r="F304">
        <f>VLOOKUP(D304,'Problem Statement 4'!$G$2:$H$13,2,0)</f>
        <v>6</v>
      </c>
      <c r="G304">
        <v>146.69999999999999</v>
      </c>
      <c r="H304">
        <v>202</v>
      </c>
      <c r="I304">
        <v>180.7</v>
      </c>
      <c r="J304">
        <v>156.19999999999999</v>
      </c>
      <c r="K304">
        <v>183.7</v>
      </c>
      <c r="L304">
        <v>164.6</v>
      </c>
      <c r="M304">
        <v>155.4</v>
      </c>
      <c r="N304">
        <v>166</v>
      </c>
      <c r="O304">
        <v>115.1</v>
      </c>
      <c r="P304">
        <v>168.5</v>
      </c>
      <c r="Q304">
        <v>160</v>
      </c>
      <c r="R304">
        <v>172.4</v>
      </c>
      <c r="S304">
        <v>162.6</v>
      </c>
      <c r="T304">
        <v>190.8</v>
      </c>
      <c r="U304">
        <v>162.19999999999999</v>
      </c>
      <c r="V304">
        <v>151.80000000000001</v>
      </c>
      <c r="W304">
        <v>160.69999999999999</v>
      </c>
      <c r="X304">
        <v>160.5</v>
      </c>
      <c r="Y304">
        <v>159.80000000000001</v>
      </c>
      <c r="Z304">
        <v>154.80000000000001</v>
      </c>
      <c r="AA304">
        <v>166.3</v>
      </c>
      <c r="AB304">
        <v>150.69999999999999</v>
      </c>
      <c r="AC304">
        <v>154.9</v>
      </c>
      <c r="AD304">
        <v>161.69999999999999</v>
      </c>
      <c r="AE304">
        <v>158.80000000000001</v>
      </c>
      <c r="AF304">
        <v>157.6</v>
      </c>
      <c r="AG304">
        <v>161.30000000000001</v>
      </c>
      <c r="AH304">
        <f t="shared" si="30"/>
        <v>2133.9</v>
      </c>
      <c r="AI304">
        <f t="shared" si="31"/>
        <v>159.80000000000001</v>
      </c>
      <c r="AJ304">
        <f t="shared" si="32"/>
        <v>150.69999999999999</v>
      </c>
      <c r="AK304">
        <f t="shared" si="33"/>
        <v>161.69999999999999</v>
      </c>
      <c r="AL304">
        <f t="shared" si="34"/>
        <v>1618.3999999999999</v>
      </c>
    </row>
    <row r="305" spans="1:38" x14ac:dyDescent="0.3">
      <c r="A305" t="s">
        <v>30</v>
      </c>
      <c r="B305" s="28">
        <f t="shared" si="28"/>
        <v>44378</v>
      </c>
      <c r="C305">
        <v>2021</v>
      </c>
      <c r="D305" t="s">
        <v>39</v>
      </c>
      <c r="E305" t="str">
        <f t="shared" si="29"/>
        <v>Jul-21</v>
      </c>
      <c r="F305">
        <f>VLOOKUP(D305,'Problem Statement 4'!$G$2:$H$13,2,0)</f>
        <v>7</v>
      </c>
      <c r="G305">
        <v>145.1</v>
      </c>
      <c r="H305">
        <v>204.5</v>
      </c>
      <c r="I305">
        <v>180.4</v>
      </c>
      <c r="J305">
        <v>157.1</v>
      </c>
      <c r="K305">
        <v>188.7</v>
      </c>
      <c r="L305">
        <v>157.69999999999999</v>
      </c>
      <c r="M305">
        <v>152.80000000000001</v>
      </c>
      <c r="N305">
        <v>163.6</v>
      </c>
      <c r="O305">
        <v>113.9</v>
      </c>
      <c r="P305">
        <v>169.7</v>
      </c>
      <c r="Q305">
        <v>166.2</v>
      </c>
      <c r="R305">
        <v>171</v>
      </c>
      <c r="S305">
        <v>161.69999999999999</v>
      </c>
      <c r="T305">
        <v>189.7</v>
      </c>
      <c r="U305">
        <v>166</v>
      </c>
      <c r="V305">
        <v>161.1</v>
      </c>
      <c r="W305">
        <v>165.3</v>
      </c>
      <c r="X305">
        <v>161.5</v>
      </c>
      <c r="Y305">
        <v>162.5</v>
      </c>
      <c r="Z305">
        <v>160.30000000000001</v>
      </c>
      <c r="AA305">
        <v>170.4</v>
      </c>
      <c r="AB305">
        <v>157.1</v>
      </c>
      <c r="AC305">
        <v>160.69999999999999</v>
      </c>
      <c r="AD305">
        <v>167.2</v>
      </c>
      <c r="AE305">
        <v>160.4</v>
      </c>
      <c r="AF305">
        <v>162.80000000000001</v>
      </c>
      <c r="AG305">
        <v>163.19999999999999</v>
      </c>
      <c r="AH305">
        <f t="shared" si="30"/>
        <v>2132.4</v>
      </c>
      <c r="AI305">
        <f t="shared" si="31"/>
        <v>162.5</v>
      </c>
      <c r="AJ305">
        <f t="shared" si="32"/>
        <v>157.1</v>
      </c>
      <c r="AK305">
        <f t="shared" si="33"/>
        <v>167.2</v>
      </c>
      <c r="AL305">
        <f t="shared" si="34"/>
        <v>1658.2</v>
      </c>
    </row>
    <row r="306" spans="1:38" x14ac:dyDescent="0.3">
      <c r="A306" t="s">
        <v>32</v>
      </c>
      <c r="B306" s="28">
        <f t="shared" si="28"/>
        <v>44378</v>
      </c>
      <c r="C306">
        <v>2021</v>
      </c>
      <c r="D306" t="s">
        <v>39</v>
      </c>
      <c r="E306" t="str">
        <f t="shared" si="29"/>
        <v>Jul-21</v>
      </c>
      <c r="F306">
        <f>VLOOKUP(D306,'Problem Statement 4'!$G$2:$H$13,2,0)</f>
        <v>7</v>
      </c>
      <c r="G306">
        <v>149.1</v>
      </c>
      <c r="H306">
        <v>210.9</v>
      </c>
      <c r="I306">
        <v>185</v>
      </c>
      <c r="J306">
        <v>158.19999999999999</v>
      </c>
      <c r="K306">
        <v>170.6</v>
      </c>
      <c r="L306">
        <v>170.9</v>
      </c>
      <c r="M306">
        <v>186.4</v>
      </c>
      <c r="N306">
        <v>164.7</v>
      </c>
      <c r="O306">
        <v>115.7</v>
      </c>
      <c r="P306">
        <v>165.5</v>
      </c>
      <c r="Q306">
        <v>153.4</v>
      </c>
      <c r="R306">
        <v>173.5</v>
      </c>
      <c r="S306">
        <v>167.9</v>
      </c>
      <c r="T306">
        <v>195.5</v>
      </c>
      <c r="U306">
        <v>157.9</v>
      </c>
      <c r="V306">
        <v>141.9</v>
      </c>
      <c r="W306">
        <v>155.5</v>
      </c>
      <c r="X306">
        <v>161.5</v>
      </c>
      <c r="Y306">
        <v>157.69999999999999</v>
      </c>
      <c r="Z306">
        <v>150.69999999999999</v>
      </c>
      <c r="AA306">
        <v>161.5</v>
      </c>
      <c r="AB306">
        <v>149.5</v>
      </c>
      <c r="AC306">
        <v>151.19999999999999</v>
      </c>
      <c r="AD306">
        <v>160.30000000000001</v>
      </c>
      <c r="AE306">
        <v>159.6</v>
      </c>
      <c r="AF306">
        <v>155</v>
      </c>
      <c r="AG306">
        <v>161.80000000000001</v>
      </c>
      <c r="AH306">
        <f t="shared" si="30"/>
        <v>2171.8000000000002</v>
      </c>
      <c r="AI306">
        <f t="shared" si="31"/>
        <v>157.69999999999999</v>
      </c>
      <c r="AJ306">
        <f t="shared" si="32"/>
        <v>149.5</v>
      </c>
      <c r="AK306">
        <f t="shared" si="33"/>
        <v>160.30000000000001</v>
      </c>
      <c r="AL306">
        <f t="shared" si="34"/>
        <v>1590.3</v>
      </c>
    </row>
    <row r="307" spans="1:38" x14ac:dyDescent="0.3">
      <c r="A307" t="s">
        <v>33</v>
      </c>
      <c r="B307" s="28">
        <f t="shared" si="28"/>
        <v>44378</v>
      </c>
      <c r="C307">
        <v>2021</v>
      </c>
      <c r="D307" t="s">
        <v>39</v>
      </c>
      <c r="E307" t="str">
        <f t="shared" si="29"/>
        <v>Jul-21</v>
      </c>
      <c r="F307">
        <f>VLOOKUP(D307,'Problem Statement 4'!$G$2:$H$13,2,0)</f>
        <v>7</v>
      </c>
      <c r="G307">
        <v>146.4</v>
      </c>
      <c r="H307">
        <v>206.8</v>
      </c>
      <c r="I307">
        <v>182.2</v>
      </c>
      <c r="J307">
        <v>157.5</v>
      </c>
      <c r="K307">
        <v>182.1</v>
      </c>
      <c r="L307">
        <v>163.9</v>
      </c>
      <c r="M307">
        <v>164.2</v>
      </c>
      <c r="N307">
        <v>164</v>
      </c>
      <c r="O307">
        <v>114.5</v>
      </c>
      <c r="P307">
        <v>168.3</v>
      </c>
      <c r="Q307">
        <v>160.9</v>
      </c>
      <c r="R307">
        <v>172.2</v>
      </c>
      <c r="S307">
        <v>164</v>
      </c>
      <c r="T307">
        <v>191.2</v>
      </c>
      <c r="U307">
        <v>162.80000000000001</v>
      </c>
      <c r="V307">
        <v>153.1</v>
      </c>
      <c r="W307">
        <v>161.4</v>
      </c>
      <c r="X307">
        <v>161.5</v>
      </c>
      <c r="Y307">
        <v>160.69999999999999</v>
      </c>
      <c r="Z307">
        <v>155.80000000000001</v>
      </c>
      <c r="AA307">
        <v>167</v>
      </c>
      <c r="AB307">
        <v>153.1</v>
      </c>
      <c r="AC307">
        <v>155.30000000000001</v>
      </c>
      <c r="AD307">
        <v>163.19999999999999</v>
      </c>
      <c r="AE307">
        <v>160.1</v>
      </c>
      <c r="AF307">
        <v>159</v>
      </c>
      <c r="AG307">
        <v>162.5</v>
      </c>
      <c r="AH307">
        <f t="shared" si="30"/>
        <v>2147</v>
      </c>
      <c r="AI307">
        <f t="shared" si="31"/>
        <v>160.69999999999999</v>
      </c>
      <c r="AJ307">
        <f t="shared" si="32"/>
        <v>153.1</v>
      </c>
      <c r="AK307">
        <f t="shared" si="33"/>
        <v>163.19999999999999</v>
      </c>
      <c r="AL307">
        <f t="shared" si="34"/>
        <v>1627.1999999999998</v>
      </c>
    </row>
    <row r="308" spans="1:38" x14ac:dyDescent="0.3">
      <c r="A308" t="s">
        <v>30</v>
      </c>
      <c r="B308" s="28">
        <f t="shared" si="28"/>
        <v>44409</v>
      </c>
      <c r="C308">
        <v>2021</v>
      </c>
      <c r="D308" t="s">
        <v>40</v>
      </c>
      <c r="E308" t="str">
        <f t="shared" si="29"/>
        <v>Aug-21</v>
      </c>
      <c r="F308">
        <f>VLOOKUP(D308,'Problem Statement 4'!$G$2:$H$13,2,0)</f>
        <v>8</v>
      </c>
      <c r="G308">
        <v>144.9</v>
      </c>
      <c r="H308">
        <v>202.3</v>
      </c>
      <c r="I308">
        <v>176.5</v>
      </c>
      <c r="J308">
        <v>157.5</v>
      </c>
      <c r="K308">
        <v>190.9</v>
      </c>
      <c r="L308">
        <v>155.69999999999999</v>
      </c>
      <c r="M308">
        <v>153.9</v>
      </c>
      <c r="N308">
        <v>162.80000000000001</v>
      </c>
      <c r="O308">
        <v>115.2</v>
      </c>
      <c r="P308">
        <v>169.8</v>
      </c>
      <c r="Q308">
        <v>167.6</v>
      </c>
      <c r="R308">
        <v>171.9</v>
      </c>
      <c r="S308">
        <v>161.80000000000001</v>
      </c>
      <c r="T308">
        <v>190.2</v>
      </c>
      <c r="U308">
        <v>167</v>
      </c>
      <c r="V308">
        <v>162.6</v>
      </c>
      <c r="W308">
        <v>166.3</v>
      </c>
      <c r="X308">
        <v>162.1</v>
      </c>
      <c r="Y308">
        <v>163.1</v>
      </c>
      <c r="Z308">
        <v>160.9</v>
      </c>
      <c r="AA308">
        <v>171.1</v>
      </c>
      <c r="AB308">
        <v>157.69999999999999</v>
      </c>
      <c r="AC308">
        <v>161.1</v>
      </c>
      <c r="AD308">
        <v>167.5</v>
      </c>
      <c r="AE308">
        <v>160.30000000000001</v>
      </c>
      <c r="AF308">
        <v>163.30000000000001</v>
      </c>
      <c r="AG308">
        <v>163.6</v>
      </c>
      <c r="AH308">
        <f t="shared" si="30"/>
        <v>2130.8000000000002</v>
      </c>
      <c r="AI308">
        <f t="shared" si="31"/>
        <v>163.1</v>
      </c>
      <c r="AJ308">
        <f t="shared" si="32"/>
        <v>157.69999999999999</v>
      </c>
      <c r="AK308">
        <f t="shared" si="33"/>
        <v>167.5</v>
      </c>
      <c r="AL308">
        <f t="shared" si="34"/>
        <v>1664.8999999999996</v>
      </c>
    </row>
    <row r="309" spans="1:38" x14ac:dyDescent="0.3">
      <c r="A309" t="s">
        <v>32</v>
      </c>
      <c r="B309" s="28">
        <f t="shared" si="28"/>
        <v>44409</v>
      </c>
      <c r="C309">
        <v>2021</v>
      </c>
      <c r="D309" t="s">
        <v>40</v>
      </c>
      <c r="E309" t="str">
        <f t="shared" si="29"/>
        <v>Aug-21</v>
      </c>
      <c r="F309">
        <f>VLOOKUP(D309,'Problem Statement 4'!$G$2:$H$13,2,0)</f>
        <v>8</v>
      </c>
      <c r="G309">
        <v>149.30000000000001</v>
      </c>
      <c r="H309">
        <v>207.4</v>
      </c>
      <c r="I309">
        <v>174.1</v>
      </c>
      <c r="J309">
        <v>159.19999999999999</v>
      </c>
      <c r="K309">
        <v>175</v>
      </c>
      <c r="L309">
        <v>161.30000000000001</v>
      </c>
      <c r="M309">
        <v>183.3</v>
      </c>
      <c r="N309">
        <v>164.5</v>
      </c>
      <c r="O309">
        <v>120.4</v>
      </c>
      <c r="P309">
        <v>166.2</v>
      </c>
      <c r="Q309">
        <v>154.80000000000001</v>
      </c>
      <c r="R309">
        <v>175.1</v>
      </c>
      <c r="S309">
        <v>167.3</v>
      </c>
      <c r="T309">
        <v>196.5</v>
      </c>
      <c r="U309">
        <v>159.80000000000001</v>
      </c>
      <c r="V309">
        <v>143.6</v>
      </c>
      <c r="W309">
        <v>157.30000000000001</v>
      </c>
      <c r="X309">
        <v>162.1</v>
      </c>
      <c r="Y309">
        <v>160.69999999999999</v>
      </c>
      <c r="Z309">
        <v>153.19999999999999</v>
      </c>
      <c r="AA309">
        <v>162.80000000000001</v>
      </c>
      <c r="AB309">
        <v>150.4</v>
      </c>
      <c r="AC309">
        <v>153.69999999999999</v>
      </c>
      <c r="AD309">
        <v>160.4</v>
      </c>
      <c r="AE309">
        <v>159.6</v>
      </c>
      <c r="AF309">
        <v>156</v>
      </c>
      <c r="AG309">
        <v>162.30000000000001</v>
      </c>
      <c r="AH309">
        <f t="shared" si="30"/>
        <v>2157.9</v>
      </c>
      <c r="AI309">
        <f t="shared" si="31"/>
        <v>160.69999999999999</v>
      </c>
      <c r="AJ309">
        <f t="shared" si="32"/>
        <v>150.4</v>
      </c>
      <c r="AK309">
        <f t="shared" si="33"/>
        <v>160.4</v>
      </c>
      <c r="AL309">
        <f t="shared" si="34"/>
        <v>1604.6</v>
      </c>
    </row>
    <row r="310" spans="1:38" x14ac:dyDescent="0.3">
      <c r="A310" t="s">
        <v>33</v>
      </c>
      <c r="B310" s="28">
        <f t="shared" si="28"/>
        <v>44409</v>
      </c>
      <c r="C310">
        <v>2021</v>
      </c>
      <c r="D310" t="s">
        <v>40</v>
      </c>
      <c r="E310" t="str">
        <f t="shared" si="29"/>
        <v>Aug-21</v>
      </c>
      <c r="F310">
        <f>VLOOKUP(D310,'Problem Statement 4'!$G$2:$H$13,2,0)</f>
        <v>8</v>
      </c>
      <c r="G310">
        <v>146.6</v>
      </c>
      <c r="H310">
        <v>204</v>
      </c>
      <c r="I310">
        <v>172.8</v>
      </c>
      <c r="J310">
        <v>158.4</v>
      </c>
      <c r="K310">
        <v>188</v>
      </c>
      <c r="L310">
        <v>156.80000000000001</v>
      </c>
      <c r="M310">
        <v>162.19999999999999</v>
      </c>
      <c r="N310">
        <v>164.1</v>
      </c>
      <c r="O310">
        <v>119.7</v>
      </c>
      <c r="P310">
        <v>168.8</v>
      </c>
      <c r="Q310">
        <v>162.69999999999999</v>
      </c>
      <c r="R310">
        <v>173.9</v>
      </c>
      <c r="S310">
        <v>164</v>
      </c>
      <c r="T310">
        <v>192.1</v>
      </c>
      <c r="U310">
        <v>164.5</v>
      </c>
      <c r="V310">
        <v>155.30000000000001</v>
      </c>
      <c r="W310">
        <v>163.19999999999999</v>
      </c>
      <c r="X310">
        <v>162.1</v>
      </c>
      <c r="Y310">
        <v>162.6</v>
      </c>
      <c r="Z310">
        <v>157.5</v>
      </c>
      <c r="AA310">
        <v>168.4</v>
      </c>
      <c r="AB310">
        <v>154</v>
      </c>
      <c r="AC310">
        <v>157.6</v>
      </c>
      <c r="AD310">
        <v>163.80000000000001</v>
      </c>
      <c r="AE310">
        <v>160</v>
      </c>
      <c r="AF310">
        <v>160</v>
      </c>
      <c r="AG310">
        <v>163.19999999999999</v>
      </c>
      <c r="AH310">
        <f t="shared" si="30"/>
        <v>2142</v>
      </c>
      <c r="AI310">
        <f t="shared" si="31"/>
        <v>162.6</v>
      </c>
      <c r="AJ310">
        <f t="shared" si="32"/>
        <v>154</v>
      </c>
      <c r="AK310">
        <f t="shared" si="33"/>
        <v>163.80000000000001</v>
      </c>
      <c r="AL310">
        <f t="shared" si="34"/>
        <v>1640.7</v>
      </c>
    </row>
    <row r="311" spans="1:38" x14ac:dyDescent="0.3">
      <c r="A311" t="s">
        <v>30</v>
      </c>
      <c r="B311" s="28">
        <f t="shared" si="28"/>
        <v>44440</v>
      </c>
      <c r="C311">
        <v>2021</v>
      </c>
      <c r="D311" t="s">
        <v>41</v>
      </c>
      <c r="E311" t="str">
        <f t="shared" si="29"/>
        <v>Sep-21</v>
      </c>
      <c r="F311">
        <f>VLOOKUP(D311,'Problem Statement 4'!$G$2:$H$13,2,0)</f>
        <v>9</v>
      </c>
      <c r="G311">
        <v>145.4</v>
      </c>
      <c r="H311">
        <v>202.1</v>
      </c>
      <c r="I311">
        <v>172</v>
      </c>
      <c r="J311">
        <v>158</v>
      </c>
      <c r="K311">
        <v>195.5</v>
      </c>
      <c r="L311">
        <v>152.69999999999999</v>
      </c>
      <c r="M311">
        <v>151.4</v>
      </c>
      <c r="N311">
        <v>163.9</v>
      </c>
      <c r="O311">
        <v>119.3</v>
      </c>
      <c r="P311">
        <v>170.1</v>
      </c>
      <c r="Q311">
        <v>168.3</v>
      </c>
      <c r="R311">
        <v>172.8</v>
      </c>
      <c r="S311">
        <v>162.1</v>
      </c>
      <c r="T311">
        <v>190.5</v>
      </c>
      <c r="U311">
        <v>167.7</v>
      </c>
      <c r="V311">
        <v>163.6</v>
      </c>
      <c r="W311">
        <v>167.1</v>
      </c>
      <c r="X311">
        <v>162.1</v>
      </c>
      <c r="Y311">
        <v>163.69999999999999</v>
      </c>
      <c r="Z311">
        <v>161.30000000000001</v>
      </c>
      <c r="AA311">
        <v>171.9</v>
      </c>
      <c r="AB311">
        <v>157.80000000000001</v>
      </c>
      <c r="AC311">
        <v>162.69999999999999</v>
      </c>
      <c r="AD311">
        <v>168.5</v>
      </c>
      <c r="AE311">
        <v>160.19999999999999</v>
      </c>
      <c r="AF311">
        <v>163.80000000000001</v>
      </c>
      <c r="AG311">
        <v>164</v>
      </c>
      <c r="AH311">
        <f t="shared" si="30"/>
        <v>2133.6</v>
      </c>
      <c r="AI311">
        <f t="shared" si="31"/>
        <v>163.69999999999999</v>
      </c>
      <c r="AJ311">
        <f t="shared" si="32"/>
        <v>157.80000000000001</v>
      </c>
      <c r="AK311">
        <f t="shared" si="33"/>
        <v>168.5</v>
      </c>
      <c r="AL311">
        <f t="shared" si="34"/>
        <v>1670.9</v>
      </c>
    </row>
    <row r="312" spans="1:38" x14ac:dyDescent="0.3">
      <c r="A312" t="s">
        <v>32</v>
      </c>
      <c r="B312" s="28">
        <f t="shared" si="28"/>
        <v>44440</v>
      </c>
      <c r="C312">
        <v>2021</v>
      </c>
      <c r="D312" t="s">
        <v>41</v>
      </c>
      <c r="E312" t="str">
        <f t="shared" si="29"/>
        <v>Sep-21</v>
      </c>
      <c r="F312">
        <f>VLOOKUP(D312,'Problem Statement 4'!$G$2:$H$13,2,0)</f>
        <v>9</v>
      </c>
      <c r="G312">
        <v>149.30000000000001</v>
      </c>
      <c r="H312">
        <v>207.4</v>
      </c>
      <c r="I312">
        <v>174.1</v>
      </c>
      <c r="J312">
        <v>159.1</v>
      </c>
      <c r="K312">
        <v>175</v>
      </c>
      <c r="L312">
        <v>161.19999999999999</v>
      </c>
      <c r="M312">
        <v>183.5</v>
      </c>
      <c r="N312">
        <v>164.5</v>
      </c>
      <c r="O312">
        <v>120.4</v>
      </c>
      <c r="P312">
        <v>166.2</v>
      </c>
      <c r="Q312">
        <v>154.80000000000001</v>
      </c>
      <c r="R312">
        <v>175.1</v>
      </c>
      <c r="S312">
        <v>167.3</v>
      </c>
      <c r="T312">
        <v>196.5</v>
      </c>
      <c r="U312">
        <v>159.80000000000001</v>
      </c>
      <c r="V312">
        <v>143.6</v>
      </c>
      <c r="W312">
        <v>157.4</v>
      </c>
      <c r="X312">
        <v>162.1</v>
      </c>
      <c r="Y312">
        <v>160.80000000000001</v>
      </c>
      <c r="Z312">
        <v>153.30000000000001</v>
      </c>
      <c r="AA312">
        <v>162.80000000000001</v>
      </c>
      <c r="AB312">
        <v>150.5</v>
      </c>
      <c r="AC312">
        <v>153.9</v>
      </c>
      <c r="AD312">
        <v>160.30000000000001</v>
      </c>
      <c r="AE312">
        <v>159.6</v>
      </c>
      <c r="AF312">
        <v>156</v>
      </c>
      <c r="AG312">
        <v>162.30000000000001</v>
      </c>
      <c r="AH312">
        <f t="shared" si="30"/>
        <v>2157.9</v>
      </c>
      <c r="AI312">
        <f t="shared" si="31"/>
        <v>160.80000000000001</v>
      </c>
      <c r="AJ312">
        <f t="shared" si="32"/>
        <v>150.5</v>
      </c>
      <c r="AK312">
        <f t="shared" si="33"/>
        <v>160.30000000000001</v>
      </c>
      <c r="AL312">
        <f t="shared" si="34"/>
        <v>1605</v>
      </c>
    </row>
    <row r="313" spans="1:38" x14ac:dyDescent="0.3">
      <c r="A313" t="s">
        <v>33</v>
      </c>
      <c r="B313" s="28">
        <f t="shared" si="28"/>
        <v>44440</v>
      </c>
      <c r="C313">
        <v>2021</v>
      </c>
      <c r="D313" t="s">
        <v>41</v>
      </c>
      <c r="E313" t="str">
        <f t="shared" si="29"/>
        <v>Sep-21</v>
      </c>
      <c r="F313">
        <f>VLOOKUP(D313,'Problem Statement 4'!$G$2:$H$13,2,0)</f>
        <v>9</v>
      </c>
      <c r="G313">
        <v>146.6</v>
      </c>
      <c r="H313">
        <v>204</v>
      </c>
      <c r="I313">
        <v>172.8</v>
      </c>
      <c r="J313">
        <v>158.4</v>
      </c>
      <c r="K313">
        <v>188</v>
      </c>
      <c r="L313">
        <v>156.69999999999999</v>
      </c>
      <c r="M313">
        <v>162.30000000000001</v>
      </c>
      <c r="N313">
        <v>164.1</v>
      </c>
      <c r="O313">
        <v>119.7</v>
      </c>
      <c r="P313">
        <v>168.8</v>
      </c>
      <c r="Q313">
        <v>162.69999999999999</v>
      </c>
      <c r="R313">
        <v>173.9</v>
      </c>
      <c r="S313">
        <v>164</v>
      </c>
      <c r="T313">
        <v>192.1</v>
      </c>
      <c r="U313">
        <v>164.6</v>
      </c>
      <c r="V313">
        <v>155.30000000000001</v>
      </c>
      <c r="W313">
        <v>163.30000000000001</v>
      </c>
      <c r="X313">
        <v>162.1</v>
      </c>
      <c r="Y313">
        <v>162.6</v>
      </c>
      <c r="Z313">
        <v>157.5</v>
      </c>
      <c r="AA313">
        <v>168.4</v>
      </c>
      <c r="AB313">
        <v>154</v>
      </c>
      <c r="AC313">
        <v>157.69999999999999</v>
      </c>
      <c r="AD313">
        <v>163.69999999999999</v>
      </c>
      <c r="AE313">
        <v>160</v>
      </c>
      <c r="AF313">
        <v>160</v>
      </c>
      <c r="AG313">
        <v>163.19999999999999</v>
      </c>
      <c r="AH313">
        <f t="shared" si="30"/>
        <v>2142</v>
      </c>
      <c r="AI313">
        <f t="shared" si="31"/>
        <v>162.6</v>
      </c>
      <c r="AJ313">
        <f t="shared" si="32"/>
        <v>154</v>
      </c>
      <c r="AK313">
        <f t="shared" si="33"/>
        <v>163.69999999999999</v>
      </c>
      <c r="AL313">
        <f t="shared" si="34"/>
        <v>1641</v>
      </c>
    </row>
    <row r="314" spans="1:38" x14ac:dyDescent="0.3">
      <c r="A314" t="s">
        <v>30</v>
      </c>
      <c r="B314" s="28">
        <f t="shared" si="28"/>
        <v>44470</v>
      </c>
      <c r="C314">
        <v>2021</v>
      </c>
      <c r="D314" t="s">
        <v>42</v>
      </c>
      <c r="E314" t="str">
        <f t="shared" si="29"/>
        <v>Oct-21</v>
      </c>
      <c r="F314">
        <f>VLOOKUP(D314,'Problem Statement 4'!$G$2:$H$13,2,0)</f>
        <v>10</v>
      </c>
      <c r="G314">
        <v>146.1</v>
      </c>
      <c r="H314">
        <v>202.5</v>
      </c>
      <c r="I314">
        <v>170.1</v>
      </c>
      <c r="J314">
        <v>158.4</v>
      </c>
      <c r="K314">
        <v>198.8</v>
      </c>
      <c r="L314">
        <v>152.6</v>
      </c>
      <c r="M314">
        <v>170.4</v>
      </c>
      <c r="N314">
        <v>165.2</v>
      </c>
      <c r="O314">
        <v>121.6</v>
      </c>
      <c r="P314">
        <v>170.6</v>
      </c>
      <c r="Q314">
        <v>168.8</v>
      </c>
      <c r="R314">
        <v>173.6</v>
      </c>
      <c r="S314">
        <v>165.5</v>
      </c>
      <c r="T314">
        <v>191.2</v>
      </c>
      <c r="U314">
        <v>168.9</v>
      </c>
      <c r="V314">
        <v>164.8</v>
      </c>
      <c r="W314">
        <v>168.3</v>
      </c>
      <c r="X314">
        <v>163.6</v>
      </c>
      <c r="Y314">
        <v>165.5</v>
      </c>
      <c r="Z314">
        <v>162</v>
      </c>
      <c r="AA314">
        <v>172.5</v>
      </c>
      <c r="AB314">
        <v>159.5</v>
      </c>
      <c r="AC314">
        <v>163.19999999999999</v>
      </c>
      <c r="AD314">
        <v>169</v>
      </c>
      <c r="AE314">
        <v>161.1</v>
      </c>
      <c r="AF314">
        <v>164.7</v>
      </c>
      <c r="AG314">
        <v>166.3</v>
      </c>
      <c r="AH314">
        <f t="shared" si="30"/>
        <v>2164.1999999999998</v>
      </c>
      <c r="AI314">
        <f t="shared" si="31"/>
        <v>165.5</v>
      </c>
      <c r="AJ314">
        <f t="shared" si="32"/>
        <v>159.5</v>
      </c>
      <c r="AK314">
        <f t="shared" si="33"/>
        <v>169</v>
      </c>
      <c r="AL314">
        <f t="shared" si="34"/>
        <v>1680.3000000000002</v>
      </c>
    </row>
    <row r="315" spans="1:38" x14ac:dyDescent="0.3">
      <c r="A315" t="s">
        <v>32</v>
      </c>
      <c r="B315" s="28">
        <f t="shared" si="28"/>
        <v>44470</v>
      </c>
      <c r="C315">
        <v>2021</v>
      </c>
      <c r="D315" t="s">
        <v>42</v>
      </c>
      <c r="E315" t="str">
        <f t="shared" si="29"/>
        <v>Oct-21</v>
      </c>
      <c r="F315">
        <f>VLOOKUP(D315,'Problem Statement 4'!$G$2:$H$13,2,0)</f>
        <v>10</v>
      </c>
      <c r="G315">
        <v>150.1</v>
      </c>
      <c r="H315">
        <v>208.4</v>
      </c>
      <c r="I315">
        <v>173</v>
      </c>
      <c r="J315">
        <v>159.19999999999999</v>
      </c>
      <c r="K315">
        <v>176.6</v>
      </c>
      <c r="L315">
        <v>159.30000000000001</v>
      </c>
      <c r="M315">
        <v>214.4</v>
      </c>
      <c r="N315">
        <v>165.3</v>
      </c>
      <c r="O315">
        <v>122.5</v>
      </c>
      <c r="P315">
        <v>166.8</v>
      </c>
      <c r="Q315">
        <v>155.4</v>
      </c>
      <c r="R315">
        <v>175.9</v>
      </c>
      <c r="S315">
        <v>171.5</v>
      </c>
      <c r="T315">
        <v>197</v>
      </c>
      <c r="U315">
        <v>160.80000000000001</v>
      </c>
      <c r="V315">
        <v>144.4</v>
      </c>
      <c r="W315">
        <v>158.30000000000001</v>
      </c>
      <c r="X315">
        <v>163.6</v>
      </c>
      <c r="Y315">
        <v>162.19999999999999</v>
      </c>
      <c r="Z315">
        <v>154.30000000000001</v>
      </c>
      <c r="AA315">
        <v>163.5</v>
      </c>
      <c r="AB315">
        <v>152.19999999999999</v>
      </c>
      <c r="AC315">
        <v>155.1</v>
      </c>
      <c r="AD315">
        <v>160.30000000000001</v>
      </c>
      <c r="AE315">
        <v>160.30000000000001</v>
      </c>
      <c r="AF315">
        <v>157</v>
      </c>
      <c r="AG315">
        <v>164.6</v>
      </c>
      <c r="AH315">
        <f t="shared" si="30"/>
        <v>2198.4000000000005</v>
      </c>
      <c r="AI315">
        <f t="shared" si="31"/>
        <v>162.19999999999999</v>
      </c>
      <c r="AJ315">
        <f t="shared" si="32"/>
        <v>152.19999999999999</v>
      </c>
      <c r="AK315">
        <f t="shared" si="33"/>
        <v>160.30000000000001</v>
      </c>
      <c r="AL315">
        <f t="shared" si="34"/>
        <v>1614.3</v>
      </c>
    </row>
    <row r="316" spans="1:38" x14ac:dyDescent="0.3">
      <c r="A316" t="s">
        <v>33</v>
      </c>
      <c r="B316" s="28">
        <f t="shared" si="28"/>
        <v>44470</v>
      </c>
      <c r="C316">
        <v>2021</v>
      </c>
      <c r="D316" t="s">
        <v>42</v>
      </c>
      <c r="E316" t="str">
        <f t="shared" si="29"/>
        <v>Oct-21</v>
      </c>
      <c r="F316">
        <f>VLOOKUP(D316,'Problem Statement 4'!$G$2:$H$13,2,0)</f>
        <v>10</v>
      </c>
      <c r="G316">
        <v>147.4</v>
      </c>
      <c r="H316">
        <v>204.6</v>
      </c>
      <c r="I316">
        <v>171.2</v>
      </c>
      <c r="J316">
        <v>158.69999999999999</v>
      </c>
      <c r="K316">
        <v>190.6</v>
      </c>
      <c r="L316">
        <v>155.69999999999999</v>
      </c>
      <c r="M316">
        <v>185.3</v>
      </c>
      <c r="N316">
        <v>165.2</v>
      </c>
      <c r="O316">
        <v>121.9</v>
      </c>
      <c r="P316">
        <v>169.3</v>
      </c>
      <c r="Q316">
        <v>163.19999999999999</v>
      </c>
      <c r="R316">
        <v>174.7</v>
      </c>
      <c r="S316">
        <v>167.7</v>
      </c>
      <c r="T316">
        <v>192.7</v>
      </c>
      <c r="U316">
        <v>165.7</v>
      </c>
      <c r="V316">
        <v>156.30000000000001</v>
      </c>
      <c r="W316">
        <v>164.3</v>
      </c>
      <c r="X316">
        <v>163.6</v>
      </c>
      <c r="Y316">
        <v>164.2</v>
      </c>
      <c r="Z316">
        <v>158.4</v>
      </c>
      <c r="AA316">
        <v>169.1</v>
      </c>
      <c r="AB316">
        <v>155.69999999999999</v>
      </c>
      <c r="AC316">
        <v>158.6</v>
      </c>
      <c r="AD316">
        <v>163.9</v>
      </c>
      <c r="AE316">
        <v>160.80000000000001</v>
      </c>
      <c r="AF316">
        <v>161</v>
      </c>
      <c r="AG316">
        <v>165.5</v>
      </c>
      <c r="AH316">
        <f t="shared" si="30"/>
        <v>2175.5</v>
      </c>
      <c r="AI316">
        <f t="shared" si="31"/>
        <v>164.2</v>
      </c>
      <c r="AJ316">
        <f t="shared" si="32"/>
        <v>155.69999999999999</v>
      </c>
      <c r="AK316">
        <f t="shared" si="33"/>
        <v>163.9</v>
      </c>
      <c r="AL316">
        <f t="shared" si="34"/>
        <v>1650.4999999999998</v>
      </c>
    </row>
    <row r="317" spans="1:38" x14ac:dyDescent="0.3">
      <c r="A317" t="s">
        <v>30</v>
      </c>
      <c r="B317" s="28">
        <f t="shared" si="28"/>
        <v>44501</v>
      </c>
      <c r="C317">
        <v>2021</v>
      </c>
      <c r="D317" t="s">
        <v>44</v>
      </c>
      <c r="E317" t="str">
        <f t="shared" si="29"/>
        <v>Nov-21</v>
      </c>
      <c r="F317">
        <f>VLOOKUP(D317,'Problem Statement 4'!$G$2:$H$13,2,0)</f>
        <v>11</v>
      </c>
      <c r="G317">
        <v>146.9</v>
      </c>
      <c r="H317">
        <v>199.8</v>
      </c>
      <c r="I317">
        <v>171.5</v>
      </c>
      <c r="J317">
        <v>159.1</v>
      </c>
      <c r="K317">
        <v>198.4</v>
      </c>
      <c r="L317">
        <v>153.19999999999999</v>
      </c>
      <c r="M317">
        <v>183.9</v>
      </c>
      <c r="N317">
        <v>165.4</v>
      </c>
      <c r="O317">
        <v>122.1</v>
      </c>
      <c r="P317">
        <v>170.8</v>
      </c>
      <c r="Q317">
        <v>169.1</v>
      </c>
      <c r="R317">
        <v>174.3</v>
      </c>
      <c r="S317">
        <v>167.5</v>
      </c>
      <c r="T317">
        <v>191.4</v>
      </c>
      <c r="U317">
        <v>170.4</v>
      </c>
      <c r="V317">
        <v>166</v>
      </c>
      <c r="W317">
        <v>169.8</v>
      </c>
      <c r="X317">
        <v>164.2</v>
      </c>
      <c r="Y317">
        <v>165.3</v>
      </c>
      <c r="Z317">
        <v>162.9</v>
      </c>
      <c r="AA317">
        <v>173.4</v>
      </c>
      <c r="AB317">
        <v>158.9</v>
      </c>
      <c r="AC317">
        <v>163.80000000000001</v>
      </c>
      <c r="AD317">
        <v>169.3</v>
      </c>
      <c r="AE317">
        <v>162.4</v>
      </c>
      <c r="AF317">
        <v>165.2</v>
      </c>
      <c r="AG317">
        <v>167.6</v>
      </c>
      <c r="AH317">
        <f t="shared" si="30"/>
        <v>2182</v>
      </c>
      <c r="AI317">
        <f t="shared" si="31"/>
        <v>165.3</v>
      </c>
      <c r="AJ317">
        <f t="shared" si="32"/>
        <v>158.9</v>
      </c>
      <c r="AK317">
        <f t="shared" si="33"/>
        <v>169.3</v>
      </c>
      <c r="AL317">
        <f t="shared" si="34"/>
        <v>1689.5000000000002</v>
      </c>
    </row>
    <row r="318" spans="1:38" x14ac:dyDescent="0.3">
      <c r="A318" t="s">
        <v>32</v>
      </c>
      <c r="B318" s="28">
        <f t="shared" si="28"/>
        <v>44501</v>
      </c>
      <c r="C318">
        <v>2021</v>
      </c>
      <c r="D318" t="s">
        <v>44</v>
      </c>
      <c r="E318" t="str">
        <f t="shared" si="29"/>
        <v>Nov-21</v>
      </c>
      <c r="F318">
        <f>VLOOKUP(D318,'Problem Statement 4'!$G$2:$H$13,2,0)</f>
        <v>11</v>
      </c>
      <c r="G318">
        <v>151</v>
      </c>
      <c r="H318">
        <v>204.9</v>
      </c>
      <c r="I318">
        <v>175.4</v>
      </c>
      <c r="J318">
        <v>159.6</v>
      </c>
      <c r="K318">
        <v>175.8</v>
      </c>
      <c r="L318">
        <v>160.30000000000001</v>
      </c>
      <c r="M318">
        <v>229.1</v>
      </c>
      <c r="N318">
        <v>165.1</v>
      </c>
      <c r="O318">
        <v>123.1</v>
      </c>
      <c r="P318">
        <v>167.2</v>
      </c>
      <c r="Q318">
        <v>156.1</v>
      </c>
      <c r="R318">
        <v>176.8</v>
      </c>
      <c r="S318">
        <v>173.5</v>
      </c>
      <c r="T318">
        <v>197</v>
      </c>
      <c r="U318">
        <v>162.30000000000001</v>
      </c>
      <c r="V318">
        <v>145.30000000000001</v>
      </c>
      <c r="W318">
        <v>159.69999999999999</v>
      </c>
      <c r="X318">
        <v>164.2</v>
      </c>
      <c r="Y318">
        <v>161.6</v>
      </c>
      <c r="Z318">
        <v>155.19999999999999</v>
      </c>
      <c r="AA318">
        <v>164.2</v>
      </c>
      <c r="AB318">
        <v>151.19999999999999</v>
      </c>
      <c r="AC318">
        <v>156.69999999999999</v>
      </c>
      <c r="AD318">
        <v>160.80000000000001</v>
      </c>
      <c r="AE318">
        <v>161.80000000000001</v>
      </c>
      <c r="AF318">
        <v>157.30000000000001</v>
      </c>
      <c r="AG318">
        <v>165.6</v>
      </c>
      <c r="AH318">
        <f t="shared" si="30"/>
        <v>2217.8999999999996</v>
      </c>
      <c r="AI318">
        <f t="shared" si="31"/>
        <v>161.6</v>
      </c>
      <c r="AJ318">
        <f t="shared" si="32"/>
        <v>151.19999999999999</v>
      </c>
      <c r="AK318">
        <f t="shared" si="33"/>
        <v>160.80000000000001</v>
      </c>
      <c r="AL318">
        <f t="shared" si="34"/>
        <v>1623.7</v>
      </c>
    </row>
    <row r="319" spans="1:38" x14ac:dyDescent="0.3">
      <c r="A319" t="s">
        <v>33</v>
      </c>
      <c r="B319" s="28">
        <f t="shared" si="28"/>
        <v>44501</v>
      </c>
      <c r="C319">
        <v>2021</v>
      </c>
      <c r="D319" t="s">
        <v>44</v>
      </c>
      <c r="E319" t="str">
        <f t="shared" si="29"/>
        <v>Nov-21</v>
      </c>
      <c r="F319">
        <f>VLOOKUP(D319,'Problem Statement 4'!$G$2:$H$13,2,0)</f>
        <v>11</v>
      </c>
      <c r="G319">
        <v>148.19999999999999</v>
      </c>
      <c r="H319">
        <v>201.6</v>
      </c>
      <c r="I319">
        <v>173</v>
      </c>
      <c r="J319">
        <v>159.30000000000001</v>
      </c>
      <c r="K319">
        <v>190.1</v>
      </c>
      <c r="L319">
        <v>156.5</v>
      </c>
      <c r="M319">
        <v>199.2</v>
      </c>
      <c r="N319">
        <v>165.3</v>
      </c>
      <c r="O319">
        <v>122.4</v>
      </c>
      <c r="P319">
        <v>169.6</v>
      </c>
      <c r="Q319">
        <v>163.69999999999999</v>
      </c>
      <c r="R319">
        <v>175.5</v>
      </c>
      <c r="S319">
        <v>169.7</v>
      </c>
      <c r="T319">
        <v>192.9</v>
      </c>
      <c r="U319">
        <v>167.2</v>
      </c>
      <c r="V319">
        <v>157.4</v>
      </c>
      <c r="W319">
        <v>165.8</v>
      </c>
      <c r="X319">
        <v>164.2</v>
      </c>
      <c r="Y319">
        <v>163.9</v>
      </c>
      <c r="Z319">
        <v>159.30000000000001</v>
      </c>
      <c r="AA319">
        <v>169.9</v>
      </c>
      <c r="AB319">
        <v>154.80000000000001</v>
      </c>
      <c r="AC319">
        <v>159.80000000000001</v>
      </c>
      <c r="AD319">
        <v>164.3</v>
      </c>
      <c r="AE319">
        <v>162.19999999999999</v>
      </c>
      <c r="AF319">
        <v>161.4</v>
      </c>
      <c r="AG319">
        <v>166.7</v>
      </c>
      <c r="AH319">
        <f t="shared" si="30"/>
        <v>2194.1</v>
      </c>
      <c r="AI319">
        <f t="shared" si="31"/>
        <v>163.9</v>
      </c>
      <c r="AJ319">
        <f t="shared" si="32"/>
        <v>154.80000000000001</v>
      </c>
      <c r="AK319">
        <f t="shared" si="33"/>
        <v>164.3</v>
      </c>
      <c r="AL319">
        <f t="shared" si="34"/>
        <v>1660.1000000000001</v>
      </c>
    </row>
    <row r="320" spans="1:38" x14ac:dyDescent="0.3">
      <c r="A320" t="s">
        <v>30</v>
      </c>
      <c r="B320" s="28">
        <f t="shared" si="28"/>
        <v>44531</v>
      </c>
      <c r="C320">
        <v>2021</v>
      </c>
      <c r="D320" t="s">
        <v>45</v>
      </c>
      <c r="E320" t="str">
        <f t="shared" si="29"/>
        <v>Dec-21</v>
      </c>
      <c r="F320">
        <f>VLOOKUP(D320,'Problem Statement 4'!$G$2:$H$13,2,0)</f>
        <v>12</v>
      </c>
      <c r="G320">
        <v>147.4</v>
      </c>
      <c r="H320">
        <v>197</v>
      </c>
      <c r="I320">
        <v>176.5</v>
      </c>
      <c r="J320">
        <v>159.80000000000001</v>
      </c>
      <c r="K320">
        <v>195.8</v>
      </c>
      <c r="L320">
        <v>152</v>
      </c>
      <c r="M320">
        <v>172.3</v>
      </c>
      <c r="N320">
        <v>164.5</v>
      </c>
      <c r="O320">
        <v>120.6</v>
      </c>
      <c r="P320">
        <v>171.7</v>
      </c>
      <c r="Q320">
        <v>169.7</v>
      </c>
      <c r="R320">
        <v>175.1</v>
      </c>
      <c r="S320">
        <v>165.8</v>
      </c>
      <c r="T320">
        <v>190.8</v>
      </c>
      <c r="U320">
        <v>171.8</v>
      </c>
      <c r="V320">
        <v>167.3</v>
      </c>
      <c r="W320">
        <v>171.2</v>
      </c>
      <c r="X320">
        <v>163.4</v>
      </c>
      <c r="Y320">
        <v>165.6</v>
      </c>
      <c r="Z320">
        <v>163.9</v>
      </c>
      <c r="AA320">
        <v>174</v>
      </c>
      <c r="AB320">
        <v>160.1</v>
      </c>
      <c r="AC320">
        <v>164.5</v>
      </c>
      <c r="AD320">
        <v>169.7</v>
      </c>
      <c r="AE320">
        <v>162.80000000000001</v>
      </c>
      <c r="AF320">
        <v>166</v>
      </c>
      <c r="AG320">
        <v>167</v>
      </c>
      <c r="AH320">
        <f t="shared" si="30"/>
        <v>2168.1999999999998</v>
      </c>
      <c r="AI320">
        <f t="shared" si="31"/>
        <v>165.6</v>
      </c>
      <c r="AJ320">
        <f t="shared" si="32"/>
        <v>160.1</v>
      </c>
      <c r="AK320">
        <f t="shared" si="33"/>
        <v>169.7</v>
      </c>
      <c r="AL320">
        <f t="shared" si="34"/>
        <v>1695.7</v>
      </c>
    </row>
    <row r="321" spans="1:38" x14ac:dyDescent="0.3">
      <c r="A321" t="s">
        <v>32</v>
      </c>
      <c r="B321" s="28">
        <f t="shared" si="28"/>
        <v>44531</v>
      </c>
      <c r="C321">
        <v>2021</v>
      </c>
      <c r="D321" t="s">
        <v>45</v>
      </c>
      <c r="E321" t="str">
        <f t="shared" si="29"/>
        <v>Dec-21</v>
      </c>
      <c r="F321">
        <f>VLOOKUP(D321,'Problem Statement 4'!$G$2:$H$13,2,0)</f>
        <v>12</v>
      </c>
      <c r="G321">
        <v>151.6</v>
      </c>
      <c r="H321">
        <v>202.2</v>
      </c>
      <c r="I321">
        <v>180</v>
      </c>
      <c r="J321">
        <v>160</v>
      </c>
      <c r="K321">
        <v>173.5</v>
      </c>
      <c r="L321">
        <v>158.30000000000001</v>
      </c>
      <c r="M321">
        <v>219.5</v>
      </c>
      <c r="N321">
        <v>164.2</v>
      </c>
      <c r="O321">
        <v>121.9</v>
      </c>
      <c r="P321">
        <v>168.2</v>
      </c>
      <c r="Q321">
        <v>156.5</v>
      </c>
      <c r="R321">
        <v>178.2</v>
      </c>
      <c r="S321">
        <v>172.2</v>
      </c>
      <c r="T321">
        <v>196.8</v>
      </c>
      <c r="U321">
        <v>163.30000000000001</v>
      </c>
      <c r="V321">
        <v>146.69999999999999</v>
      </c>
      <c r="W321">
        <v>160.69999999999999</v>
      </c>
      <c r="X321">
        <v>163.4</v>
      </c>
      <c r="Y321">
        <v>161.69999999999999</v>
      </c>
      <c r="Z321">
        <v>156</v>
      </c>
      <c r="AA321">
        <v>165.1</v>
      </c>
      <c r="AB321">
        <v>151.80000000000001</v>
      </c>
      <c r="AC321">
        <v>157.6</v>
      </c>
      <c r="AD321">
        <v>160.6</v>
      </c>
      <c r="AE321">
        <v>162.4</v>
      </c>
      <c r="AF321">
        <v>157.80000000000001</v>
      </c>
      <c r="AG321">
        <v>165.2</v>
      </c>
      <c r="AH321">
        <f t="shared" si="30"/>
        <v>2206.3000000000002</v>
      </c>
      <c r="AI321">
        <f t="shared" si="31"/>
        <v>161.69999999999999</v>
      </c>
      <c r="AJ321">
        <f t="shared" si="32"/>
        <v>151.80000000000001</v>
      </c>
      <c r="AK321">
        <f t="shared" si="33"/>
        <v>160.6</v>
      </c>
      <c r="AL321">
        <f t="shared" si="34"/>
        <v>1629.8</v>
      </c>
    </row>
    <row r="322" spans="1:38" x14ac:dyDescent="0.3">
      <c r="A322" t="s">
        <v>33</v>
      </c>
      <c r="B322" s="28">
        <f t="shared" si="28"/>
        <v>44531</v>
      </c>
      <c r="C322">
        <v>2021</v>
      </c>
      <c r="D322" t="s">
        <v>45</v>
      </c>
      <c r="E322" t="str">
        <f t="shared" si="29"/>
        <v>Dec-21</v>
      </c>
      <c r="F322">
        <f>VLOOKUP(D322,'Problem Statement 4'!$G$2:$H$13,2,0)</f>
        <v>12</v>
      </c>
      <c r="G322">
        <v>148.69999999999999</v>
      </c>
      <c r="H322">
        <v>198.8</v>
      </c>
      <c r="I322">
        <v>177.9</v>
      </c>
      <c r="J322">
        <v>159.9</v>
      </c>
      <c r="K322">
        <v>187.6</v>
      </c>
      <c r="L322">
        <v>154.9</v>
      </c>
      <c r="M322">
        <v>188.3</v>
      </c>
      <c r="N322">
        <v>164.4</v>
      </c>
      <c r="O322">
        <v>121</v>
      </c>
      <c r="P322">
        <v>170.5</v>
      </c>
      <c r="Q322">
        <v>164.2</v>
      </c>
      <c r="R322">
        <v>176.5</v>
      </c>
      <c r="S322">
        <v>168.2</v>
      </c>
      <c r="T322">
        <v>192.4</v>
      </c>
      <c r="U322">
        <v>168.5</v>
      </c>
      <c r="V322">
        <v>158.69999999999999</v>
      </c>
      <c r="W322">
        <v>167</v>
      </c>
      <c r="X322">
        <v>163.4</v>
      </c>
      <c r="Y322">
        <v>164.1</v>
      </c>
      <c r="Z322">
        <v>160.19999999999999</v>
      </c>
      <c r="AA322">
        <v>170.6</v>
      </c>
      <c r="AB322">
        <v>155.69999999999999</v>
      </c>
      <c r="AC322">
        <v>160.6</v>
      </c>
      <c r="AD322">
        <v>164.4</v>
      </c>
      <c r="AE322">
        <v>162.6</v>
      </c>
      <c r="AF322">
        <v>162</v>
      </c>
      <c r="AG322">
        <v>166.2</v>
      </c>
      <c r="AH322">
        <f t="shared" si="30"/>
        <v>2180.9</v>
      </c>
      <c r="AI322">
        <f t="shared" si="31"/>
        <v>164.1</v>
      </c>
      <c r="AJ322">
        <f t="shared" si="32"/>
        <v>155.69999999999999</v>
      </c>
      <c r="AK322">
        <f t="shared" si="33"/>
        <v>164.4</v>
      </c>
      <c r="AL322">
        <f t="shared" si="34"/>
        <v>1665.9999999999995</v>
      </c>
    </row>
    <row r="323" spans="1:38" x14ac:dyDescent="0.3">
      <c r="A323" t="s">
        <v>30</v>
      </c>
      <c r="B323" s="28">
        <f t="shared" ref="B323:B373" si="35">DATE(C323,F323,1)</f>
        <v>44562</v>
      </c>
      <c r="C323">
        <v>2022</v>
      </c>
      <c r="D323" t="s">
        <v>31</v>
      </c>
      <c r="E323" t="str">
        <f t="shared" ref="E323:E373" si="36">_xlfn.CONCAT(TEXT(B323,"mmm"),,"-",RIGHT(C323,2))</f>
        <v>Jan-22</v>
      </c>
      <c r="F323">
        <f>VLOOKUP(D323,'Problem Statement 4'!$G$2:$H$13,2,0)</f>
        <v>1</v>
      </c>
      <c r="G323">
        <v>148.30000000000001</v>
      </c>
      <c r="H323">
        <v>196.9</v>
      </c>
      <c r="I323">
        <v>178</v>
      </c>
      <c r="J323">
        <v>160.5</v>
      </c>
      <c r="K323">
        <v>192.6</v>
      </c>
      <c r="L323">
        <v>151.19999999999999</v>
      </c>
      <c r="M323">
        <v>159.19999999999999</v>
      </c>
      <c r="N323">
        <v>164</v>
      </c>
      <c r="O323">
        <v>119.3</v>
      </c>
      <c r="P323">
        <v>173.3</v>
      </c>
      <c r="Q323">
        <v>169.8</v>
      </c>
      <c r="R323">
        <v>175.8</v>
      </c>
      <c r="S323">
        <v>164.1</v>
      </c>
      <c r="T323">
        <v>190.7</v>
      </c>
      <c r="U323">
        <v>173.2</v>
      </c>
      <c r="V323">
        <v>169.3</v>
      </c>
      <c r="W323">
        <v>172.7</v>
      </c>
      <c r="X323">
        <v>164.5</v>
      </c>
      <c r="Y323">
        <v>165.8</v>
      </c>
      <c r="Z323">
        <v>164.9</v>
      </c>
      <c r="AA323">
        <v>174.7</v>
      </c>
      <c r="AB323">
        <v>160.80000000000001</v>
      </c>
      <c r="AC323">
        <v>164.9</v>
      </c>
      <c r="AD323">
        <v>169.9</v>
      </c>
      <c r="AE323">
        <v>163.19999999999999</v>
      </c>
      <c r="AF323">
        <v>166.6</v>
      </c>
      <c r="AG323">
        <v>166.4</v>
      </c>
      <c r="AH323">
        <f t="shared" ref="AH323:AH373" si="37">SUM(G323:S323)</f>
        <v>2153</v>
      </c>
      <c r="AI323">
        <f t="shared" ref="AI323:AI373" si="38">SUM(Y323)</f>
        <v>165.8</v>
      </c>
      <c r="AJ323">
        <f t="shared" ref="AJ323:AJ373" si="39">SUM(AB323)</f>
        <v>160.80000000000001</v>
      </c>
      <c r="AK323">
        <f t="shared" ref="AK323:AK373" si="40">SUM(AD323)</f>
        <v>169.9</v>
      </c>
      <c r="AL323">
        <f t="shared" ref="AL323:AL373" si="41">SUM(T323:X323,Z323:AA323,AC323,AE323:AF323)</f>
        <v>1704.7000000000003</v>
      </c>
    </row>
    <row r="324" spans="1:38" x14ac:dyDescent="0.3">
      <c r="A324" t="s">
        <v>32</v>
      </c>
      <c r="B324" s="28">
        <f t="shared" si="35"/>
        <v>44562</v>
      </c>
      <c r="C324">
        <v>2022</v>
      </c>
      <c r="D324" t="s">
        <v>31</v>
      </c>
      <c r="E324" t="str">
        <f t="shared" si="36"/>
        <v>Jan-22</v>
      </c>
      <c r="F324">
        <f>VLOOKUP(D324,'Problem Statement 4'!$G$2:$H$13,2,0)</f>
        <v>1</v>
      </c>
      <c r="G324">
        <v>152.19999999999999</v>
      </c>
      <c r="H324">
        <v>202.1</v>
      </c>
      <c r="I324">
        <v>180.1</v>
      </c>
      <c r="J324">
        <v>160.4</v>
      </c>
      <c r="K324">
        <v>171</v>
      </c>
      <c r="L324">
        <v>156.5</v>
      </c>
      <c r="M324">
        <v>203.6</v>
      </c>
      <c r="N324">
        <v>163.80000000000001</v>
      </c>
      <c r="O324">
        <v>121.3</v>
      </c>
      <c r="P324">
        <v>169.8</v>
      </c>
      <c r="Q324">
        <v>156.6</v>
      </c>
      <c r="R324">
        <v>179</v>
      </c>
      <c r="S324">
        <v>170.3</v>
      </c>
      <c r="T324">
        <v>196.4</v>
      </c>
      <c r="U324">
        <v>164.7</v>
      </c>
      <c r="V324">
        <v>148.5</v>
      </c>
      <c r="W324">
        <v>162.19999999999999</v>
      </c>
      <c r="X324">
        <v>164.5</v>
      </c>
      <c r="Y324">
        <v>161.6</v>
      </c>
      <c r="Z324">
        <v>156.80000000000001</v>
      </c>
      <c r="AA324">
        <v>166.1</v>
      </c>
      <c r="AB324">
        <v>152.69999999999999</v>
      </c>
      <c r="AC324">
        <v>158.4</v>
      </c>
      <c r="AD324">
        <v>161</v>
      </c>
      <c r="AE324">
        <v>162.80000000000001</v>
      </c>
      <c r="AF324">
        <v>158.6</v>
      </c>
      <c r="AG324">
        <v>165</v>
      </c>
      <c r="AH324">
        <f t="shared" si="37"/>
        <v>2186.6999999999998</v>
      </c>
      <c r="AI324">
        <f t="shared" si="38"/>
        <v>161.6</v>
      </c>
      <c r="AJ324">
        <f t="shared" si="39"/>
        <v>152.69999999999999</v>
      </c>
      <c r="AK324">
        <f t="shared" si="40"/>
        <v>161</v>
      </c>
      <c r="AL324">
        <f t="shared" si="41"/>
        <v>1638.9999999999998</v>
      </c>
    </row>
    <row r="325" spans="1:38" x14ac:dyDescent="0.3">
      <c r="A325" t="s">
        <v>33</v>
      </c>
      <c r="B325" s="28">
        <f t="shared" si="35"/>
        <v>44562</v>
      </c>
      <c r="C325">
        <v>2022</v>
      </c>
      <c r="D325" t="s">
        <v>31</v>
      </c>
      <c r="E325" t="str">
        <f t="shared" si="36"/>
        <v>Jan-22</v>
      </c>
      <c r="F325">
        <f>VLOOKUP(D325,'Problem Statement 4'!$G$2:$H$13,2,0)</f>
        <v>1</v>
      </c>
      <c r="G325">
        <v>149.5</v>
      </c>
      <c r="H325">
        <v>198.7</v>
      </c>
      <c r="I325">
        <v>178.8</v>
      </c>
      <c r="J325">
        <v>160.5</v>
      </c>
      <c r="K325">
        <v>184.7</v>
      </c>
      <c r="L325">
        <v>153.69999999999999</v>
      </c>
      <c r="M325">
        <v>174.3</v>
      </c>
      <c r="N325">
        <v>163.9</v>
      </c>
      <c r="O325">
        <v>120</v>
      </c>
      <c r="P325">
        <v>172.1</v>
      </c>
      <c r="Q325">
        <v>164.3</v>
      </c>
      <c r="R325">
        <v>177.3</v>
      </c>
      <c r="S325">
        <v>166.4</v>
      </c>
      <c r="T325">
        <v>192.2</v>
      </c>
      <c r="U325">
        <v>169.9</v>
      </c>
      <c r="V325">
        <v>160.69999999999999</v>
      </c>
      <c r="W325">
        <v>168.5</v>
      </c>
      <c r="X325">
        <v>164.5</v>
      </c>
      <c r="Y325">
        <v>164.2</v>
      </c>
      <c r="Z325">
        <v>161.1</v>
      </c>
      <c r="AA325">
        <v>171.4</v>
      </c>
      <c r="AB325">
        <v>156.5</v>
      </c>
      <c r="AC325">
        <v>161.19999999999999</v>
      </c>
      <c r="AD325">
        <v>164.7</v>
      </c>
      <c r="AE325">
        <v>163</v>
      </c>
      <c r="AF325">
        <v>162.69999999999999</v>
      </c>
      <c r="AG325">
        <v>165.7</v>
      </c>
      <c r="AH325">
        <f t="shared" si="37"/>
        <v>2164.1999999999998</v>
      </c>
      <c r="AI325">
        <f t="shared" si="38"/>
        <v>164.2</v>
      </c>
      <c r="AJ325">
        <f t="shared" si="39"/>
        <v>156.5</v>
      </c>
      <c r="AK325">
        <f t="shared" si="40"/>
        <v>164.7</v>
      </c>
      <c r="AL325">
        <f t="shared" si="41"/>
        <v>1675.2</v>
      </c>
    </row>
    <row r="326" spans="1:38" x14ac:dyDescent="0.3">
      <c r="A326" t="s">
        <v>30</v>
      </c>
      <c r="B326" s="28">
        <f t="shared" si="35"/>
        <v>44593</v>
      </c>
      <c r="C326">
        <v>2022</v>
      </c>
      <c r="D326" t="s">
        <v>34</v>
      </c>
      <c r="E326" t="str">
        <f t="shared" si="36"/>
        <v>Feb-22</v>
      </c>
      <c r="F326">
        <f>VLOOKUP(D326,'Problem Statement 4'!$G$2:$H$13,2,0)</f>
        <v>2</v>
      </c>
      <c r="G326">
        <v>148.80000000000001</v>
      </c>
      <c r="H326">
        <v>198.1</v>
      </c>
      <c r="I326">
        <v>175.5</v>
      </c>
      <c r="J326">
        <v>160.69999999999999</v>
      </c>
      <c r="K326">
        <v>192.6</v>
      </c>
      <c r="L326">
        <v>151.4</v>
      </c>
      <c r="M326">
        <v>155.19999999999999</v>
      </c>
      <c r="N326">
        <v>163.9</v>
      </c>
      <c r="O326">
        <v>118.1</v>
      </c>
      <c r="P326">
        <v>175.4</v>
      </c>
      <c r="Q326">
        <v>170.5</v>
      </c>
      <c r="R326">
        <v>176.3</v>
      </c>
      <c r="S326">
        <v>163.9</v>
      </c>
      <c r="T326">
        <v>191.5</v>
      </c>
      <c r="U326">
        <v>174.1</v>
      </c>
      <c r="V326">
        <v>171</v>
      </c>
      <c r="W326">
        <v>173.7</v>
      </c>
      <c r="X326">
        <v>165.5</v>
      </c>
      <c r="Y326">
        <v>167.4</v>
      </c>
      <c r="Z326">
        <v>165.7</v>
      </c>
      <c r="AA326">
        <v>175.3</v>
      </c>
      <c r="AB326">
        <v>161.19999999999999</v>
      </c>
      <c r="AC326">
        <v>165.5</v>
      </c>
      <c r="AD326">
        <v>170.3</v>
      </c>
      <c r="AE326">
        <v>164.5</v>
      </c>
      <c r="AF326">
        <v>167.3</v>
      </c>
      <c r="AG326">
        <v>166.7</v>
      </c>
      <c r="AH326">
        <f t="shared" si="37"/>
        <v>2150.4</v>
      </c>
      <c r="AI326">
        <f t="shared" si="38"/>
        <v>167.4</v>
      </c>
      <c r="AJ326">
        <f t="shared" si="39"/>
        <v>161.19999999999999</v>
      </c>
      <c r="AK326">
        <f t="shared" si="40"/>
        <v>170.3</v>
      </c>
      <c r="AL326">
        <f t="shared" si="41"/>
        <v>1714.1</v>
      </c>
    </row>
    <row r="327" spans="1:38" x14ac:dyDescent="0.3">
      <c r="A327" t="s">
        <v>32</v>
      </c>
      <c r="B327" s="28">
        <f t="shared" si="35"/>
        <v>44593</v>
      </c>
      <c r="C327">
        <v>2022</v>
      </c>
      <c r="D327" t="s">
        <v>34</v>
      </c>
      <c r="E327" t="str">
        <f t="shared" si="36"/>
        <v>Feb-22</v>
      </c>
      <c r="F327">
        <f>VLOOKUP(D327,'Problem Statement 4'!$G$2:$H$13,2,0)</f>
        <v>2</v>
      </c>
      <c r="G327">
        <v>152.5</v>
      </c>
      <c r="H327">
        <v>205.2</v>
      </c>
      <c r="I327">
        <v>176.4</v>
      </c>
      <c r="J327">
        <v>160.6</v>
      </c>
      <c r="K327">
        <v>171.5</v>
      </c>
      <c r="L327">
        <v>156.4</v>
      </c>
      <c r="M327">
        <v>198</v>
      </c>
      <c r="N327">
        <v>163.19999999999999</v>
      </c>
      <c r="O327">
        <v>120.6</v>
      </c>
      <c r="P327">
        <v>172.2</v>
      </c>
      <c r="Q327">
        <v>156.69999999999999</v>
      </c>
      <c r="R327">
        <v>180</v>
      </c>
      <c r="S327">
        <v>170.2</v>
      </c>
      <c r="T327">
        <v>196.5</v>
      </c>
      <c r="U327">
        <v>165.7</v>
      </c>
      <c r="V327">
        <v>150.4</v>
      </c>
      <c r="W327">
        <v>163.4</v>
      </c>
      <c r="X327">
        <v>165.5</v>
      </c>
      <c r="Y327">
        <v>163</v>
      </c>
      <c r="Z327">
        <v>157.4</v>
      </c>
      <c r="AA327">
        <v>167.2</v>
      </c>
      <c r="AB327">
        <v>153.1</v>
      </c>
      <c r="AC327">
        <v>159.5</v>
      </c>
      <c r="AD327">
        <v>162</v>
      </c>
      <c r="AE327">
        <v>164.2</v>
      </c>
      <c r="AF327">
        <v>159.4</v>
      </c>
      <c r="AG327">
        <v>165.5</v>
      </c>
      <c r="AH327">
        <f t="shared" si="37"/>
        <v>2183.5</v>
      </c>
      <c r="AI327">
        <f t="shared" si="38"/>
        <v>163</v>
      </c>
      <c r="AJ327">
        <f t="shared" si="39"/>
        <v>153.1</v>
      </c>
      <c r="AK327">
        <f t="shared" si="40"/>
        <v>162</v>
      </c>
      <c r="AL327">
        <f t="shared" si="41"/>
        <v>1649.2</v>
      </c>
    </row>
    <row r="328" spans="1:38" x14ac:dyDescent="0.3">
      <c r="A328" t="s">
        <v>33</v>
      </c>
      <c r="B328" s="28">
        <f t="shared" si="35"/>
        <v>44593</v>
      </c>
      <c r="C328">
        <v>2022</v>
      </c>
      <c r="D328" t="s">
        <v>34</v>
      </c>
      <c r="E328" t="str">
        <f t="shared" si="36"/>
        <v>Feb-22</v>
      </c>
      <c r="F328">
        <f>VLOOKUP(D328,'Problem Statement 4'!$G$2:$H$13,2,0)</f>
        <v>2</v>
      </c>
      <c r="G328">
        <v>150</v>
      </c>
      <c r="H328">
        <v>200.6</v>
      </c>
      <c r="I328">
        <v>175.8</v>
      </c>
      <c r="J328">
        <v>160.69999999999999</v>
      </c>
      <c r="K328">
        <v>184.9</v>
      </c>
      <c r="L328">
        <v>153.69999999999999</v>
      </c>
      <c r="M328">
        <v>169.7</v>
      </c>
      <c r="N328">
        <v>163.69999999999999</v>
      </c>
      <c r="O328">
        <v>118.9</v>
      </c>
      <c r="P328">
        <v>174.3</v>
      </c>
      <c r="Q328">
        <v>164.7</v>
      </c>
      <c r="R328">
        <v>178</v>
      </c>
      <c r="S328">
        <v>166.2</v>
      </c>
      <c r="T328">
        <v>192.8</v>
      </c>
      <c r="U328">
        <v>170.8</v>
      </c>
      <c r="V328">
        <v>162.4</v>
      </c>
      <c r="W328">
        <v>169.6</v>
      </c>
      <c r="X328">
        <v>165.5</v>
      </c>
      <c r="Y328">
        <v>165.7</v>
      </c>
      <c r="Z328">
        <v>161.80000000000001</v>
      </c>
      <c r="AA328">
        <v>172.2</v>
      </c>
      <c r="AB328">
        <v>156.9</v>
      </c>
      <c r="AC328">
        <v>162.1</v>
      </c>
      <c r="AD328">
        <v>165.4</v>
      </c>
      <c r="AE328">
        <v>164.4</v>
      </c>
      <c r="AF328">
        <v>163.5</v>
      </c>
      <c r="AG328">
        <v>166.1</v>
      </c>
      <c r="AH328">
        <f t="shared" si="37"/>
        <v>2161.2000000000003</v>
      </c>
      <c r="AI328">
        <f t="shared" si="38"/>
        <v>165.7</v>
      </c>
      <c r="AJ328">
        <f t="shared" si="39"/>
        <v>156.9</v>
      </c>
      <c r="AK328">
        <f t="shared" si="40"/>
        <v>165.4</v>
      </c>
      <c r="AL328">
        <f t="shared" si="41"/>
        <v>1685.1000000000001</v>
      </c>
    </row>
    <row r="329" spans="1:38" x14ac:dyDescent="0.3">
      <c r="A329" t="s">
        <v>30</v>
      </c>
      <c r="B329" s="28">
        <f t="shared" si="35"/>
        <v>44621</v>
      </c>
      <c r="C329">
        <v>2022</v>
      </c>
      <c r="D329" t="s">
        <v>35</v>
      </c>
      <c r="E329" t="str">
        <f t="shared" si="36"/>
        <v>Mar-22</v>
      </c>
      <c r="F329">
        <f>VLOOKUP(D329,'Problem Statement 4'!$G$2:$H$13,2,0)</f>
        <v>3</v>
      </c>
      <c r="G329">
        <v>150.19999999999999</v>
      </c>
      <c r="H329">
        <v>208</v>
      </c>
      <c r="I329">
        <v>167.9</v>
      </c>
      <c r="J329">
        <v>162</v>
      </c>
      <c r="K329">
        <v>203.1</v>
      </c>
      <c r="L329">
        <v>155.9</v>
      </c>
      <c r="M329">
        <v>155.80000000000001</v>
      </c>
      <c r="N329">
        <v>164.2</v>
      </c>
      <c r="O329">
        <v>118.1</v>
      </c>
      <c r="P329">
        <v>178.7</v>
      </c>
      <c r="Q329">
        <v>171.2</v>
      </c>
      <c r="R329">
        <v>177.4</v>
      </c>
      <c r="S329">
        <v>166.6</v>
      </c>
      <c r="T329">
        <v>192.3</v>
      </c>
      <c r="U329">
        <v>175.4</v>
      </c>
      <c r="V329">
        <v>173.2</v>
      </c>
      <c r="W329">
        <v>175.1</v>
      </c>
      <c r="X329">
        <v>165.3</v>
      </c>
      <c r="Y329">
        <v>168.9</v>
      </c>
      <c r="Z329">
        <v>166.5</v>
      </c>
      <c r="AA329">
        <v>176</v>
      </c>
      <c r="AB329">
        <v>162</v>
      </c>
      <c r="AC329">
        <v>166.6</v>
      </c>
      <c r="AD329">
        <v>170.6</v>
      </c>
      <c r="AE329">
        <v>167.4</v>
      </c>
      <c r="AF329">
        <v>168.3</v>
      </c>
      <c r="AG329">
        <v>168.7</v>
      </c>
      <c r="AH329">
        <f t="shared" si="37"/>
        <v>2179.1000000000004</v>
      </c>
      <c r="AI329">
        <f t="shared" si="38"/>
        <v>168.9</v>
      </c>
      <c r="AJ329">
        <f t="shared" si="39"/>
        <v>162</v>
      </c>
      <c r="AK329">
        <f t="shared" si="40"/>
        <v>170.6</v>
      </c>
      <c r="AL329">
        <f t="shared" si="41"/>
        <v>1726.1000000000001</v>
      </c>
    </row>
    <row r="330" spans="1:38" x14ac:dyDescent="0.3">
      <c r="A330" t="s">
        <v>32</v>
      </c>
      <c r="B330" s="28">
        <f t="shared" si="35"/>
        <v>44621</v>
      </c>
      <c r="C330">
        <v>2022</v>
      </c>
      <c r="D330" t="s">
        <v>35</v>
      </c>
      <c r="E330" t="str">
        <f t="shared" si="36"/>
        <v>Mar-22</v>
      </c>
      <c r="F330">
        <f>VLOOKUP(D330,'Problem Statement 4'!$G$2:$H$13,2,0)</f>
        <v>3</v>
      </c>
      <c r="G330">
        <v>153.69999999999999</v>
      </c>
      <c r="H330">
        <v>215.8</v>
      </c>
      <c r="I330">
        <v>167.7</v>
      </c>
      <c r="J330">
        <v>162.6</v>
      </c>
      <c r="K330">
        <v>180</v>
      </c>
      <c r="L330">
        <v>159.6</v>
      </c>
      <c r="M330">
        <v>188.4</v>
      </c>
      <c r="N330">
        <v>163.4</v>
      </c>
      <c r="O330">
        <v>120.3</v>
      </c>
      <c r="P330">
        <v>174.7</v>
      </c>
      <c r="Q330">
        <v>157.1</v>
      </c>
      <c r="R330">
        <v>181.5</v>
      </c>
      <c r="S330">
        <v>171.5</v>
      </c>
      <c r="T330">
        <v>197.5</v>
      </c>
      <c r="U330">
        <v>167.1</v>
      </c>
      <c r="V330">
        <v>152.6</v>
      </c>
      <c r="W330">
        <v>164.9</v>
      </c>
      <c r="X330">
        <v>165.3</v>
      </c>
      <c r="Y330">
        <v>164.5</v>
      </c>
      <c r="Z330">
        <v>158.6</v>
      </c>
      <c r="AA330">
        <v>168.2</v>
      </c>
      <c r="AB330">
        <v>154.19999999999999</v>
      </c>
      <c r="AC330">
        <v>160.80000000000001</v>
      </c>
      <c r="AD330">
        <v>162.69999999999999</v>
      </c>
      <c r="AE330">
        <v>166.8</v>
      </c>
      <c r="AF330">
        <v>160.6</v>
      </c>
      <c r="AG330">
        <v>166.5</v>
      </c>
      <c r="AH330">
        <f t="shared" si="37"/>
        <v>2196.3000000000002</v>
      </c>
      <c r="AI330">
        <f t="shared" si="38"/>
        <v>164.5</v>
      </c>
      <c r="AJ330">
        <f t="shared" si="39"/>
        <v>154.19999999999999</v>
      </c>
      <c r="AK330">
        <f t="shared" si="40"/>
        <v>162.69999999999999</v>
      </c>
      <c r="AL330">
        <f t="shared" si="41"/>
        <v>1662.3999999999999</v>
      </c>
    </row>
    <row r="331" spans="1:38" x14ac:dyDescent="0.3">
      <c r="A331" t="s">
        <v>33</v>
      </c>
      <c r="B331" s="28">
        <f t="shared" si="35"/>
        <v>44621</v>
      </c>
      <c r="C331">
        <v>2022</v>
      </c>
      <c r="D331" t="s">
        <v>35</v>
      </c>
      <c r="E331" t="str">
        <f t="shared" si="36"/>
        <v>Mar-22</v>
      </c>
      <c r="F331">
        <f>VLOOKUP(D331,'Problem Statement 4'!$G$2:$H$13,2,0)</f>
        <v>3</v>
      </c>
      <c r="G331">
        <v>151.30000000000001</v>
      </c>
      <c r="H331">
        <v>210.7</v>
      </c>
      <c r="I331">
        <v>167.8</v>
      </c>
      <c r="J331">
        <v>162.19999999999999</v>
      </c>
      <c r="K331">
        <v>194.6</v>
      </c>
      <c r="L331">
        <v>157.6</v>
      </c>
      <c r="M331">
        <v>166.9</v>
      </c>
      <c r="N331">
        <v>163.9</v>
      </c>
      <c r="O331">
        <v>118.8</v>
      </c>
      <c r="P331">
        <v>177.4</v>
      </c>
      <c r="Q331">
        <v>165.3</v>
      </c>
      <c r="R331">
        <v>179.3</v>
      </c>
      <c r="S331">
        <v>168.4</v>
      </c>
      <c r="T331">
        <v>193.7</v>
      </c>
      <c r="U331">
        <v>172.1</v>
      </c>
      <c r="V331">
        <v>164.6</v>
      </c>
      <c r="W331">
        <v>171.1</v>
      </c>
      <c r="X331">
        <v>165.3</v>
      </c>
      <c r="Y331">
        <v>167.2</v>
      </c>
      <c r="Z331">
        <v>162.80000000000001</v>
      </c>
      <c r="AA331">
        <v>173</v>
      </c>
      <c r="AB331">
        <v>157.9</v>
      </c>
      <c r="AC331">
        <v>163.30000000000001</v>
      </c>
      <c r="AD331">
        <v>166</v>
      </c>
      <c r="AE331">
        <v>167.2</v>
      </c>
      <c r="AF331">
        <v>164.6</v>
      </c>
      <c r="AG331">
        <v>167.7</v>
      </c>
      <c r="AH331">
        <f t="shared" si="37"/>
        <v>2184.2000000000003</v>
      </c>
      <c r="AI331">
        <f t="shared" si="38"/>
        <v>167.2</v>
      </c>
      <c r="AJ331">
        <f t="shared" si="39"/>
        <v>157.9</v>
      </c>
      <c r="AK331">
        <f t="shared" si="40"/>
        <v>166</v>
      </c>
      <c r="AL331">
        <f t="shared" si="41"/>
        <v>1697.6999999999998</v>
      </c>
    </row>
    <row r="332" spans="1:38" x14ac:dyDescent="0.3">
      <c r="A332" t="s">
        <v>30</v>
      </c>
      <c r="B332" s="28">
        <f t="shared" si="35"/>
        <v>44652</v>
      </c>
      <c r="C332">
        <v>2022</v>
      </c>
      <c r="D332" t="s">
        <v>36</v>
      </c>
      <c r="E332" t="str">
        <f t="shared" si="36"/>
        <v>Apr-22</v>
      </c>
      <c r="F332">
        <f>VLOOKUP(D332,'Problem Statement 4'!$G$2:$H$13,2,0)</f>
        <v>4</v>
      </c>
      <c r="G332">
        <v>151.80000000000001</v>
      </c>
      <c r="H332">
        <v>209.7</v>
      </c>
      <c r="I332">
        <v>164.5</v>
      </c>
      <c r="J332">
        <v>163.80000000000001</v>
      </c>
      <c r="K332">
        <v>207.4</v>
      </c>
      <c r="L332">
        <v>169.7</v>
      </c>
      <c r="M332">
        <v>153.6</v>
      </c>
      <c r="N332">
        <v>165.1</v>
      </c>
      <c r="O332">
        <v>118.2</v>
      </c>
      <c r="P332">
        <v>182.9</v>
      </c>
      <c r="Q332">
        <v>172.4</v>
      </c>
      <c r="R332">
        <v>178.9</v>
      </c>
      <c r="S332">
        <v>168.6</v>
      </c>
      <c r="T332">
        <v>192.8</v>
      </c>
      <c r="U332">
        <v>177.5</v>
      </c>
      <c r="V332">
        <v>175.1</v>
      </c>
      <c r="W332">
        <v>177.1</v>
      </c>
      <c r="X332">
        <v>167</v>
      </c>
      <c r="Y332">
        <v>173.3</v>
      </c>
      <c r="Z332">
        <v>167.7</v>
      </c>
      <c r="AA332">
        <v>177</v>
      </c>
      <c r="AB332">
        <v>166.2</v>
      </c>
      <c r="AC332">
        <v>167.2</v>
      </c>
      <c r="AD332">
        <v>170.9</v>
      </c>
      <c r="AE332">
        <v>169</v>
      </c>
      <c r="AF332">
        <v>170.2</v>
      </c>
      <c r="AG332">
        <v>170.8</v>
      </c>
      <c r="AH332">
        <f t="shared" si="37"/>
        <v>2206.6</v>
      </c>
      <c r="AI332">
        <f t="shared" si="38"/>
        <v>173.3</v>
      </c>
      <c r="AJ332">
        <f t="shared" si="39"/>
        <v>166.2</v>
      </c>
      <c r="AK332">
        <f t="shared" si="40"/>
        <v>170.9</v>
      </c>
      <c r="AL332">
        <f t="shared" si="41"/>
        <v>1740.6000000000001</v>
      </c>
    </row>
    <row r="333" spans="1:38" x14ac:dyDescent="0.3">
      <c r="A333" t="s">
        <v>32</v>
      </c>
      <c r="B333" s="28">
        <f t="shared" si="35"/>
        <v>44652</v>
      </c>
      <c r="C333">
        <v>2022</v>
      </c>
      <c r="D333" t="s">
        <v>36</v>
      </c>
      <c r="E333" t="str">
        <f t="shared" si="36"/>
        <v>Apr-22</v>
      </c>
      <c r="F333">
        <f>VLOOKUP(D333,'Problem Statement 4'!$G$2:$H$13,2,0)</f>
        <v>4</v>
      </c>
      <c r="G333">
        <v>155.4</v>
      </c>
      <c r="H333">
        <v>215.8</v>
      </c>
      <c r="I333">
        <v>164.6</v>
      </c>
      <c r="J333">
        <v>164.2</v>
      </c>
      <c r="K333">
        <v>186</v>
      </c>
      <c r="L333">
        <v>175.9</v>
      </c>
      <c r="M333">
        <v>190.7</v>
      </c>
      <c r="N333">
        <v>164</v>
      </c>
      <c r="O333">
        <v>120.5</v>
      </c>
      <c r="P333">
        <v>178</v>
      </c>
      <c r="Q333">
        <v>157.5</v>
      </c>
      <c r="R333">
        <v>183.3</v>
      </c>
      <c r="S333">
        <v>174.5</v>
      </c>
      <c r="T333">
        <v>197.1</v>
      </c>
      <c r="U333">
        <v>168.4</v>
      </c>
      <c r="V333">
        <v>154.5</v>
      </c>
      <c r="W333">
        <v>166.3</v>
      </c>
      <c r="X333">
        <v>167</v>
      </c>
      <c r="Y333">
        <v>170.5</v>
      </c>
      <c r="Z333">
        <v>159.80000000000001</v>
      </c>
      <c r="AA333">
        <v>169</v>
      </c>
      <c r="AB333">
        <v>159.30000000000001</v>
      </c>
      <c r="AC333">
        <v>162.19999999999999</v>
      </c>
      <c r="AD333">
        <v>164</v>
      </c>
      <c r="AE333">
        <v>168.4</v>
      </c>
      <c r="AF333">
        <v>163.1</v>
      </c>
      <c r="AG333">
        <v>169.2</v>
      </c>
      <c r="AH333">
        <f t="shared" si="37"/>
        <v>2230.4</v>
      </c>
      <c r="AI333">
        <f t="shared" si="38"/>
        <v>170.5</v>
      </c>
      <c r="AJ333">
        <f t="shared" si="39"/>
        <v>159.30000000000001</v>
      </c>
      <c r="AK333">
        <f t="shared" si="40"/>
        <v>164</v>
      </c>
      <c r="AL333">
        <f t="shared" si="41"/>
        <v>1675.8</v>
      </c>
    </row>
    <row r="334" spans="1:38" x14ac:dyDescent="0.3">
      <c r="A334" t="s">
        <v>33</v>
      </c>
      <c r="B334" s="28">
        <f t="shared" si="35"/>
        <v>44652</v>
      </c>
      <c r="C334">
        <v>2022</v>
      </c>
      <c r="D334" t="s">
        <v>36</v>
      </c>
      <c r="E334" t="str">
        <f t="shared" si="36"/>
        <v>Apr-22</v>
      </c>
      <c r="F334">
        <f>VLOOKUP(D334,'Problem Statement 4'!$G$2:$H$13,2,0)</f>
        <v>4</v>
      </c>
      <c r="G334">
        <v>152.9</v>
      </c>
      <c r="H334">
        <v>211.8</v>
      </c>
      <c r="I334">
        <v>164.5</v>
      </c>
      <c r="J334">
        <v>163.9</v>
      </c>
      <c r="K334">
        <v>199.5</v>
      </c>
      <c r="L334">
        <v>172.6</v>
      </c>
      <c r="M334">
        <v>166.2</v>
      </c>
      <c r="N334">
        <v>164.7</v>
      </c>
      <c r="O334">
        <v>119</v>
      </c>
      <c r="P334">
        <v>181.3</v>
      </c>
      <c r="Q334">
        <v>166.2</v>
      </c>
      <c r="R334">
        <v>180.9</v>
      </c>
      <c r="S334">
        <v>170.8</v>
      </c>
      <c r="T334">
        <v>193.9</v>
      </c>
      <c r="U334">
        <v>173.9</v>
      </c>
      <c r="V334">
        <v>166.5</v>
      </c>
      <c r="W334">
        <v>172.8</v>
      </c>
      <c r="X334">
        <v>167</v>
      </c>
      <c r="Y334">
        <v>172.2</v>
      </c>
      <c r="Z334">
        <v>164</v>
      </c>
      <c r="AA334">
        <v>174</v>
      </c>
      <c r="AB334">
        <v>162.6</v>
      </c>
      <c r="AC334">
        <v>164.4</v>
      </c>
      <c r="AD334">
        <v>166.9</v>
      </c>
      <c r="AE334">
        <v>168.8</v>
      </c>
      <c r="AF334">
        <v>166.8</v>
      </c>
      <c r="AG334">
        <v>170.1</v>
      </c>
      <c r="AH334">
        <f t="shared" si="37"/>
        <v>2214.3000000000002</v>
      </c>
      <c r="AI334">
        <f t="shared" si="38"/>
        <v>172.2</v>
      </c>
      <c r="AJ334">
        <f t="shared" si="39"/>
        <v>162.6</v>
      </c>
      <c r="AK334">
        <f t="shared" si="40"/>
        <v>166.9</v>
      </c>
      <c r="AL334">
        <f t="shared" si="41"/>
        <v>1712.1</v>
      </c>
    </row>
    <row r="335" spans="1:38" x14ac:dyDescent="0.3">
      <c r="A335" t="s">
        <v>30</v>
      </c>
      <c r="B335" s="28">
        <f t="shared" si="35"/>
        <v>44682</v>
      </c>
      <c r="C335">
        <v>2022</v>
      </c>
      <c r="D335" t="s">
        <v>37</v>
      </c>
      <c r="E335" t="str">
        <f t="shared" si="36"/>
        <v>May-22</v>
      </c>
      <c r="F335">
        <f>VLOOKUP(D335,'Problem Statement 4'!$G$2:$H$13,2,0)</f>
        <v>5</v>
      </c>
      <c r="G335">
        <v>152.9</v>
      </c>
      <c r="H335">
        <v>214.7</v>
      </c>
      <c r="I335">
        <v>161.4</v>
      </c>
      <c r="J335">
        <v>164.6</v>
      </c>
      <c r="K335">
        <v>209.9</v>
      </c>
      <c r="L335">
        <v>168</v>
      </c>
      <c r="M335">
        <v>160.4</v>
      </c>
      <c r="N335">
        <v>165</v>
      </c>
      <c r="O335">
        <v>118.9</v>
      </c>
      <c r="P335">
        <v>186.6</v>
      </c>
      <c r="Q335">
        <v>173.2</v>
      </c>
      <c r="R335">
        <v>180.4</v>
      </c>
      <c r="S335">
        <v>170.8</v>
      </c>
      <c r="T335">
        <v>192.9</v>
      </c>
      <c r="U335">
        <v>179.3</v>
      </c>
      <c r="V335">
        <v>177.2</v>
      </c>
      <c r="W335">
        <v>179</v>
      </c>
      <c r="X335">
        <v>167.5</v>
      </c>
      <c r="Y335">
        <v>175.3</v>
      </c>
      <c r="Z335">
        <v>168.9</v>
      </c>
      <c r="AA335">
        <v>177.7</v>
      </c>
      <c r="AB335">
        <v>167.1</v>
      </c>
      <c r="AC335">
        <v>167.6</v>
      </c>
      <c r="AD335">
        <v>171.8</v>
      </c>
      <c r="AE335">
        <v>168.5</v>
      </c>
      <c r="AF335">
        <v>170.9</v>
      </c>
      <c r="AG335">
        <v>172.5</v>
      </c>
      <c r="AH335">
        <f t="shared" si="37"/>
        <v>2226.8000000000002</v>
      </c>
      <c r="AI335">
        <f t="shared" si="38"/>
        <v>175.3</v>
      </c>
      <c r="AJ335">
        <f t="shared" si="39"/>
        <v>167.1</v>
      </c>
      <c r="AK335">
        <f t="shared" si="40"/>
        <v>171.8</v>
      </c>
      <c r="AL335">
        <f t="shared" si="41"/>
        <v>1749.5000000000002</v>
      </c>
    </row>
    <row r="336" spans="1:38" x14ac:dyDescent="0.3">
      <c r="A336" t="s">
        <v>32</v>
      </c>
      <c r="B336" s="28">
        <f t="shared" si="35"/>
        <v>44682</v>
      </c>
      <c r="C336">
        <v>2022</v>
      </c>
      <c r="D336" t="s">
        <v>37</v>
      </c>
      <c r="E336" t="str">
        <f t="shared" si="36"/>
        <v>May-22</v>
      </c>
      <c r="F336">
        <f>VLOOKUP(D336,'Problem Statement 4'!$G$2:$H$13,2,0)</f>
        <v>5</v>
      </c>
      <c r="G336">
        <v>156.69999999999999</v>
      </c>
      <c r="H336">
        <v>221.2</v>
      </c>
      <c r="I336">
        <v>164.1</v>
      </c>
      <c r="J336">
        <v>165.4</v>
      </c>
      <c r="K336">
        <v>189.5</v>
      </c>
      <c r="L336">
        <v>174.5</v>
      </c>
      <c r="M336">
        <v>203.2</v>
      </c>
      <c r="N336">
        <v>164.1</v>
      </c>
      <c r="O336">
        <v>121.2</v>
      </c>
      <c r="P336">
        <v>181.4</v>
      </c>
      <c r="Q336">
        <v>158.5</v>
      </c>
      <c r="R336">
        <v>184.9</v>
      </c>
      <c r="S336">
        <v>177.5</v>
      </c>
      <c r="T336">
        <v>197.5</v>
      </c>
      <c r="U336">
        <v>170</v>
      </c>
      <c r="V336">
        <v>155.9</v>
      </c>
      <c r="W336">
        <v>167.8</v>
      </c>
      <c r="X336">
        <v>167.5</v>
      </c>
      <c r="Y336">
        <v>173.5</v>
      </c>
      <c r="Z336">
        <v>161.1</v>
      </c>
      <c r="AA336">
        <v>170.1</v>
      </c>
      <c r="AB336">
        <v>159.4</v>
      </c>
      <c r="AC336">
        <v>163.19999999999999</v>
      </c>
      <c r="AD336">
        <v>165.2</v>
      </c>
      <c r="AE336">
        <v>168.2</v>
      </c>
      <c r="AF336">
        <v>163.80000000000001</v>
      </c>
      <c r="AG336">
        <v>170.8</v>
      </c>
      <c r="AH336">
        <f t="shared" si="37"/>
        <v>2262.2000000000003</v>
      </c>
      <c r="AI336">
        <f t="shared" si="38"/>
        <v>173.5</v>
      </c>
      <c r="AJ336">
        <f t="shared" si="39"/>
        <v>159.4</v>
      </c>
      <c r="AK336">
        <f t="shared" si="40"/>
        <v>165.2</v>
      </c>
      <c r="AL336">
        <f t="shared" si="41"/>
        <v>1685.1000000000001</v>
      </c>
    </row>
    <row r="337" spans="1:38" x14ac:dyDescent="0.3">
      <c r="A337" t="s">
        <v>33</v>
      </c>
      <c r="B337" s="28">
        <f t="shared" si="35"/>
        <v>44682</v>
      </c>
      <c r="C337">
        <v>2022</v>
      </c>
      <c r="D337" t="s">
        <v>37</v>
      </c>
      <c r="E337" t="str">
        <f t="shared" si="36"/>
        <v>May-22</v>
      </c>
      <c r="F337">
        <f>VLOOKUP(D337,'Problem Statement 4'!$G$2:$H$13,2,0)</f>
        <v>5</v>
      </c>
      <c r="G337">
        <v>154.1</v>
      </c>
      <c r="H337">
        <v>217</v>
      </c>
      <c r="I337">
        <v>162.4</v>
      </c>
      <c r="J337">
        <v>164.9</v>
      </c>
      <c r="K337">
        <v>202.4</v>
      </c>
      <c r="L337">
        <v>171</v>
      </c>
      <c r="M337">
        <v>174.9</v>
      </c>
      <c r="N337">
        <v>164.7</v>
      </c>
      <c r="O337">
        <v>119.7</v>
      </c>
      <c r="P337">
        <v>184.9</v>
      </c>
      <c r="Q337">
        <v>167.1</v>
      </c>
      <c r="R337">
        <v>182.5</v>
      </c>
      <c r="S337">
        <v>173.3</v>
      </c>
      <c r="T337">
        <v>194.1</v>
      </c>
      <c r="U337">
        <v>175.6</v>
      </c>
      <c r="V337">
        <v>168.4</v>
      </c>
      <c r="W337">
        <v>174.6</v>
      </c>
      <c r="X337">
        <v>167.5</v>
      </c>
      <c r="Y337">
        <v>174.6</v>
      </c>
      <c r="Z337">
        <v>165.2</v>
      </c>
      <c r="AA337">
        <v>174.8</v>
      </c>
      <c r="AB337">
        <v>163</v>
      </c>
      <c r="AC337">
        <v>165.1</v>
      </c>
      <c r="AD337">
        <v>167.9</v>
      </c>
      <c r="AE337">
        <v>168.4</v>
      </c>
      <c r="AF337">
        <v>167.5</v>
      </c>
      <c r="AG337">
        <v>171.7</v>
      </c>
      <c r="AH337">
        <f t="shared" si="37"/>
        <v>2238.9000000000005</v>
      </c>
      <c r="AI337">
        <f t="shared" si="38"/>
        <v>174.6</v>
      </c>
      <c r="AJ337">
        <f t="shared" si="39"/>
        <v>163</v>
      </c>
      <c r="AK337">
        <f t="shared" si="40"/>
        <v>167.9</v>
      </c>
      <c r="AL337">
        <f t="shared" si="41"/>
        <v>1721.2</v>
      </c>
    </row>
    <row r="338" spans="1:38" x14ac:dyDescent="0.3">
      <c r="A338" t="s">
        <v>30</v>
      </c>
      <c r="B338" s="28">
        <f t="shared" si="35"/>
        <v>44713</v>
      </c>
      <c r="C338">
        <v>2022</v>
      </c>
      <c r="D338" t="s">
        <v>38</v>
      </c>
      <c r="E338" t="str">
        <f t="shared" si="36"/>
        <v>Jun-22</v>
      </c>
      <c r="F338">
        <f>VLOOKUP(D338,'Problem Statement 4'!$G$2:$H$13,2,0)</f>
        <v>6</v>
      </c>
      <c r="G338">
        <v>153.80000000000001</v>
      </c>
      <c r="H338">
        <v>217.2</v>
      </c>
      <c r="I338">
        <v>169.6</v>
      </c>
      <c r="J338">
        <v>165.4</v>
      </c>
      <c r="K338">
        <v>208.1</v>
      </c>
      <c r="L338">
        <v>165.8</v>
      </c>
      <c r="M338">
        <v>167.3</v>
      </c>
      <c r="N338">
        <v>164.6</v>
      </c>
      <c r="O338">
        <v>119.1</v>
      </c>
      <c r="P338">
        <v>188.9</v>
      </c>
      <c r="Q338">
        <v>174.2</v>
      </c>
      <c r="R338">
        <v>181.9</v>
      </c>
      <c r="S338">
        <v>172.4</v>
      </c>
      <c r="T338">
        <v>192.9</v>
      </c>
      <c r="U338">
        <v>180.7</v>
      </c>
      <c r="V338">
        <v>178.7</v>
      </c>
      <c r="W338">
        <v>180.4</v>
      </c>
      <c r="X338">
        <v>166.8</v>
      </c>
      <c r="Y338">
        <v>176.7</v>
      </c>
      <c r="Z338">
        <v>170.3</v>
      </c>
      <c r="AA338">
        <v>178.2</v>
      </c>
      <c r="AB338">
        <v>165.5</v>
      </c>
      <c r="AC338">
        <v>168</v>
      </c>
      <c r="AD338">
        <v>172.6</v>
      </c>
      <c r="AE338">
        <v>169.5</v>
      </c>
      <c r="AF338">
        <v>171</v>
      </c>
      <c r="AG338">
        <v>173.6</v>
      </c>
      <c r="AH338">
        <f t="shared" si="37"/>
        <v>2248.3000000000002</v>
      </c>
      <c r="AI338">
        <f t="shared" si="38"/>
        <v>176.7</v>
      </c>
      <c r="AJ338">
        <f t="shared" si="39"/>
        <v>165.5</v>
      </c>
      <c r="AK338">
        <f t="shared" si="40"/>
        <v>172.6</v>
      </c>
      <c r="AL338">
        <f t="shared" si="41"/>
        <v>1756.5</v>
      </c>
    </row>
    <row r="339" spans="1:38" x14ac:dyDescent="0.3">
      <c r="A339" t="s">
        <v>32</v>
      </c>
      <c r="B339" s="28">
        <f t="shared" si="35"/>
        <v>44713</v>
      </c>
      <c r="C339">
        <v>2022</v>
      </c>
      <c r="D339" t="s">
        <v>38</v>
      </c>
      <c r="E339" t="str">
        <f t="shared" si="36"/>
        <v>Jun-22</v>
      </c>
      <c r="F339">
        <f>VLOOKUP(D339,'Problem Statement 4'!$G$2:$H$13,2,0)</f>
        <v>6</v>
      </c>
      <c r="G339">
        <v>157.5</v>
      </c>
      <c r="H339">
        <v>223.4</v>
      </c>
      <c r="I339">
        <v>172.8</v>
      </c>
      <c r="J339">
        <v>166.4</v>
      </c>
      <c r="K339">
        <v>188.6</v>
      </c>
      <c r="L339">
        <v>174.1</v>
      </c>
      <c r="M339">
        <v>211.5</v>
      </c>
      <c r="N339">
        <v>163.6</v>
      </c>
      <c r="O339">
        <v>121.4</v>
      </c>
      <c r="P339">
        <v>183.5</v>
      </c>
      <c r="Q339">
        <v>159.1</v>
      </c>
      <c r="R339">
        <v>186.3</v>
      </c>
      <c r="S339">
        <v>179.3</v>
      </c>
      <c r="T339">
        <v>198.3</v>
      </c>
      <c r="U339">
        <v>171.6</v>
      </c>
      <c r="V339">
        <v>157.4</v>
      </c>
      <c r="W339">
        <v>169.4</v>
      </c>
      <c r="X339">
        <v>166.8</v>
      </c>
      <c r="Y339">
        <v>174.9</v>
      </c>
      <c r="Z339">
        <v>162.1</v>
      </c>
      <c r="AA339">
        <v>170.9</v>
      </c>
      <c r="AB339">
        <v>157.19999999999999</v>
      </c>
      <c r="AC339">
        <v>164.1</v>
      </c>
      <c r="AD339">
        <v>166.5</v>
      </c>
      <c r="AE339">
        <v>169.2</v>
      </c>
      <c r="AF339">
        <v>163.80000000000001</v>
      </c>
      <c r="AG339">
        <v>171.4</v>
      </c>
      <c r="AH339">
        <f t="shared" si="37"/>
        <v>2287.5</v>
      </c>
      <c r="AI339">
        <f t="shared" si="38"/>
        <v>174.9</v>
      </c>
      <c r="AJ339">
        <f t="shared" si="39"/>
        <v>157.19999999999999</v>
      </c>
      <c r="AK339">
        <f t="shared" si="40"/>
        <v>166.5</v>
      </c>
      <c r="AL339">
        <f t="shared" si="41"/>
        <v>1693.6</v>
      </c>
    </row>
    <row r="340" spans="1:38" x14ac:dyDescent="0.3">
      <c r="A340" t="s">
        <v>33</v>
      </c>
      <c r="B340" s="28">
        <f t="shared" si="35"/>
        <v>44713</v>
      </c>
      <c r="C340">
        <v>2022</v>
      </c>
      <c r="D340" t="s">
        <v>38</v>
      </c>
      <c r="E340" t="str">
        <f t="shared" si="36"/>
        <v>Jun-22</v>
      </c>
      <c r="F340">
        <f>VLOOKUP(D340,'Problem Statement 4'!$G$2:$H$13,2,0)</f>
        <v>6</v>
      </c>
      <c r="G340">
        <v>155</v>
      </c>
      <c r="H340">
        <v>219.4</v>
      </c>
      <c r="I340">
        <v>170.8</v>
      </c>
      <c r="J340">
        <v>165.8</v>
      </c>
      <c r="K340">
        <v>200.9</v>
      </c>
      <c r="L340">
        <v>169.7</v>
      </c>
      <c r="M340">
        <v>182.3</v>
      </c>
      <c r="N340">
        <v>164.3</v>
      </c>
      <c r="O340">
        <v>119.9</v>
      </c>
      <c r="P340">
        <v>187.1</v>
      </c>
      <c r="Q340">
        <v>167.9</v>
      </c>
      <c r="R340">
        <v>183.9</v>
      </c>
      <c r="S340">
        <v>174.9</v>
      </c>
      <c r="T340">
        <v>194.3</v>
      </c>
      <c r="U340">
        <v>177.1</v>
      </c>
      <c r="V340">
        <v>169.9</v>
      </c>
      <c r="W340">
        <v>176</v>
      </c>
      <c r="X340">
        <v>166.8</v>
      </c>
      <c r="Y340">
        <v>176</v>
      </c>
      <c r="Z340">
        <v>166.4</v>
      </c>
      <c r="AA340">
        <v>175.4</v>
      </c>
      <c r="AB340">
        <v>161.1</v>
      </c>
      <c r="AC340">
        <v>165.8</v>
      </c>
      <c r="AD340">
        <v>169</v>
      </c>
      <c r="AE340">
        <v>169.4</v>
      </c>
      <c r="AF340">
        <v>167.5</v>
      </c>
      <c r="AG340">
        <v>172.6</v>
      </c>
      <c r="AH340">
        <f t="shared" si="37"/>
        <v>2261.9</v>
      </c>
      <c r="AI340">
        <f t="shared" si="38"/>
        <v>176</v>
      </c>
      <c r="AJ340">
        <f t="shared" si="39"/>
        <v>161.1</v>
      </c>
      <c r="AK340">
        <f t="shared" si="40"/>
        <v>169</v>
      </c>
      <c r="AL340">
        <f t="shared" si="41"/>
        <v>1728.6000000000001</v>
      </c>
    </row>
    <row r="341" spans="1:38" x14ac:dyDescent="0.3">
      <c r="A341" t="s">
        <v>30</v>
      </c>
      <c r="B341" s="28">
        <f t="shared" si="35"/>
        <v>44743</v>
      </c>
      <c r="C341">
        <v>2022</v>
      </c>
      <c r="D341" t="s">
        <v>39</v>
      </c>
      <c r="E341" t="str">
        <f t="shared" si="36"/>
        <v>Jul-22</v>
      </c>
      <c r="F341">
        <f>VLOOKUP(D341,'Problem Statement 4'!$G$2:$H$13,2,0)</f>
        <v>7</v>
      </c>
      <c r="G341">
        <v>155.19999999999999</v>
      </c>
      <c r="H341">
        <v>210.8</v>
      </c>
      <c r="I341">
        <v>174.3</v>
      </c>
      <c r="J341">
        <v>166.3</v>
      </c>
      <c r="K341">
        <v>202.2</v>
      </c>
      <c r="L341">
        <v>169.6</v>
      </c>
      <c r="M341">
        <v>168.6</v>
      </c>
      <c r="N341">
        <v>164.4</v>
      </c>
      <c r="O341">
        <v>119.2</v>
      </c>
      <c r="P341">
        <v>191.8</v>
      </c>
      <c r="Q341">
        <v>174.5</v>
      </c>
      <c r="R341">
        <v>183.1</v>
      </c>
      <c r="S341">
        <v>172.5</v>
      </c>
      <c r="T341">
        <v>193.2</v>
      </c>
      <c r="U341">
        <v>182</v>
      </c>
      <c r="V341">
        <v>180.3</v>
      </c>
      <c r="W341">
        <v>181.7</v>
      </c>
      <c r="X341">
        <v>167.8</v>
      </c>
      <c r="Y341">
        <v>179.6</v>
      </c>
      <c r="Z341">
        <v>171.3</v>
      </c>
      <c r="AA341">
        <v>178.8</v>
      </c>
      <c r="AB341">
        <v>166.3</v>
      </c>
      <c r="AC341">
        <v>168.6</v>
      </c>
      <c r="AD341">
        <v>174.7</v>
      </c>
      <c r="AE341">
        <v>169.7</v>
      </c>
      <c r="AF341">
        <v>171.8</v>
      </c>
      <c r="AG341">
        <v>174.3</v>
      </c>
      <c r="AH341">
        <f t="shared" si="37"/>
        <v>2252.5</v>
      </c>
      <c r="AI341">
        <f t="shared" si="38"/>
        <v>179.6</v>
      </c>
      <c r="AJ341">
        <f t="shared" si="39"/>
        <v>166.3</v>
      </c>
      <c r="AK341">
        <f t="shared" si="40"/>
        <v>174.7</v>
      </c>
      <c r="AL341">
        <f t="shared" si="41"/>
        <v>1765.1999999999998</v>
      </c>
    </row>
    <row r="342" spans="1:38" x14ac:dyDescent="0.3">
      <c r="A342" t="s">
        <v>32</v>
      </c>
      <c r="B342" s="28">
        <f t="shared" si="35"/>
        <v>44743</v>
      </c>
      <c r="C342">
        <v>2022</v>
      </c>
      <c r="D342" t="s">
        <v>39</v>
      </c>
      <c r="E342" t="str">
        <f t="shared" si="36"/>
        <v>Jul-22</v>
      </c>
      <c r="F342">
        <f>VLOOKUP(D342,'Problem Statement 4'!$G$2:$H$13,2,0)</f>
        <v>7</v>
      </c>
      <c r="G342">
        <v>159.30000000000001</v>
      </c>
      <c r="H342">
        <v>217.1</v>
      </c>
      <c r="I342">
        <v>176.6</v>
      </c>
      <c r="J342">
        <v>167.1</v>
      </c>
      <c r="K342">
        <v>184.8</v>
      </c>
      <c r="L342">
        <v>179.5</v>
      </c>
      <c r="M342">
        <v>208.5</v>
      </c>
      <c r="N342">
        <v>164</v>
      </c>
      <c r="O342">
        <v>121.5</v>
      </c>
      <c r="P342">
        <v>186.3</v>
      </c>
      <c r="Q342">
        <v>159.80000000000001</v>
      </c>
      <c r="R342">
        <v>187.7</v>
      </c>
      <c r="S342">
        <v>179.4</v>
      </c>
      <c r="T342">
        <v>198.6</v>
      </c>
      <c r="U342">
        <v>172.7</v>
      </c>
      <c r="V342">
        <v>158.69999999999999</v>
      </c>
      <c r="W342">
        <v>170.6</v>
      </c>
      <c r="X342">
        <v>167.8</v>
      </c>
      <c r="Y342">
        <v>179.5</v>
      </c>
      <c r="Z342">
        <v>163.1</v>
      </c>
      <c r="AA342">
        <v>171.7</v>
      </c>
      <c r="AB342">
        <v>157.4</v>
      </c>
      <c r="AC342">
        <v>164.6</v>
      </c>
      <c r="AD342">
        <v>169.1</v>
      </c>
      <c r="AE342">
        <v>169.8</v>
      </c>
      <c r="AF342">
        <v>164.7</v>
      </c>
      <c r="AG342">
        <v>172.3</v>
      </c>
      <c r="AH342">
        <f t="shared" si="37"/>
        <v>2291.6</v>
      </c>
      <c r="AI342">
        <f t="shared" si="38"/>
        <v>179.5</v>
      </c>
      <c r="AJ342">
        <f t="shared" si="39"/>
        <v>157.4</v>
      </c>
      <c r="AK342">
        <f t="shared" si="40"/>
        <v>169.1</v>
      </c>
      <c r="AL342">
        <f t="shared" si="41"/>
        <v>1702.3</v>
      </c>
    </row>
    <row r="343" spans="1:38" x14ac:dyDescent="0.3">
      <c r="A343" t="s">
        <v>33</v>
      </c>
      <c r="B343" s="28">
        <f t="shared" si="35"/>
        <v>44743</v>
      </c>
      <c r="C343">
        <v>2022</v>
      </c>
      <c r="D343" t="s">
        <v>39</v>
      </c>
      <c r="E343" t="str">
        <f t="shared" si="36"/>
        <v>Jul-22</v>
      </c>
      <c r="F343">
        <f>VLOOKUP(D343,'Problem Statement 4'!$G$2:$H$13,2,0)</f>
        <v>7</v>
      </c>
      <c r="G343">
        <v>156.5</v>
      </c>
      <c r="H343">
        <v>213</v>
      </c>
      <c r="I343">
        <v>175.2</v>
      </c>
      <c r="J343">
        <v>166.6</v>
      </c>
      <c r="K343">
        <v>195.8</v>
      </c>
      <c r="L343">
        <v>174.2</v>
      </c>
      <c r="M343">
        <v>182.1</v>
      </c>
      <c r="N343">
        <v>164.3</v>
      </c>
      <c r="O343">
        <v>120</v>
      </c>
      <c r="P343">
        <v>190</v>
      </c>
      <c r="Q343">
        <v>168.4</v>
      </c>
      <c r="R343">
        <v>185.2</v>
      </c>
      <c r="S343">
        <v>175</v>
      </c>
      <c r="T343">
        <v>194.6</v>
      </c>
      <c r="U343">
        <v>178.3</v>
      </c>
      <c r="V343">
        <v>171.3</v>
      </c>
      <c r="W343">
        <v>177.3</v>
      </c>
      <c r="X343">
        <v>167.8</v>
      </c>
      <c r="Y343">
        <v>179.6</v>
      </c>
      <c r="Z343">
        <v>167.4</v>
      </c>
      <c r="AA343">
        <v>176.1</v>
      </c>
      <c r="AB343">
        <v>161.6</v>
      </c>
      <c r="AC343">
        <v>166.3</v>
      </c>
      <c r="AD343">
        <v>171.4</v>
      </c>
      <c r="AE343">
        <v>169.7</v>
      </c>
      <c r="AF343">
        <v>168.4</v>
      </c>
      <c r="AG343">
        <v>173.4</v>
      </c>
      <c r="AH343">
        <f t="shared" si="37"/>
        <v>2266.3000000000002</v>
      </c>
      <c r="AI343">
        <f t="shared" si="38"/>
        <v>179.6</v>
      </c>
      <c r="AJ343">
        <f t="shared" si="39"/>
        <v>161.6</v>
      </c>
      <c r="AK343">
        <f t="shared" si="40"/>
        <v>171.4</v>
      </c>
      <c r="AL343">
        <f t="shared" si="41"/>
        <v>1737.2</v>
      </c>
    </row>
    <row r="344" spans="1:38" x14ac:dyDescent="0.3">
      <c r="A344" t="s">
        <v>30</v>
      </c>
      <c r="B344" s="28">
        <f t="shared" si="35"/>
        <v>44774</v>
      </c>
      <c r="C344">
        <v>2022</v>
      </c>
      <c r="D344" t="s">
        <v>40</v>
      </c>
      <c r="E344" t="str">
        <f t="shared" si="36"/>
        <v>Aug-22</v>
      </c>
      <c r="F344">
        <f>VLOOKUP(D344,'Problem Statement 4'!$G$2:$H$13,2,0)</f>
        <v>8</v>
      </c>
      <c r="G344">
        <v>159.5</v>
      </c>
      <c r="H344">
        <v>204.1</v>
      </c>
      <c r="I344">
        <v>168.3</v>
      </c>
      <c r="J344">
        <v>167.9</v>
      </c>
      <c r="K344">
        <v>198.1</v>
      </c>
      <c r="L344">
        <v>169.2</v>
      </c>
      <c r="M344">
        <v>173.1</v>
      </c>
      <c r="N344">
        <v>167.1</v>
      </c>
      <c r="O344">
        <v>120.2</v>
      </c>
      <c r="P344">
        <v>195.6</v>
      </c>
      <c r="Q344">
        <v>174.8</v>
      </c>
      <c r="R344">
        <v>184</v>
      </c>
      <c r="S344">
        <v>173.9</v>
      </c>
      <c r="T344">
        <v>193.7</v>
      </c>
      <c r="U344">
        <v>183.2</v>
      </c>
      <c r="V344">
        <v>181.7</v>
      </c>
      <c r="W344">
        <v>183</v>
      </c>
      <c r="X344">
        <v>169</v>
      </c>
      <c r="Y344">
        <v>179.1</v>
      </c>
      <c r="Z344">
        <v>172.3</v>
      </c>
      <c r="AA344">
        <v>179.4</v>
      </c>
      <c r="AB344">
        <v>166.6</v>
      </c>
      <c r="AC344">
        <v>169.3</v>
      </c>
      <c r="AD344">
        <v>175.7</v>
      </c>
      <c r="AE344">
        <v>171.1</v>
      </c>
      <c r="AF344">
        <v>172.6</v>
      </c>
      <c r="AG344">
        <v>175.3</v>
      </c>
      <c r="AH344">
        <f t="shared" si="37"/>
        <v>2255.7999999999997</v>
      </c>
      <c r="AI344">
        <f t="shared" si="38"/>
        <v>179.1</v>
      </c>
      <c r="AJ344">
        <f t="shared" si="39"/>
        <v>166.6</v>
      </c>
      <c r="AK344">
        <f t="shared" si="40"/>
        <v>175.7</v>
      </c>
      <c r="AL344">
        <f t="shared" si="41"/>
        <v>1775.2999999999997</v>
      </c>
    </row>
    <row r="345" spans="1:38" x14ac:dyDescent="0.3">
      <c r="A345" t="s">
        <v>32</v>
      </c>
      <c r="B345" s="28">
        <f t="shared" si="35"/>
        <v>44774</v>
      </c>
      <c r="C345">
        <v>2022</v>
      </c>
      <c r="D345" t="s">
        <v>40</v>
      </c>
      <c r="E345" t="str">
        <f t="shared" si="36"/>
        <v>Aug-22</v>
      </c>
      <c r="F345">
        <f>VLOOKUP(D345,'Problem Statement 4'!$G$2:$H$13,2,0)</f>
        <v>8</v>
      </c>
      <c r="G345">
        <v>162.1</v>
      </c>
      <c r="H345">
        <v>210.9</v>
      </c>
      <c r="I345">
        <v>170.6</v>
      </c>
      <c r="J345">
        <v>168.4</v>
      </c>
      <c r="K345">
        <v>182.5</v>
      </c>
      <c r="L345">
        <v>177.1</v>
      </c>
      <c r="M345">
        <v>213.1</v>
      </c>
      <c r="N345">
        <v>167.3</v>
      </c>
      <c r="O345">
        <v>122.2</v>
      </c>
      <c r="P345">
        <v>189.7</v>
      </c>
      <c r="Q345">
        <v>160.5</v>
      </c>
      <c r="R345">
        <v>188.9</v>
      </c>
      <c r="S345">
        <v>180.4</v>
      </c>
      <c r="T345">
        <v>198.7</v>
      </c>
      <c r="U345">
        <v>173.7</v>
      </c>
      <c r="V345">
        <v>160</v>
      </c>
      <c r="W345">
        <v>171.6</v>
      </c>
      <c r="X345">
        <v>169</v>
      </c>
      <c r="Y345">
        <v>178.4</v>
      </c>
      <c r="Z345">
        <v>164.2</v>
      </c>
      <c r="AA345">
        <v>172.6</v>
      </c>
      <c r="AB345">
        <v>157.69999999999999</v>
      </c>
      <c r="AC345">
        <v>165.1</v>
      </c>
      <c r="AD345">
        <v>169.9</v>
      </c>
      <c r="AE345">
        <v>171.4</v>
      </c>
      <c r="AF345">
        <v>165.4</v>
      </c>
      <c r="AG345">
        <v>173.1</v>
      </c>
      <c r="AH345">
        <f t="shared" si="37"/>
        <v>2293.6999999999998</v>
      </c>
      <c r="AI345">
        <f t="shared" si="38"/>
        <v>178.4</v>
      </c>
      <c r="AJ345">
        <f t="shared" si="39"/>
        <v>157.69999999999999</v>
      </c>
      <c r="AK345">
        <f t="shared" si="40"/>
        <v>169.9</v>
      </c>
      <c r="AL345">
        <f t="shared" si="41"/>
        <v>1711.7</v>
      </c>
    </row>
    <row r="346" spans="1:38" x14ac:dyDescent="0.3">
      <c r="A346" t="s">
        <v>33</v>
      </c>
      <c r="B346" s="28">
        <f t="shared" si="35"/>
        <v>44774</v>
      </c>
      <c r="C346">
        <v>2022</v>
      </c>
      <c r="D346" t="s">
        <v>40</v>
      </c>
      <c r="E346" t="str">
        <f t="shared" si="36"/>
        <v>Aug-22</v>
      </c>
      <c r="F346">
        <f>VLOOKUP(D346,'Problem Statement 4'!$G$2:$H$13,2,0)</f>
        <v>8</v>
      </c>
      <c r="G346">
        <v>160.30000000000001</v>
      </c>
      <c r="H346">
        <v>206.5</v>
      </c>
      <c r="I346">
        <v>169.2</v>
      </c>
      <c r="J346">
        <v>168.1</v>
      </c>
      <c r="K346">
        <v>192.4</v>
      </c>
      <c r="L346">
        <v>172.9</v>
      </c>
      <c r="M346">
        <v>186.7</v>
      </c>
      <c r="N346">
        <v>167.2</v>
      </c>
      <c r="O346">
        <v>120.9</v>
      </c>
      <c r="P346">
        <v>193.6</v>
      </c>
      <c r="Q346">
        <v>168.8</v>
      </c>
      <c r="R346">
        <v>186.3</v>
      </c>
      <c r="S346">
        <v>176.3</v>
      </c>
      <c r="T346">
        <v>195</v>
      </c>
      <c r="U346">
        <v>179.5</v>
      </c>
      <c r="V346">
        <v>172.7</v>
      </c>
      <c r="W346">
        <v>178.5</v>
      </c>
      <c r="X346">
        <v>169</v>
      </c>
      <c r="Y346">
        <v>178.8</v>
      </c>
      <c r="Z346">
        <v>168.5</v>
      </c>
      <c r="AA346">
        <v>176.8</v>
      </c>
      <c r="AB346">
        <v>161.9</v>
      </c>
      <c r="AC346">
        <v>166.9</v>
      </c>
      <c r="AD346">
        <v>172.3</v>
      </c>
      <c r="AE346">
        <v>171.2</v>
      </c>
      <c r="AF346">
        <v>169.1</v>
      </c>
      <c r="AG346">
        <v>174.3</v>
      </c>
      <c r="AH346">
        <f t="shared" si="37"/>
        <v>2269.2000000000003</v>
      </c>
      <c r="AI346">
        <f t="shared" si="38"/>
        <v>178.8</v>
      </c>
      <c r="AJ346">
        <f t="shared" si="39"/>
        <v>161.9</v>
      </c>
      <c r="AK346">
        <f t="shared" si="40"/>
        <v>172.3</v>
      </c>
      <c r="AL346">
        <f t="shared" si="41"/>
        <v>1747.2</v>
      </c>
    </row>
    <row r="347" spans="1:38" x14ac:dyDescent="0.3">
      <c r="A347" t="s">
        <v>30</v>
      </c>
      <c r="B347" s="28">
        <f t="shared" si="35"/>
        <v>44805</v>
      </c>
      <c r="C347">
        <v>2022</v>
      </c>
      <c r="D347" t="s">
        <v>41</v>
      </c>
      <c r="E347" t="str">
        <f t="shared" si="36"/>
        <v>Sep-22</v>
      </c>
      <c r="F347">
        <f>VLOOKUP(D347,'Problem Statement 4'!$G$2:$H$13,2,0)</f>
        <v>9</v>
      </c>
      <c r="G347">
        <v>162.9</v>
      </c>
      <c r="H347">
        <v>206.7</v>
      </c>
      <c r="I347">
        <v>169</v>
      </c>
      <c r="J347">
        <v>169.5</v>
      </c>
      <c r="K347">
        <v>194.1</v>
      </c>
      <c r="L347">
        <v>164.1</v>
      </c>
      <c r="M347">
        <v>176.9</v>
      </c>
      <c r="N347">
        <v>169</v>
      </c>
      <c r="O347">
        <v>120.8</v>
      </c>
      <c r="P347">
        <v>199.1</v>
      </c>
      <c r="Q347">
        <v>175.4</v>
      </c>
      <c r="R347">
        <v>184.8</v>
      </c>
      <c r="S347">
        <v>175.5</v>
      </c>
      <c r="T347">
        <v>194.5</v>
      </c>
      <c r="U347">
        <v>184.7</v>
      </c>
      <c r="V347">
        <v>183.3</v>
      </c>
      <c r="W347">
        <v>184.5</v>
      </c>
      <c r="X347">
        <v>169.5</v>
      </c>
      <c r="Y347">
        <v>179.7</v>
      </c>
      <c r="Z347">
        <v>173.6</v>
      </c>
      <c r="AA347">
        <v>180.2</v>
      </c>
      <c r="AB347">
        <v>166.9</v>
      </c>
      <c r="AC347">
        <v>170</v>
      </c>
      <c r="AD347">
        <v>176.2</v>
      </c>
      <c r="AE347">
        <v>170.8</v>
      </c>
      <c r="AF347">
        <v>173.1</v>
      </c>
      <c r="AG347">
        <v>176.4</v>
      </c>
      <c r="AH347">
        <f t="shared" si="37"/>
        <v>2267.8000000000002</v>
      </c>
      <c r="AI347">
        <f t="shared" si="38"/>
        <v>179.7</v>
      </c>
      <c r="AJ347">
        <f t="shared" si="39"/>
        <v>166.9</v>
      </c>
      <c r="AK347">
        <f t="shared" si="40"/>
        <v>176.2</v>
      </c>
      <c r="AL347">
        <f t="shared" si="41"/>
        <v>1784.1999999999998</v>
      </c>
    </row>
    <row r="348" spans="1:38" x14ac:dyDescent="0.3">
      <c r="A348" t="s">
        <v>32</v>
      </c>
      <c r="B348" s="28">
        <f t="shared" si="35"/>
        <v>44805</v>
      </c>
      <c r="C348">
        <v>2022</v>
      </c>
      <c r="D348" t="s">
        <v>41</v>
      </c>
      <c r="E348" t="str">
        <f t="shared" si="36"/>
        <v>Sep-22</v>
      </c>
      <c r="F348">
        <f>VLOOKUP(D348,'Problem Statement 4'!$G$2:$H$13,2,0)</f>
        <v>9</v>
      </c>
      <c r="G348">
        <v>164.9</v>
      </c>
      <c r="H348">
        <v>213.7</v>
      </c>
      <c r="I348">
        <v>170.9</v>
      </c>
      <c r="J348">
        <v>170.1</v>
      </c>
      <c r="K348">
        <v>179.3</v>
      </c>
      <c r="L348">
        <v>167.5</v>
      </c>
      <c r="M348">
        <v>220.8</v>
      </c>
      <c r="N348">
        <v>169.2</v>
      </c>
      <c r="O348">
        <v>123.1</v>
      </c>
      <c r="P348">
        <v>193.6</v>
      </c>
      <c r="Q348">
        <v>161.1</v>
      </c>
      <c r="R348">
        <v>190.4</v>
      </c>
      <c r="S348">
        <v>181.8</v>
      </c>
      <c r="T348">
        <v>199.7</v>
      </c>
      <c r="U348">
        <v>175</v>
      </c>
      <c r="V348">
        <v>161.69999999999999</v>
      </c>
      <c r="W348">
        <v>173</v>
      </c>
      <c r="X348">
        <v>169.5</v>
      </c>
      <c r="Y348">
        <v>179.2</v>
      </c>
      <c r="Z348">
        <v>165</v>
      </c>
      <c r="AA348">
        <v>173.8</v>
      </c>
      <c r="AB348">
        <v>158.19999999999999</v>
      </c>
      <c r="AC348">
        <v>165.8</v>
      </c>
      <c r="AD348">
        <v>170.9</v>
      </c>
      <c r="AE348">
        <v>171.1</v>
      </c>
      <c r="AF348">
        <v>166.1</v>
      </c>
      <c r="AG348">
        <v>174.1</v>
      </c>
      <c r="AH348">
        <f t="shared" si="37"/>
        <v>2306.4</v>
      </c>
      <c r="AI348">
        <f t="shared" si="38"/>
        <v>179.2</v>
      </c>
      <c r="AJ348">
        <f t="shared" si="39"/>
        <v>158.19999999999999</v>
      </c>
      <c r="AK348">
        <f t="shared" si="40"/>
        <v>170.9</v>
      </c>
      <c r="AL348">
        <f t="shared" si="41"/>
        <v>1720.6999999999998</v>
      </c>
    </row>
    <row r="349" spans="1:38" x14ac:dyDescent="0.3">
      <c r="A349" t="s">
        <v>33</v>
      </c>
      <c r="B349" s="28">
        <f t="shared" si="35"/>
        <v>44805</v>
      </c>
      <c r="C349">
        <v>2022</v>
      </c>
      <c r="D349" t="s">
        <v>41</v>
      </c>
      <c r="E349" t="str">
        <f t="shared" si="36"/>
        <v>Sep-22</v>
      </c>
      <c r="F349">
        <f>VLOOKUP(D349,'Problem Statement 4'!$G$2:$H$13,2,0)</f>
        <v>9</v>
      </c>
      <c r="G349">
        <v>163.5</v>
      </c>
      <c r="H349">
        <v>209.2</v>
      </c>
      <c r="I349">
        <v>169.7</v>
      </c>
      <c r="J349">
        <v>169.7</v>
      </c>
      <c r="K349">
        <v>188.7</v>
      </c>
      <c r="L349">
        <v>165.7</v>
      </c>
      <c r="M349">
        <v>191.8</v>
      </c>
      <c r="N349">
        <v>169.1</v>
      </c>
      <c r="O349">
        <v>121.6</v>
      </c>
      <c r="P349">
        <v>197.3</v>
      </c>
      <c r="Q349">
        <v>169.4</v>
      </c>
      <c r="R349">
        <v>187.4</v>
      </c>
      <c r="S349">
        <v>177.8</v>
      </c>
      <c r="T349">
        <v>195.9</v>
      </c>
      <c r="U349">
        <v>180.9</v>
      </c>
      <c r="V349">
        <v>174.3</v>
      </c>
      <c r="W349">
        <v>179.9</v>
      </c>
      <c r="X349">
        <v>169.5</v>
      </c>
      <c r="Y349">
        <v>179.5</v>
      </c>
      <c r="Z349">
        <v>169.5</v>
      </c>
      <c r="AA349">
        <v>177.8</v>
      </c>
      <c r="AB349">
        <v>162.30000000000001</v>
      </c>
      <c r="AC349">
        <v>167.6</v>
      </c>
      <c r="AD349">
        <v>173.1</v>
      </c>
      <c r="AE349">
        <v>170.9</v>
      </c>
      <c r="AF349">
        <v>169.7</v>
      </c>
      <c r="AG349">
        <v>175.3</v>
      </c>
      <c r="AH349">
        <f t="shared" si="37"/>
        <v>2280.9</v>
      </c>
      <c r="AI349">
        <f t="shared" si="38"/>
        <v>179.5</v>
      </c>
      <c r="AJ349">
        <f t="shared" si="39"/>
        <v>162.30000000000001</v>
      </c>
      <c r="AK349">
        <f t="shared" si="40"/>
        <v>173.1</v>
      </c>
      <c r="AL349">
        <f t="shared" si="41"/>
        <v>1756</v>
      </c>
    </row>
    <row r="350" spans="1:38" x14ac:dyDescent="0.3">
      <c r="A350" t="s">
        <v>30</v>
      </c>
      <c r="B350" s="28">
        <f t="shared" si="35"/>
        <v>44835</v>
      </c>
      <c r="C350">
        <v>2022</v>
      </c>
      <c r="D350" t="s">
        <v>42</v>
      </c>
      <c r="E350" t="str">
        <f t="shared" si="36"/>
        <v>Oct-22</v>
      </c>
      <c r="F350">
        <f>VLOOKUP(D350,'Problem Statement 4'!$G$2:$H$13,2,0)</f>
        <v>10</v>
      </c>
      <c r="G350">
        <v>164.7</v>
      </c>
      <c r="H350">
        <v>208.8</v>
      </c>
      <c r="I350">
        <v>170.3</v>
      </c>
      <c r="J350">
        <v>170.9</v>
      </c>
      <c r="K350">
        <v>191.6</v>
      </c>
      <c r="L350">
        <v>162.19999999999999</v>
      </c>
      <c r="M350">
        <v>184.8</v>
      </c>
      <c r="N350">
        <v>169.7</v>
      </c>
      <c r="O350">
        <v>121.1</v>
      </c>
      <c r="P350">
        <v>201.6</v>
      </c>
      <c r="Q350">
        <v>175.8</v>
      </c>
      <c r="R350">
        <v>185.6</v>
      </c>
      <c r="S350">
        <v>177.4</v>
      </c>
      <c r="T350">
        <v>194.9</v>
      </c>
      <c r="U350">
        <v>186.1</v>
      </c>
      <c r="V350">
        <v>184.4</v>
      </c>
      <c r="W350">
        <v>185.9</v>
      </c>
      <c r="X350">
        <v>171.2</v>
      </c>
      <c r="Y350">
        <v>180.8</v>
      </c>
      <c r="Z350">
        <v>174.4</v>
      </c>
      <c r="AA350">
        <v>181.2</v>
      </c>
      <c r="AB350">
        <v>167.4</v>
      </c>
      <c r="AC350">
        <v>170.6</v>
      </c>
      <c r="AD350">
        <v>176.5</v>
      </c>
      <c r="AE350">
        <v>172</v>
      </c>
      <c r="AF350">
        <v>173.9</v>
      </c>
      <c r="AG350">
        <v>177.9</v>
      </c>
      <c r="AH350">
        <f t="shared" si="37"/>
        <v>2284.5</v>
      </c>
      <c r="AI350">
        <f t="shared" si="38"/>
        <v>180.8</v>
      </c>
      <c r="AJ350">
        <f t="shared" si="39"/>
        <v>167.4</v>
      </c>
      <c r="AK350">
        <f t="shared" si="40"/>
        <v>176.5</v>
      </c>
      <c r="AL350">
        <f t="shared" si="41"/>
        <v>1794.6000000000001</v>
      </c>
    </row>
    <row r="351" spans="1:38" x14ac:dyDescent="0.3">
      <c r="A351" t="s">
        <v>32</v>
      </c>
      <c r="B351" s="28">
        <f t="shared" si="35"/>
        <v>44835</v>
      </c>
      <c r="C351">
        <v>2022</v>
      </c>
      <c r="D351" t="s">
        <v>42</v>
      </c>
      <c r="E351" t="str">
        <f t="shared" si="36"/>
        <v>Oct-22</v>
      </c>
      <c r="F351">
        <f>VLOOKUP(D351,'Problem Statement 4'!$G$2:$H$13,2,0)</f>
        <v>10</v>
      </c>
      <c r="G351">
        <v>166.4</v>
      </c>
      <c r="H351">
        <v>214.9</v>
      </c>
      <c r="I351">
        <v>171.9</v>
      </c>
      <c r="J351">
        <v>171</v>
      </c>
      <c r="K351">
        <v>177.7</v>
      </c>
      <c r="L351">
        <v>165.7</v>
      </c>
      <c r="M351">
        <v>228.6</v>
      </c>
      <c r="N351">
        <v>169.9</v>
      </c>
      <c r="O351">
        <v>123.4</v>
      </c>
      <c r="P351">
        <v>196.4</v>
      </c>
      <c r="Q351">
        <v>161.6</v>
      </c>
      <c r="R351">
        <v>191.5</v>
      </c>
      <c r="S351">
        <v>183.3</v>
      </c>
      <c r="T351">
        <v>200.1</v>
      </c>
      <c r="U351">
        <v>175.5</v>
      </c>
      <c r="V351">
        <v>162.6</v>
      </c>
      <c r="W351">
        <v>173.6</v>
      </c>
      <c r="X351">
        <v>171.2</v>
      </c>
      <c r="Y351">
        <v>180</v>
      </c>
      <c r="Z351">
        <v>166</v>
      </c>
      <c r="AA351">
        <v>174.7</v>
      </c>
      <c r="AB351">
        <v>158.80000000000001</v>
      </c>
      <c r="AC351">
        <v>166.3</v>
      </c>
      <c r="AD351">
        <v>171.2</v>
      </c>
      <c r="AE351">
        <v>172.3</v>
      </c>
      <c r="AF351">
        <v>166.8</v>
      </c>
      <c r="AG351">
        <v>175.3</v>
      </c>
      <c r="AH351">
        <f t="shared" si="37"/>
        <v>2322.3000000000002</v>
      </c>
      <c r="AI351">
        <f t="shared" si="38"/>
        <v>180</v>
      </c>
      <c r="AJ351">
        <f t="shared" si="39"/>
        <v>158.80000000000001</v>
      </c>
      <c r="AK351">
        <f t="shared" si="40"/>
        <v>171.2</v>
      </c>
      <c r="AL351">
        <f t="shared" si="41"/>
        <v>1729.1</v>
      </c>
    </row>
    <row r="352" spans="1:38" x14ac:dyDescent="0.3">
      <c r="A352" t="s">
        <v>33</v>
      </c>
      <c r="B352" s="28">
        <f t="shared" si="35"/>
        <v>44835</v>
      </c>
      <c r="C352">
        <v>2022</v>
      </c>
      <c r="D352" t="s">
        <v>42</v>
      </c>
      <c r="E352" t="str">
        <f t="shared" si="36"/>
        <v>Oct-22</v>
      </c>
      <c r="F352">
        <f>VLOOKUP(D352,'Problem Statement 4'!$G$2:$H$13,2,0)</f>
        <v>10</v>
      </c>
      <c r="G352">
        <v>165.2</v>
      </c>
      <c r="H352">
        <v>210.9</v>
      </c>
      <c r="I352">
        <v>170.9</v>
      </c>
      <c r="J352">
        <v>170.9</v>
      </c>
      <c r="K352">
        <v>186.5</v>
      </c>
      <c r="L352">
        <v>163.80000000000001</v>
      </c>
      <c r="M352">
        <v>199.7</v>
      </c>
      <c r="N352">
        <v>169.8</v>
      </c>
      <c r="O352">
        <v>121.9</v>
      </c>
      <c r="P352">
        <v>199.9</v>
      </c>
      <c r="Q352">
        <v>169.9</v>
      </c>
      <c r="R352">
        <v>188.3</v>
      </c>
      <c r="S352">
        <v>179.6</v>
      </c>
      <c r="T352">
        <v>196.3</v>
      </c>
      <c r="U352">
        <v>181.9</v>
      </c>
      <c r="V352">
        <v>175.3</v>
      </c>
      <c r="W352">
        <v>181</v>
      </c>
      <c r="X352">
        <v>171.2</v>
      </c>
      <c r="Y352">
        <v>180.5</v>
      </c>
      <c r="Z352">
        <v>170.4</v>
      </c>
      <c r="AA352">
        <v>178.7</v>
      </c>
      <c r="AB352">
        <v>162.9</v>
      </c>
      <c r="AC352">
        <v>168.2</v>
      </c>
      <c r="AD352">
        <v>173.4</v>
      </c>
      <c r="AE352">
        <v>172.1</v>
      </c>
      <c r="AF352">
        <v>170.5</v>
      </c>
      <c r="AG352">
        <v>176.7</v>
      </c>
      <c r="AH352">
        <f t="shared" si="37"/>
        <v>2297.3000000000002</v>
      </c>
      <c r="AI352">
        <f t="shared" si="38"/>
        <v>180.5</v>
      </c>
      <c r="AJ352">
        <f t="shared" si="39"/>
        <v>162.9</v>
      </c>
      <c r="AK352">
        <f t="shared" si="40"/>
        <v>173.4</v>
      </c>
      <c r="AL352">
        <f t="shared" si="41"/>
        <v>1765.6000000000001</v>
      </c>
    </row>
    <row r="353" spans="1:38" x14ac:dyDescent="0.3">
      <c r="A353" t="s">
        <v>30</v>
      </c>
      <c r="B353" s="28">
        <f t="shared" si="35"/>
        <v>44866</v>
      </c>
      <c r="C353">
        <v>2022</v>
      </c>
      <c r="D353" t="s">
        <v>44</v>
      </c>
      <c r="E353" t="str">
        <f t="shared" si="36"/>
        <v>Nov-22</v>
      </c>
      <c r="F353">
        <f>VLOOKUP(D353,'Problem Statement 4'!$G$2:$H$13,2,0)</f>
        <v>11</v>
      </c>
      <c r="G353">
        <v>166.9</v>
      </c>
      <c r="H353">
        <v>207.2</v>
      </c>
      <c r="I353">
        <v>180.2</v>
      </c>
      <c r="J353">
        <v>172.3</v>
      </c>
      <c r="K353">
        <v>194</v>
      </c>
      <c r="L353">
        <v>159.1</v>
      </c>
      <c r="M353">
        <v>171.6</v>
      </c>
      <c r="N353">
        <v>170.2</v>
      </c>
      <c r="O353">
        <v>121.5</v>
      </c>
      <c r="P353">
        <v>204.8</v>
      </c>
      <c r="Q353">
        <v>176.4</v>
      </c>
      <c r="R353">
        <v>186.9</v>
      </c>
      <c r="S353">
        <v>176.6</v>
      </c>
      <c r="T353">
        <v>195.5</v>
      </c>
      <c r="U353">
        <v>187.2</v>
      </c>
      <c r="V353">
        <v>185.2</v>
      </c>
      <c r="W353">
        <v>186.9</v>
      </c>
      <c r="X353">
        <v>171.8</v>
      </c>
      <c r="Y353">
        <v>181.9</v>
      </c>
      <c r="Z353">
        <v>175.5</v>
      </c>
      <c r="AA353">
        <v>182.3</v>
      </c>
      <c r="AB353">
        <v>167.5</v>
      </c>
      <c r="AC353">
        <v>170.8</v>
      </c>
      <c r="AD353">
        <v>176.9</v>
      </c>
      <c r="AE353">
        <v>173.4</v>
      </c>
      <c r="AF353">
        <v>174.6</v>
      </c>
      <c r="AG353">
        <v>177.8</v>
      </c>
      <c r="AH353">
        <f t="shared" si="37"/>
        <v>2287.6999999999998</v>
      </c>
      <c r="AI353">
        <f t="shared" si="38"/>
        <v>181.9</v>
      </c>
      <c r="AJ353">
        <f t="shared" si="39"/>
        <v>167.5</v>
      </c>
      <c r="AK353">
        <f t="shared" si="40"/>
        <v>176.9</v>
      </c>
      <c r="AL353">
        <f t="shared" si="41"/>
        <v>1803.1999999999998</v>
      </c>
    </row>
    <row r="354" spans="1:38" x14ac:dyDescent="0.3">
      <c r="A354" t="s">
        <v>32</v>
      </c>
      <c r="B354" s="28">
        <f t="shared" si="35"/>
        <v>44866</v>
      </c>
      <c r="C354">
        <v>2022</v>
      </c>
      <c r="D354" t="s">
        <v>44</v>
      </c>
      <c r="E354" t="str">
        <f t="shared" si="36"/>
        <v>Nov-22</v>
      </c>
      <c r="F354">
        <f>VLOOKUP(D354,'Problem Statement 4'!$G$2:$H$13,2,0)</f>
        <v>11</v>
      </c>
      <c r="G354">
        <v>168.4</v>
      </c>
      <c r="H354">
        <v>213.4</v>
      </c>
      <c r="I354">
        <v>183.2</v>
      </c>
      <c r="J354">
        <v>172.3</v>
      </c>
      <c r="K354">
        <v>180</v>
      </c>
      <c r="L354">
        <v>162.6</v>
      </c>
      <c r="M354">
        <v>205.5</v>
      </c>
      <c r="N354">
        <v>171</v>
      </c>
      <c r="O354">
        <v>123.4</v>
      </c>
      <c r="P354">
        <v>198.8</v>
      </c>
      <c r="Q354">
        <v>162.1</v>
      </c>
      <c r="R354">
        <v>192.4</v>
      </c>
      <c r="S354">
        <v>181.3</v>
      </c>
      <c r="T354">
        <v>200.6</v>
      </c>
      <c r="U354">
        <v>176.7</v>
      </c>
      <c r="V354">
        <v>163.5</v>
      </c>
      <c r="W354">
        <v>174.7</v>
      </c>
      <c r="X354">
        <v>171.8</v>
      </c>
      <c r="Y354">
        <v>180.3</v>
      </c>
      <c r="Z354">
        <v>166.9</v>
      </c>
      <c r="AA354">
        <v>175.8</v>
      </c>
      <c r="AB354">
        <v>158.9</v>
      </c>
      <c r="AC354">
        <v>166.7</v>
      </c>
      <c r="AD354">
        <v>171.5</v>
      </c>
      <c r="AE354">
        <v>173.8</v>
      </c>
      <c r="AF354">
        <v>167.4</v>
      </c>
      <c r="AG354">
        <v>174.1</v>
      </c>
      <c r="AH354">
        <f t="shared" si="37"/>
        <v>2314.4</v>
      </c>
      <c r="AI354">
        <f t="shared" si="38"/>
        <v>180.3</v>
      </c>
      <c r="AJ354">
        <f t="shared" si="39"/>
        <v>158.9</v>
      </c>
      <c r="AK354">
        <f t="shared" si="40"/>
        <v>171.5</v>
      </c>
      <c r="AL354">
        <f t="shared" si="41"/>
        <v>1737.9</v>
      </c>
    </row>
    <row r="355" spans="1:38" x14ac:dyDescent="0.3">
      <c r="A355" t="s">
        <v>33</v>
      </c>
      <c r="B355" s="28">
        <f t="shared" si="35"/>
        <v>44866</v>
      </c>
      <c r="C355">
        <v>2022</v>
      </c>
      <c r="D355" t="s">
        <v>44</v>
      </c>
      <c r="E355" t="str">
        <f t="shared" si="36"/>
        <v>Nov-22</v>
      </c>
      <c r="F355">
        <f>VLOOKUP(D355,'Problem Statement 4'!$G$2:$H$13,2,0)</f>
        <v>11</v>
      </c>
      <c r="G355">
        <v>167.4</v>
      </c>
      <c r="H355">
        <v>209.4</v>
      </c>
      <c r="I355">
        <v>181.4</v>
      </c>
      <c r="J355">
        <v>172.3</v>
      </c>
      <c r="K355">
        <v>188.9</v>
      </c>
      <c r="L355">
        <v>160.69999999999999</v>
      </c>
      <c r="M355">
        <v>183.1</v>
      </c>
      <c r="N355">
        <v>170.5</v>
      </c>
      <c r="O355">
        <v>122.1</v>
      </c>
      <c r="P355">
        <v>202.8</v>
      </c>
      <c r="Q355">
        <v>170.4</v>
      </c>
      <c r="R355">
        <v>189.5</v>
      </c>
      <c r="S355">
        <v>178.3</v>
      </c>
      <c r="T355">
        <v>196.9</v>
      </c>
      <c r="U355">
        <v>183.1</v>
      </c>
      <c r="V355">
        <v>176.2</v>
      </c>
      <c r="W355">
        <v>182.1</v>
      </c>
      <c r="X355">
        <v>171.8</v>
      </c>
      <c r="Y355">
        <v>181.3</v>
      </c>
      <c r="Z355">
        <v>171.4</v>
      </c>
      <c r="AA355">
        <v>179.8</v>
      </c>
      <c r="AB355">
        <v>163</v>
      </c>
      <c r="AC355">
        <v>168.5</v>
      </c>
      <c r="AD355">
        <v>173.7</v>
      </c>
      <c r="AE355">
        <v>173.6</v>
      </c>
      <c r="AF355">
        <v>171.1</v>
      </c>
      <c r="AG355">
        <v>176.5</v>
      </c>
      <c r="AH355">
        <f t="shared" si="37"/>
        <v>2296.8000000000002</v>
      </c>
      <c r="AI355">
        <f t="shared" si="38"/>
        <v>181.3</v>
      </c>
      <c r="AJ355">
        <f t="shared" si="39"/>
        <v>163</v>
      </c>
      <c r="AK355">
        <f t="shared" si="40"/>
        <v>173.7</v>
      </c>
      <c r="AL355">
        <f t="shared" si="41"/>
        <v>1774.5</v>
      </c>
    </row>
    <row r="356" spans="1:38" x14ac:dyDescent="0.3">
      <c r="A356" t="s">
        <v>30</v>
      </c>
      <c r="B356" s="28">
        <f t="shared" si="35"/>
        <v>44896</v>
      </c>
      <c r="C356">
        <v>2022</v>
      </c>
      <c r="D356" t="s">
        <v>45</v>
      </c>
      <c r="E356" t="str">
        <f t="shared" si="36"/>
        <v>Dec-22</v>
      </c>
      <c r="F356">
        <f>VLOOKUP(D356,'Problem Statement 4'!$G$2:$H$13,2,0)</f>
        <v>12</v>
      </c>
      <c r="G356">
        <v>168.8</v>
      </c>
      <c r="H356">
        <v>206.9</v>
      </c>
      <c r="I356">
        <v>189.1</v>
      </c>
      <c r="J356">
        <v>173.4</v>
      </c>
      <c r="K356">
        <v>193.9</v>
      </c>
      <c r="L356">
        <v>156.69999999999999</v>
      </c>
      <c r="M356">
        <v>150.19999999999999</v>
      </c>
      <c r="N356">
        <v>170.5</v>
      </c>
      <c r="O356">
        <v>121.2</v>
      </c>
      <c r="P356">
        <v>207.5</v>
      </c>
      <c r="Q356">
        <v>176.8</v>
      </c>
      <c r="R356">
        <v>187.7</v>
      </c>
      <c r="S356">
        <v>174.4</v>
      </c>
      <c r="T356">
        <v>195.9</v>
      </c>
      <c r="U356">
        <v>188.1</v>
      </c>
      <c r="V356">
        <v>185.9</v>
      </c>
      <c r="W356">
        <v>187.8</v>
      </c>
      <c r="X356">
        <v>170.7</v>
      </c>
      <c r="Y356">
        <v>182.8</v>
      </c>
      <c r="Z356">
        <v>176.4</v>
      </c>
      <c r="AA356">
        <v>183.5</v>
      </c>
      <c r="AB356">
        <v>167.8</v>
      </c>
      <c r="AC356">
        <v>171.2</v>
      </c>
      <c r="AD356">
        <v>177.3</v>
      </c>
      <c r="AE356">
        <v>175.7</v>
      </c>
      <c r="AF356">
        <v>175.5</v>
      </c>
      <c r="AG356">
        <v>177.1</v>
      </c>
      <c r="AH356">
        <f t="shared" si="37"/>
        <v>2277.1</v>
      </c>
      <c r="AI356">
        <f t="shared" si="38"/>
        <v>182.8</v>
      </c>
      <c r="AJ356">
        <f t="shared" si="39"/>
        <v>167.8</v>
      </c>
      <c r="AK356">
        <f t="shared" si="40"/>
        <v>177.3</v>
      </c>
      <c r="AL356">
        <f t="shared" si="41"/>
        <v>1810.7000000000003</v>
      </c>
    </row>
    <row r="357" spans="1:38" x14ac:dyDescent="0.3">
      <c r="A357" t="s">
        <v>32</v>
      </c>
      <c r="B357" s="28">
        <f t="shared" si="35"/>
        <v>44896</v>
      </c>
      <c r="C357">
        <v>2022</v>
      </c>
      <c r="D357" t="s">
        <v>45</v>
      </c>
      <c r="E357" t="str">
        <f t="shared" si="36"/>
        <v>Dec-22</v>
      </c>
      <c r="F357">
        <f>VLOOKUP(D357,'Problem Statement 4'!$G$2:$H$13,2,0)</f>
        <v>12</v>
      </c>
      <c r="G357">
        <v>170.2</v>
      </c>
      <c r="H357">
        <v>212.9</v>
      </c>
      <c r="I357">
        <v>191.9</v>
      </c>
      <c r="J357">
        <v>173.9</v>
      </c>
      <c r="K357">
        <v>179.1</v>
      </c>
      <c r="L357">
        <v>159.5</v>
      </c>
      <c r="M357">
        <v>178.7</v>
      </c>
      <c r="N357">
        <v>171.3</v>
      </c>
      <c r="O357">
        <v>123.1</v>
      </c>
      <c r="P357">
        <v>200.5</v>
      </c>
      <c r="Q357">
        <v>162.80000000000001</v>
      </c>
      <c r="R357">
        <v>193.3</v>
      </c>
      <c r="S357">
        <v>178.6</v>
      </c>
      <c r="T357">
        <v>201.1</v>
      </c>
      <c r="U357">
        <v>177.7</v>
      </c>
      <c r="V357">
        <v>164.5</v>
      </c>
      <c r="W357">
        <v>175.7</v>
      </c>
      <c r="X357">
        <v>170.7</v>
      </c>
      <c r="Y357">
        <v>180.6</v>
      </c>
      <c r="Z357">
        <v>167.3</v>
      </c>
      <c r="AA357">
        <v>177.2</v>
      </c>
      <c r="AB357">
        <v>159.4</v>
      </c>
      <c r="AC357">
        <v>167.1</v>
      </c>
      <c r="AD357">
        <v>171.8</v>
      </c>
      <c r="AE357">
        <v>176</v>
      </c>
      <c r="AF357">
        <v>168.2</v>
      </c>
      <c r="AG357">
        <v>174.1</v>
      </c>
      <c r="AH357">
        <f t="shared" si="37"/>
        <v>2295.7999999999997</v>
      </c>
      <c r="AI357">
        <f t="shared" si="38"/>
        <v>180.6</v>
      </c>
      <c r="AJ357">
        <f t="shared" si="39"/>
        <v>159.4</v>
      </c>
      <c r="AK357">
        <f t="shared" si="40"/>
        <v>171.8</v>
      </c>
      <c r="AL357">
        <f t="shared" si="41"/>
        <v>1745.5</v>
      </c>
    </row>
    <row r="358" spans="1:38" x14ac:dyDescent="0.3">
      <c r="A358" t="s">
        <v>33</v>
      </c>
      <c r="B358" s="28">
        <f t="shared" si="35"/>
        <v>44896</v>
      </c>
      <c r="C358">
        <v>2022</v>
      </c>
      <c r="D358" t="s">
        <v>45</v>
      </c>
      <c r="E358" t="str">
        <f t="shared" si="36"/>
        <v>Dec-22</v>
      </c>
      <c r="F358">
        <f>VLOOKUP(D358,'Problem Statement 4'!$G$2:$H$13,2,0)</f>
        <v>12</v>
      </c>
      <c r="G358">
        <v>169.2</v>
      </c>
      <c r="H358">
        <v>209</v>
      </c>
      <c r="I358">
        <v>190.2</v>
      </c>
      <c r="J358">
        <v>173.6</v>
      </c>
      <c r="K358">
        <v>188.5</v>
      </c>
      <c r="L358">
        <v>158</v>
      </c>
      <c r="M358">
        <v>159.9</v>
      </c>
      <c r="N358">
        <v>170.8</v>
      </c>
      <c r="O358">
        <v>121.8</v>
      </c>
      <c r="P358">
        <v>205.2</v>
      </c>
      <c r="Q358">
        <v>171</v>
      </c>
      <c r="R358">
        <v>190.3</v>
      </c>
      <c r="S358">
        <v>175.9</v>
      </c>
      <c r="T358">
        <v>197.3</v>
      </c>
      <c r="U358">
        <v>184</v>
      </c>
      <c r="V358">
        <v>177</v>
      </c>
      <c r="W358">
        <v>183</v>
      </c>
      <c r="X358">
        <v>170.7</v>
      </c>
      <c r="Y358">
        <v>182</v>
      </c>
      <c r="Z358">
        <v>172.1</v>
      </c>
      <c r="AA358">
        <v>181.1</v>
      </c>
      <c r="AB358">
        <v>163.4</v>
      </c>
      <c r="AC358">
        <v>168.9</v>
      </c>
      <c r="AD358">
        <v>174.1</v>
      </c>
      <c r="AE358">
        <v>175.8</v>
      </c>
      <c r="AF358">
        <v>172</v>
      </c>
      <c r="AG358">
        <v>175.7</v>
      </c>
      <c r="AH358">
        <f t="shared" si="37"/>
        <v>2283.4</v>
      </c>
      <c r="AI358">
        <f t="shared" si="38"/>
        <v>182</v>
      </c>
      <c r="AJ358">
        <f t="shared" si="39"/>
        <v>163.4</v>
      </c>
      <c r="AK358">
        <f t="shared" si="40"/>
        <v>174.1</v>
      </c>
      <c r="AL358">
        <f t="shared" si="41"/>
        <v>1781.8999999999999</v>
      </c>
    </row>
    <row r="359" spans="1:38" x14ac:dyDescent="0.3">
      <c r="A359" t="s">
        <v>30</v>
      </c>
      <c r="B359" s="28">
        <f t="shared" si="35"/>
        <v>44927</v>
      </c>
      <c r="C359">
        <v>2023</v>
      </c>
      <c r="D359" t="s">
        <v>31</v>
      </c>
      <c r="E359" t="str">
        <f t="shared" si="36"/>
        <v>Jan-23</v>
      </c>
      <c r="F359">
        <f>VLOOKUP(D359,'Problem Statement 4'!$G$2:$H$13,2,0)</f>
        <v>1</v>
      </c>
      <c r="G359">
        <v>174</v>
      </c>
      <c r="H359">
        <v>208.3</v>
      </c>
      <c r="I359">
        <v>192.9</v>
      </c>
      <c r="J359">
        <v>174.3</v>
      </c>
      <c r="K359">
        <v>192.6</v>
      </c>
      <c r="L359">
        <v>156.30000000000001</v>
      </c>
      <c r="M359">
        <v>142.9</v>
      </c>
      <c r="N359">
        <v>170.7</v>
      </c>
      <c r="O359">
        <v>120.3</v>
      </c>
      <c r="P359">
        <v>210.5</v>
      </c>
      <c r="Q359">
        <v>176.9</v>
      </c>
      <c r="R359">
        <v>188.5</v>
      </c>
      <c r="S359">
        <v>175</v>
      </c>
      <c r="T359">
        <v>196.9</v>
      </c>
      <c r="U359">
        <v>189</v>
      </c>
      <c r="V359">
        <v>186.3</v>
      </c>
      <c r="W359">
        <v>188.6</v>
      </c>
      <c r="X359">
        <v>172.1</v>
      </c>
      <c r="Y359">
        <v>183.2</v>
      </c>
      <c r="Z359">
        <v>177.2</v>
      </c>
      <c r="AA359">
        <v>184.7</v>
      </c>
      <c r="AB359">
        <v>168.2</v>
      </c>
      <c r="AC359">
        <v>171.8</v>
      </c>
      <c r="AD359">
        <v>177.8</v>
      </c>
      <c r="AE359">
        <v>178.4</v>
      </c>
      <c r="AF359">
        <v>176.5</v>
      </c>
      <c r="AG359">
        <v>177.8</v>
      </c>
      <c r="AH359">
        <f t="shared" si="37"/>
        <v>2283.2000000000003</v>
      </c>
      <c r="AI359">
        <f t="shared" si="38"/>
        <v>183.2</v>
      </c>
      <c r="AJ359">
        <f t="shared" si="39"/>
        <v>168.2</v>
      </c>
      <c r="AK359">
        <f t="shared" si="40"/>
        <v>177.8</v>
      </c>
      <c r="AL359">
        <f t="shared" si="41"/>
        <v>1821.5000000000002</v>
      </c>
    </row>
    <row r="360" spans="1:38" x14ac:dyDescent="0.3">
      <c r="A360" t="s">
        <v>32</v>
      </c>
      <c r="B360" s="28">
        <f t="shared" si="35"/>
        <v>44927</v>
      </c>
      <c r="C360">
        <v>2023</v>
      </c>
      <c r="D360" t="s">
        <v>31</v>
      </c>
      <c r="E360" t="str">
        <f t="shared" si="36"/>
        <v>Jan-23</v>
      </c>
      <c r="F360">
        <f>VLOOKUP(D360,'Problem Statement 4'!$G$2:$H$13,2,0)</f>
        <v>1</v>
      </c>
      <c r="G360">
        <v>173.3</v>
      </c>
      <c r="H360">
        <v>215.2</v>
      </c>
      <c r="I360">
        <v>197</v>
      </c>
      <c r="J360">
        <v>175.2</v>
      </c>
      <c r="K360">
        <v>178</v>
      </c>
      <c r="L360">
        <v>160.5</v>
      </c>
      <c r="M360">
        <v>175.3</v>
      </c>
      <c r="N360">
        <v>171.2</v>
      </c>
      <c r="O360">
        <v>122.7</v>
      </c>
      <c r="P360">
        <v>204.3</v>
      </c>
      <c r="Q360">
        <v>163.69999999999999</v>
      </c>
      <c r="R360">
        <v>194.3</v>
      </c>
      <c r="S360">
        <v>179.5</v>
      </c>
      <c r="T360">
        <v>201.6</v>
      </c>
      <c r="U360">
        <v>178.7</v>
      </c>
      <c r="V360">
        <v>165.3</v>
      </c>
      <c r="W360">
        <v>176.6</v>
      </c>
      <c r="X360">
        <v>172.1</v>
      </c>
      <c r="Y360">
        <v>180.1</v>
      </c>
      <c r="Z360">
        <v>168</v>
      </c>
      <c r="AA360">
        <v>178.5</v>
      </c>
      <c r="AB360">
        <v>159.5</v>
      </c>
      <c r="AC360">
        <v>167.8</v>
      </c>
      <c r="AD360">
        <v>171.8</v>
      </c>
      <c r="AE360">
        <v>178.8</v>
      </c>
      <c r="AF360">
        <v>168.9</v>
      </c>
      <c r="AG360">
        <v>174.9</v>
      </c>
      <c r="AH360">
        <f t="shared" si="37"/>
        <v>2310.2000000000003</v>
      </c>
      <c r="AI360">
        <f t="shared" si="38"/>
        <v>180.1</v>
      </c>
      <c r="AJ360">
        <f t="shared" si="39"/>
        <v>159.5</v>
      </c>
      <c r="AK360">
        <f t="shared" si="40"/>
        <v>171.8</v>
      </c>
      <c r="AL360">
        <f t="shared" si="41"/>
        <v>1756.3</v>
      </c>
    </row>
    <row r="361" spans="1:38" x14ac:dyDescent="0.3">
      <c r="A361" t="s">
        <v>33</v>
      </c>
      <c r="B361" s="28">
        <f t="shared" si="35"/>
        <v>44927</v>
      </c>
      <c r="C361">
        <v>2023</v>
      </c>
      <c r="D361" t="s">
        <v>31</v>
      </c>
      <c r="E361" t="str">
        <f t="shared" si="36"/>
        <v>Jan-23</v>
      </c>
      <c r="F361">
        <f>VLOOKUP(D361,'Problem Statement 4'!$G$2:$H$13,2,0)</f>
        <v>1</v>
      </c>
      <c r="G361">
        <v>173.8</v>
      </c>
      <c r="H361">
        <v>210.7</v>
      </c>
      <c r="I361">
        <v>194.5</v>
      </c>
      <c r="J361">
        <v>174.6</v>
      </c>
      <c r="K361">
        <v>187.2</v>
      </c>
      <c r="L361">
        <v>158.30000000000001</v>
      </c>
      <c r="M361">
        <v>153.9</v>
      </c>
      <c r="N361">
        <v>170.9</v>
      </c>
      <c r="O361">
        <v>121.1</v>
      </c>
      <c r="P361">
        <v>208.4</v>
      </c>
      <c r="Q361">
        <v>171.4</v>
      </c>
      <c r="R361">
        <v>191.2</v>
      </c>
      <c r="S361">
        <v>176.7</v>
      </c>
      <c r="T361">
        <v>198.2</v>
      </c>
      <c r="U361">
        <v>184.9</v>
      </c>
      <c r="V361">
        <v>177.6</v>
      </c>
      <c r="W361">
        <v>183.8</v>
      </c>
      <c r="X361">
        <v>172.1</v>
      </c>
      <c r="Y361">
        <v>182</v>
      </c>
      <c r="Z361">
        <v>172.9</v>
      </c>
      <c r="AA361">
        <v>182.3</v>
      </c>
      <c r="AB361">
        <v>163.6</v>
      </c>
      <c r="AC361">
        <v>169.5</v>
      </c>
      <c r="AD361">
        <v>174.3</v>
      </c>
      <c r="AE361">
        <v>178.6</v>
      </c>
      <c r="AF361">
        <v>172.8</v>
      </c>
      <c r="AG361">
        <v>176.5</v>
      </c>
      <c r="AH361">
        <f t="shared" si="37"/>
        <v>2292.6999999999998</v>
      </c>
      <c r="AI361">
        <f t="shared" si="38"/>
        <v>182</v>
      </c>
      <c r="AJ361">
        <f t="shared" si="39"/>
        <v>163.6</v>
      </c>
      <c r="AK361">
        <f t="shared" si="40"/>
        <v>174.3</v>
      </c>
      <c r="AL361">
        <f t="shared" si="41"/>
        <v>1792.6999999999998</v>
      </c>
    </row>
    <row r="362" spans="1:38" x14ac:dyDescent="0.3">
      <c r="A362" t="s">
        <v>30</v>
      </c>
      <c r="B362" s="28">
        <f t="shared" si="35"/>
        <v>44958</v>
      </c>
      <c r="C362">
        <v>2023</v>
      </c>
      <c r="D362" t="s">
        <v>34</v>
      </c>
      <c r="E362" t="str">
        <f t="shared" si="36"/>
        <v>Feb-23</v>
      </c>
      <c r="F362">
        <f>VLOOKUP(D362,'Problem Statement 4'!$G$2:$H$13,2,0)</f>
        <v>2</v>
      </c>
      <c r="G362">
        <v>174.2</v>
      </c>
      <c r="H362">
        <v>205.2</v>
      </c>
      <c r="I362">
        <v>173.9</v>
      </c>
      <c r="J362">
        <v>177</v>
      </c>
      <c r="K362">
        <v>183.4</v>
      </c>
      <c r="L362">
        <v>167.2</v>
      </c>
      <c r="M362">
        <v>140.9</v>
      </c>
      <c r="N362">
        <v>170.4</v>
      </c>
      <c r="O362">
        <v>119.1</v>
      </c>
      <c r="P362">
        <v>212.1</v>
      </c>
      <c r="Q362">
        <v>177.6</v>
      </c>
      <c r="R362">
        <v>189.9</v>
      </c>
      <c r="S362">
        <v>174.8</v>
      </c>
      <c r="T362">
        <v>198.3</v>
      </c>
      <c r="U362">
        <v>190</v>
      </c>
      <c r="V362">
        <v>187</v>
      </c>
      <c r="W362">
        <v>189.6</v>
      </c>
      <c r="X362">
        <v>173.5</v>
      </c>
      <c r="Y362">
        <v>181.6</v>
      </c>
      <c r="Z362">
        <v>178.6</v>
      </c>
      <c r="AA362">
        <v>186.6</v>
      </c>
      <c r="AB362">
        <v>169</v>
      </c>
      <c r="AC362">
        <v>172.8</v>
      </c>
      <c r="AD362">
        <v>178.5</v>
      </c>
      <c r="AE362">
        <v>180.7</v>
      </c>
      <c r="AF362">
        <v>177.9</v>
      </c>
      <c r="AG362">
        <v>178</v>
      </c>
      <c r="AH362">
        <f t="shared" si="37"/>
        <v>2265.6999999999998</v>
      </c>
      <c r="AI362">
        <f t="shared" si="38"/>
        <v>181.6</v>
      </c>
      <c r="AJ362">
        <f t="shared" si="39"/>
        <v>169</v>
      </c>
      <c r="AK362">
        <f t="shared" si="40"/>
        <v>178.5</v>
      </c>
      <c r="AL362">
        <f t="shared" si="41"/>
        <v>1835</v>
      </c>
    </row>
    <row r="363" spans="1:38" x14ac:dyDescent="0.3">
      <c r="A363" t="s">
        <v>32</v>
      </c>
      <c r="B363" s="28">
        <f t="shared" si="35"/>
        <v>44958</v>
      </c>
      <c r="C363">
        <v>2023</v>
      </c>
      <c r="D363" t="s">
        <v>34</v>
      </c>
      <c r="E363" t="str">
        <f t="shared" si="36"/>
        <v>Feb-23</v>
      </c>
      <c r="F363">
        <f>VLOOKUP(D363,'Problem Statement 4'!$G$2:$H$13,2,0)</f>
        <v>2</v>
      </c>
      <c r="G363">
        <v>174.7</v>
      </c>
      <c r="H363">
        <v>212.2</v>
      </c>
      <c r="I363">
        <v>177.2</v>
      </c>
      <c r="J363">
        <v>177.9</v>
      </c>
      <c r="K363">
        <v>172.2</v>
      </c>
      <c r="L363">
        <v>172.1</v>
      </c>
      <c r="M363">
        <v>175.8</v>
      </c>
      <c r="N363">
        <v>172.2</v>
      </c>
      <c r="O363">
        <v>121.9</v>
      </c>
      <c r="P363">
        <v>204.8</v>
      </c>
      <c r="Q363">
        <v>164.9</v>
      </c>
      <c r="R363">
        <v>196.6</v>
      </c>
      <c r="S363">
        <v>180.7</v>
      </c>
      <c r="T363">
        <v>202.7</v>
      </c>
      <c r="U363">
        <v>180.3</v>
      </c>
      <c r="V363">
        <v>167</v>
      </c>
      <c r="W363">
        <v>178.2</v>
      </c>
      <c r="X363">
        <v>173.5</v>
      </c>
      <c r="Y363">
        <v>182.8</v>
      </c>
      <c r="Z363">
        <v>169.2</v>
      </c>
      <c r="AA363">
        <v>180.8</v>
      </c>
      <c r="AB363">
        <v>159.80000000000001</v>
      </c>
      <c r="AC363">
        <v>168.4</v>
      </c>
      <c r="AD363">
        <v>172.5</v>
      </c>
      <c r="AE363">
        <v>181.4</v>
      </c>
      <c r="AF363">
        <v>170</v>
      </c>
      <c r="AG363">
        <v>176.3</v>
      </c>
      <c r="AH363">
        <f t="shared" si="37"/>
        <v>2303.1999999999998</v>
      </c>
      <c r="AI363">
        <f t="shared" si="38"/>
        <v>182.8</v>
      </c>
      <c r="AJ363">
        <f t="shared" si="39"/>
        <v>159.80000000000001</v>
      </c>
      <c r="AK363">
        <f t="shared" si="40"/>
        <v>172.5</v>
      </c>
      <c r="AL363">
        <f t="shared" si="41"/>
        <v>1771.5000000000002</v>
      </c>
    </row>
    <row r="364" spans="1:38" x14ac:dyDescent="0.3">
      <c r="A364" t="s">
        <v>33</v>
      </c>
      <c r="B364" s="28">
        <f t="shared" si="35"/>
        <v>44958</v>
      </c>
      <c r="C364">
        <v>2023</v>
      </c>
      <c r="D364" t="s">
        <v>34</v>
      </c>
      <c r="E364" t="str">
        <f t="shared" si="36"/>
        <v>Feb-23</v>
      </c>
      <c r="F364">
        <f>VLOOKUP(D364,'Problem Statement 4'!$G$2:$H$13,2,0)</f>
        <v>2</v>
      </c>
      <c r="G364">
        <v>174.4</v>
      </c>
      <c r="H364">
        <v>207.7</v>
      </c>
      <c r="I364">
        <v>175.2</v>
      </c>
      <c r="J364">
        <v>177.3</v>
      </c>
      <c r="K364">
        <v>179.3</v>
      </c>
      <c r="L364">
        <v>169.5</v>
      </c>
      <c r="M364">
        <v>152.69999999999999</v>
      </c>
      <c r="N364">
        <v>171</v>
      </c>
      <c r="O364">
        <v>120</v>
      </c>
      <c r="P364">
        <v>209.7</v>
      </c>
      <c r="Q364">
        <v>172.3</v>
      </c>
      <c r="R364">
        <v>193</v>
      </c>
      <c r="S364">
        <v>177</v>
      </c>
      <c r="T364">
        <v>199.5</v>
      </c>
      <c r="U364">
        <v>186.2</v>
      </c>
      <c r="V364">
        <v>178.7</v>
      </c>
      <c r="W364">
        <v>185.1</v>
      </c>
      <c r="X364">
        <v>173.5</v>
      </c>
      <c r="Y364">
        <v>182.1</v>
      </c>
      <c r="Z364">
        <v>174.2</v>
      </c>
      <c r="AA364">
        <v>184.4</v>
      </c>
      <c r="AB364">
        <v>164.2</v>
      </c>
      <c r="AC364">
        <v>170.3</v>
      </c>
      <c r="AD364">
        <v>175</v>
      </c>
      <c r="AE364">
        <v>181</v>
      </c>
      <c r="AF364">
        <v>174.1</v>
      </c>
      <c r="AG364">
        <v>177.2</v>
      </c>
      <c r="AH364">
        <f t="shared" si="37"/>
        <v>2279.1</v>
      </c>
      <c r="AI364">
        <f t="shared" si="38"/>
        <v>182.1</v>
      </c>
      <c r="AJ364">
        <f t="shared" si="39"/>
        <v>164.2</v>
      </c>
      <c r="AK364">
        <f t="shared" si="40"/>
        <v>175</v>
      </c>
      <c r="AL364">
        <f t="shared" si="41"/>
        <v>1807</v>
      </c>
    </row>
    <row r="365" spans="1:38" x14ac:dyDescent="0.3">
      <c r="A365" t="s">
        <v>30</v>
      </c>
      <c r="B365" s="28">
        <f t="shared" si="35"/>
        <v>44986</v>
      </c>
      <c r="C365">
        <v>2023</v>
      </c>
      <c r="D365" t="s">
        <v>35</v>
      </c>
      <c r="E365" t="str">
        <f t="shared" si="36"/>
        <v>Mar-23</v>
      </c>
      <c r="F365">
        <f>VLOOKUP(D365,'Problem Statement 4'!$G$2:$H$13,2,0)</f>
        <v>3</v>
      </c>
      <c r="G365">
        <v>174.3</v>
      </c>
      <c r="H365">
        <v>205.2</v>
      </c>
      <c r="I365">
        <v>173.9</v>
      </c>
      <c r="J365">
        <v>177</v>
      </c>
      <c r="K365">
        <v>183.3</v>
      </c>
      <c r="L365">
        <v>167.2</v>
      </c>
      <c r="M365">
        <v>140.9</v>
      </c>
      <c r="N365">
        <v>170.5</v>
      </c>
      <c r="O365">
        <v>119.1</v>
      </c>
      <c r="P365">
        <v>212.1</v>
      </c>
      <c r="Q365">
        <v>177.6</v>
      </c>
      <c r="R365">
        <v>189.9</v>
      </c>
      <c r="S365">
        <v>174.8</v>
      </c>
      <c r="T365">
        <v>198.4</v>
      </c>
      <c r="U365">
        <v>190</v>
      </c>
      <c r="V365">
        <v>187</v>
      </c>
      <c r="W365">
        <v>189.6</v>
      </c>
      <c r="X365">
        <v>173.5</v>
      </c>
      <c r="Y365">
        <v>181.4</v>
      </c>
      <c r="Z365">
        <v>178.6</v>
      </c>
      <c r="AA365">
        <v>186.6</v>
      </c>
      <c r="AB365">
        <v>169</v>
      </c>
      <c r="AC365">
        <v>172.8</v>
      </c>
      <c r="AD365">
        <v>178.5</v>
      </c>
      <c r="AE365">
        <v>180.7</v>
      </c>
      <c r="AF365">
        <v>177.9</v>
      </c>
      <c r="AG365">
        <v>178</v>
      </c>
      <c r="AH365">
        <f t="shared" si="37"/>
        <v>2265.8000000000002</v>
      </c>
      <c r="AI365">
        <f t="shared" si="38"/>
        <v>181.4</v>
      </c>
      <c r="AJ365">
        <f t="shared" si="39"/>
        <v>169</v>
      </c>
      <c r="AK365">
        <f t="shared" si="40"/>
        <v>178.5</v>
      </c>
      <c r="AL365">
        <f t="shared" si="41"/>
        <v>1835.1</v>
      </c>
    </row>
    <row r="366" spans="1:38" x14ac:dyDescent="0.3">
      <c r="A366" t="s">
        <v>32</v>
      </c>
      <c r="B366" s="28">
        <f t="shared" si="35"/>
        <v>44986</v>
      </c>
      <c r="C366">
        <v>2023</v>
      </c>
      <c r="D366" t="s">
        <v>35</v>
      </c>
      <c r="E366" t="str">
        <f t="shared" si="36"/>
        <v>Mar-23</v>
      </c>
      <c r="F366">
        <f>VLOOKUP(D366,'Problem Statement 4'!$G$2:$H$13,2,0)</f>
        <v>3</v>
      </c>
      <c r="G366">
        <v>174.7</v>
      </c>
      <c r="H366">
        <v>212.2</v>
      </c>
      <c r="I366">
        <v>177.2</v>
      </c>
      <c r="J366">
        <v>177.9</v>
      </c>
      <c r="K366">
        <v>172.2</v>
      </c>
      <c r="L366">
        <v>172.1</v>
      </c>
      <c r="M366">
        <v>175.9</v>
      </c>
      <c r="N366">
        <v>172.2</v>
      </c>
      <c r="O366">
        <v>121.9</v>
      </c>
      <c r="P366">
        <v>204.8</v>
      </c>
      <c r="Q366">
        <v>164.9</v>
      </c>
      <c r="R366">
        <v>196.6</v>
      </c>
      <c r="S366">
        <v>180.8</v>
      </c>
      <c r="T366">
        <v>202.7</v>
      </c>
      <c r="U366">
        <v>180.2</v>
      </c>
      <c r="V366">
        <v>167</v>
      </c>
      <c r="W366">
        <v>178.2</v>
      </c>
      <c r="X366">
        <v>173.5</v>
      </c>
      <c r="Y366">
        <v>182.6</v>
      </c>
      <c r="Z366">
        <v>169.2</v>
      </c>
      <c r="AA366">
        <v>180.8</v>
      </c>
      <c r="AB366">
        <v>159.80000000000001</v>
      </c>
      <c r="AC366">
        <v>168.4</v>
      </c>
      <c r="AD366">
        <v>172.5</v>
      </c>
      <c r="AE366">
        <v>181.5</v>
      </c>
      <c r="AF366">
        <v>170</v>
      </c>
      <c r="AG366">
        <v>176.3</v>
      </c>
      <c r="AH366">
        <f t="shared" si="37"/>
        <v>2303.4</v>
      </c>
      <c r="AI366">
        <f t="shared" si="38"/>
        <v>182.6</v>
      </c>
      <c r="AJ366">
        <f t="shared" si="39"/>
        <v>159.80000000000001</v>
      </c>
      <c r="AK366">
        <f t="shared" si="40"/>
        <v>172.5</v>
      </c>
      <c r="AL366">
        <f t="shared" si="41"/>
        <v>1771.5</v>
      </c>
    </row>
    <row r="367" spans="1:38" x14ac:dyDescent="0.3">
      <c r="A367" t="s">
        <v>33</v>
      </c>
      <c r="B367" s="28">
        <f t="shared" si="35"/>
        <v>44986</v>
      </c>
      <c r="C367">
        <v>2023</v>
      </c>
      <c r="D367" t="s">
        <v>35</v>
      </c>
      <c r="E367" t="str">
        <f t="shared" si="36"/>
        <v>Mar-23</v>
      </c>
      <c r="F367">
        <f>VLOOKUP(D367,'Problem Statement 4'!$G$2:$H$13,2,0)</f>
        <v>3</v>
      </c>
      <c r="G367">
        <v>174.4</v>
      </c>
      <c r="H367">
        <v>207.7</v>
      </c>
      <c r="I367">
        <v>175.2</v>
      </c>
      <c r="J367">
        <v>177.3</v>
      </c>
      <c r="K367">
        <v>179.2</v>
      </c>
      <c r="L367">
        <v>169.5</v>
      </c>
      <c r="M367">
        <v>152.80000000000001</v>
      </c>
      <c r="N367">
        <v>171.1</v>
      </c>
      <c r="O367">
        <v>120</v>
      </c>
      <c r="P367">
        <v>209.7</v>
      </c>
      <c r="Q367">
        <v>172.3</v>
      </c>
      <c r="R367">
        <v>193</v>
      </c>
      <c r="S367">
        <v>177</v>
      </c>
      <c r="T367">
        <v>199.5</v>
      </c>
      <c r="U367">
        <v>186.1</v>
      </c>
      <c r="V367">
        <v>178.7</v>
      </c>
      <c r="W367">
        <v>185.1</v>
      </c>
      <c r="X367">
        <v>173.5</v>
      </c>
      <c r="Y367">
        <v>181.9</v>
      </c>
      <c r="Z367">
        <v>174.2</v>
      </c>
      <c r="AA367">
        <v>184.4</v>
      </c>
      <c r="AB367">
        <v>164.2</v>
      </c>
      <c r="AC367">
        <v>170.3</v>
      </c>
      <c r="AD367">
        <v>175</v>
      </c>
      <c r="AE367">
        <v>181</v>
      </c>
      <c r="AF367">
        <v>174.1</v>
      </c>
      <c r="AG367">
        <v>177.2</v>
      </c>
      <c r="AH367">
        <f t="shared" si="37"/>
        <v>2279.1999999999998</v>
      </c>
      <c r="AI367">
        <f t="shared" si="38"/>
        <v>181.9</v>
      </c>
      <c r="AJ367">
        <f t="shared" si="39"/>
        <v>164.2</v>
      </c>
      <c r="AK367">
        <f t="shared" si="40"/>
        <v>175</v>
      </c>
      <c r="AL367">
        <f t="shared" si="41"/>
        <v>1806.8999999999999</v>
      </c>
    </row>
    <row r="368" spans="1:38" x14ac:dyDescent="0.3">
      <c r="A368" t="s">
        <v>30</v>
      </c>
      <c r="B368" s="28">
        <f t="shared" si="35"/>
        <v>45017</v>
      </c>
      <c r="C368">
        <v>2023</v>
      </c>
      <c r="D368" t="s">
        <v>36</v>
      </c>
      <c r="E368" t="str">
        <f t="shared" si="36"/>
        <v>Apr-23</v>
      </c>
      <c r="F368">
        <f>VLOOKUP(D368,'Problem Statement 4'!$G$2:$H$13,2,0)</f>
        <v>4</v>
      </c>
      <c r="G368">
        <v>173.3</v>
      </c>
      <c r="H368">
        <v>206.9</v>
      </c>
      <c r="I368">
        <v>167.9</v>
      </c>
      <c r="J368">
        <v>178.2</v>
      </c>
      <c r="K368">
        <v>178.5</v>
      </c>
      <c r="L368">
        <v>173.7</v>
      </c>
      <c r="M368">
        <v>142.80000000000001</v>
      </c>
      <c r="N368">
        <v>172.8</v>
      </c>
      <c r="O368">
        <v>120.4</v>
      </c>
      <c r="P368">
        <v>215.5</v>
      </c>
      <c r="Q368">
        <v>178.2</v>
      </c>
      <c r="R368">
        <v>190.5</v>
      </c>
      <c r="S368">
        <v>175.5</v>
      </c>
      <c r="T368">
        <v>199.5</v>
      </c>
      <c r="U368">
        <v>190.7</v>
      </c>
      <c r="V368">
        <v>187.3</v>
      </c>
      <c r="W368">
        <v>190.2</v>
      </c>
      <c r="X368">
        <v>175.2</v>
      </c>
      <c r="Y368">
        <v>181.5</v>
      </c>
      <c r="Z368">
        <v>179.1</v>
      </c>
      <c r="AA368">
        <v>187.2</v>
      </c>
      <c r="AB368">
        <v>169.4</v>
      </c>
      <c r="AC368">
        <v>173.2</v>
      </c>
      <c r="AD368">
        <v>179.4</v>
      </c>
      <c r="AE368">
        <v>183.8</v>
      </c>
      <c r="AF368">
        <v>178.9</v>
      </c>
      <c r="AG368">
        <v>178.8</v>
      </c>
      <c r="AH368">
        <f t="shared" si="37"/>
        <v>2274.1999999999998</v>
      </c>
      <c r="AI368">
        <f t="shared" si="38"/>
        <v>181.5</v>
      </c>
      <c r="AJ368">
        <f t="shared" si="39"/>
        <v>169.4</v>
      </c>
      <c r="AK368">
        <f t="shared" si="40"/>
        <v>179.4</v>
      </c>
      <c r="AL368">
        <f t="shared" si="41"/>
        <v>1845.1000000000001</v>
      </c>
    </row>
    <row r="369" spans="1:38" x14ac:dyDescent="0.3">
      <c r="A369" t="s">
        <v>32</v>
      </c>
      <c r="B369" s="28">
        <f t="shared" si="35"/>
        <v>45017</v>
      </c>
      <c r="C369">
        <v>2023</v>
      </c>
      <c r="D369" t="s">
        <v>36</v>
      </c>
      <c r="E369" t="str">
        <f t="shared" si="36"/>
        <v>Apr-23</v>
      </c>
      <c r="F369">
        <f>VLOOKUP(D369,'Problem Statement 4'!$G$2:$H$13,2,0)</f>
        <v>4</v>
      </c>
      <c r="G369">
        <v>174.8</v>
      </c>
      <c r="H369">
        <v>213.7</v>
      </c>
      <c r="I369">
        <v>172.4</v>
      </c>
      <c r="J369">
        <v>178.8</v>
      </c>
      <c r="K369">
        <v>168.7</v>
      </c>
      <c r="L369">
        <v>179.2</v>
      </c>
      <c r="M369">
        <v>179.9</v>
      </c>
      <c r="N369">
        <v>174.7</v>
      </c>
      <c r="O369">
        <v>123.1</v>
      </c>
      <c r="P369">
        <v>207.8</v>
      </c>
      <c r="Q369">
        <v>165.5</v>
      </c>
      <c r="R369">
        <v>197</v>
      </c>
      <c r="S369">
        <v>182.1</v>
      </c>
      <c r="T369">
        <v>203.5</v>
      </c>
      <c r="U369">
        <v>181</v>
      </c>
      <c r="V369">
        <v>167.7</v>
      </c>
      <c r="W369">
        <v>178.9</v>
      </c>
      <c r="X369">
        <v>175.2</v>
      </c>
      <c r="Y369">
        <v>182.1</v>
      </c>
      <c r="Z369">
        <v>169.6</v>
      </c>
      <c r="AA369">
        <v>181.5</v>
      </c>
      <c r="AB369">
        <v>160.1</v>
      </c>
      <c r="AC369">
        <v>168.8</v>
      </c>
      <c r="AD369">
        <v>174.2</v>
      </c>
      <c r="AE369">
        <v>184.4</v>
      </c>
      <c r="AF369">
        <v>170.9</v>
      </c>
      <c r="AG369">
        <v>177.4</v>
      </c>
      <c r="AH369">
        <f t="shared" si="37"/>
        <v>2317.7000000000003</v>
      </c>
      <c r="AI369">
        <f t="shared" si="38"/>
        <v>182.1</v>
      </c>
      <c r="AJ369">
        <f t="shared" si="39"/>
        <v>160.1</v>
      </c>
      <c r="AK369">
        <f t="shared" si="40"/>
        <v>174.2</v>
      </c>
      <c r="AL369">
        <f t="shared" si="41"/>
        <v>1781.5</v>
      </c>
    </row>
    <row r="370" spans="1:38" x14ac:dyDescent="0.3">
      <c r="A370" t="s">
        <v>33</v>
      </c>
      <c r="B370" s="28">
        <f t="shared" si="35"/>
        <v>45017</v>
      </c>
      <c r="C370">
        <v>2023</v>
      </c>
      <c r="D370" t="s">
        <v>36</v>
      </c>
      <c r="E370" t="str">
        <f t="shared" si="36"/>
        <v>Apr-23</v>
      </c>
      <c r="F370">
        <f>VLOOKUP(D370,'Problem Statement 4'!$G$2:$H$13,2,0)</f>
        <v>4</v>
      </c>
      <c r="G370">
        <v>173.8</v>
      </c>
      <c r="H370">
        <v>209.3</v>
      </c>
      <c r="I370">
        <v>169.6</v>
      </c>
      <c r="J370">
        <v>178.4</v>
      </c>
      <c r="K370">
        <v>174.9</v>
      </c>
      <c r="L370">
        <v>176.3</v>
      </c>
      <c r="M370">
        <v>155.4</v>
      </c>
      <c r="N370">
        <v>173.4</v>
      </c>
      <c r="O370">
        <v>121.3</v>
      </c>
      <c r="P370">
        <v>212.9</v>
      </c>
      <c r="Q370">
        <v>172.9</v>
      </c>
      <c r="R370">
        <v>193.5</v>
      </c>
      <c r="S370">
        <v>177.9</v>
      </c>
      <c r="T370">
        <v>200.6</v>
      </c>
      <c r="U370">
        <v>186.9</v>
      </c>
      <c r="V370">
        <v>179.2</v>
      </c>
      <c r="W370">
        <v>185.7</v>
      </c>
      <c r="X370">
        <v>175.2</v>
      </c>
      <c r="Y370">
        <v>181.7</v>
      </c>
      <c r="Z370">
        <v>174.6</v>
      </c>
      <c r="AA370">
        <v>185</v>
      </c>
      <c r="AB370">
        <v>164.5</v>
      </c>
      <c r="AC370">
        <v>170.7</v>
      </c>
      <c r="AD370">
        <v>176.4</v>
      </c>
      <c r="AE370">
        <v>184</v>
      </c>
      <c r="AF370">
        <v>175</v>
      </c>
      <c r="AG370">
        <v>178.1</v>
      </c>
      <c r="AH370">
        <f t="shared" si="37"/>
        <v>2289.6000000000004</v>
      </c>
      <c r="AI370">
        <f t="shared" si="38"/>
        <v>181.7</v>
      </c>
      <c r="AJ370">
        <f t="shared" si="39"/>
        <v>164.5</v>
      </c>
      <c r="AK370">
        <f t="shared" si="40"/>
        <v>176.4</v>
      </c>
      <c r="AL370">
        <f t="shared" si="41"/>
        <v>1816.9</v>
      </c>
    </row>
    <row r="371" spans="1:38" x14ac:dyDescent="0.3">
      <c r="A371" t="s">
        <v>30</v>
      </c>
      <c r="B371" s="28">
        <f t="shared" si="35"/>
        <v>45047</v>
      </c>
      <c r="C371">
        <v>2023</v>
      </c>
      <c r="D371" t="s">
        <v>37</v>
      </c>
      <c r="E371" t="str">
        <f t="shared" si="36"/>
        <v>May-23</v>
      </c>
      <c r="F371">
        <f>VLOOKUP(D371,'Problem Statement 4'!$G$2:$H$13,2,0)</f>
        <v>5</v>
      </c>
      <c r="G371">
        <v>173.2</v>
      </c>
      <c r="H371">
        <v>211.5</v>
      </c>
      <c r="I371">
        <v>171</v>
      </c>
      <c r="J371">
        <v>179.6</v>
      </c>
      <c r="K371">
        <v>173.3</v>
      </c>
      <c r="L371">
        <v>169</v>
      </c>
      <c r="M371">
        <v>148.69999999999999</v>
      </c>
      <c r="N371">
        <v>174.9</v>
      </c>
      <c r="O371">
        <v>121.9</v>
      </c>
      <c r="P371">
        <v>221</v>
      </c>
      <c r="Q371">
        <v>178.7</v>
      </c>
      <c r="R371">
        <v>191.1</v>
      </c>
      <c r="S371">
        <v>176.8</v>
      </c>
      <c r="T371">
        <v>199.9</v>
      </c>
      <c r="U371">
        <v>191.2</v>
      </c>
      <c r="V371">
        <v>187.9</v>
      </c>
      <c r="W371">
        <v>190.8</v>
      </c>
      <c r="X371">
        <v>175.6</v>
      </c>
      <c r="Y371">
        <v>182.5</v>
      </c>
      <c r="Z371">
        <v>179.8</v>
      </c>
      <c r="AA371">
        <v>187.8</v>
      </c>
      <c r="AB371">
        <v>169.7</v>
      </c>
      <c r="AC371">
        <v>173.8</v>
      </c>
      <c r="AD371">
        <v>180.3</v>
      </c>
      <c r="AE371">
        <v>184.9</v>
      </c>
      <c r="AF371">
        <v>179.5</v>
      </c>
      <c r="AG371">
        <v>179.8</v>
      </c>
      <c r="AH371">
        <f t="shared" si="37"/>
        <v>2290.7000000000007</v>
      </c>
      <c r="AI371">
        <f t="shared" si="38"/>
        <v>182.5</v>
      </c>
      <c r="AJ371">
        <f t="shared" si="39"/>
        <v>169.7</v>
      </c>
      <c r="AK371">
        <f t="shared" si="40"/>
        <v>180.3</v>
      </c>
      <c r="AL371">
        <f t="shared" si="41"/>
        <v>1851.2</v>
      </c>
    </row>
    <row r="372" spans="1:38" x14ac:dyDescent="0.3">
      <c r="A372" t="s">
        <v>32</v>
      </c>
      <c r="B372" s="28">
        <f t="shared" si="35"/>
        <v>45047</v>
      </c>
      <c r="C372">
        <v>2023</v>
      </c>
      <c r="D372" t="s">
        <v>37</v>
      </c>
      <c r="E372" t="str">
        <f t="shared" si="36"/>
        <v>May-23</v>
      </c>
      <c r="F372">
        <f>VLOOKUP(D372,'Problem Statement 4'!$G$2:$H$13,2,0)</f>
        <v>5</v>
      </c>
      <c r="G372">
        <v>174.7</v>
      </c>
      <c r="H372">
        <v>219.4</v>
      </c>
      <c r="I372">
        <v>176.7</v>
      </c>
      <c r="J372">
        <v>179.4</v>
      </c>
      <c r="K372">
        <v>164.4</v>
      </c>
      <c r="L372">
        <v>175.8</v>
      </c>
      <c r="M372">
        <v>185</v>
      </c>
      <c r="N372">
        <v>176.9</v>
      </c>
      <c r="O372">
        <v>124.2</v>
      </c>
      <c r="P372">
        <v>211.9</v>
      </c>
      <c r="Q372">
        <v>165.9</v>
      </c>
      <c r="R372">
        <v>197.7</v>
      </c>
      <c r="S372">
        <v>183.1</v>
      </c>
      <c r="T372">
        <v>204.2</v>
      </c>
      <c r="U372">
        <v>181.3</v>
      </c>
      <c r="V372">
        <v>168.1</v>
      </c>
      <c r="W372">
        <v>179.3</v>
      </c>
      <c r="X372">
        <v>175.6</v>
      </c>
      <c r="Y372">
        <v>183.4</v>
      </c>
      <c r="Z372">
        <v>170.1</v>
      </c>
      <c r="AA372">
        <v>182.2</v>
      </c>
      <c r="AB372">
        <v>160.4</v>
      </c>
      <c r="AC372">
        <v>169.2</v>
      </c>
      <c r="AD372">
        <v>174.8</v>
      </c>
      <c r="AE372">
        <v>185.6</v>
      </c>
      <c r="AF372">
        <v>171.6</v>
      </c>
      <c r="AG372">
        <v>178.2</v>
      </c>
      <c r="AH372">
        <f t="shared" si="37"/>
        <v>2335.1</v>
      </c>
      <c r="AI372">
        <f t="shared" si="38"/>
        <v>183.4</v>
      </c>
      <c r="AJ372">
        <f t="shared" si="39"/>
        <v>160.4</v>
      </c>
      <c r="AK372">
        <f t="shared" si="40"/>
        <v>174.8</v>
      </c>
      <c r="AL372">
        <f t="shared" si="41"/>
        <v>1787.2</v>
      </c>
    </row>
    <row r="373" spans="1:38" x14ac:dyDescent="0.3">
      <c r="A373" t="s">
        <v>33</v>
      </c>
      <c r="B373" s="28">
        <f t="shared" si="35"/>
        <v>45047</v>
      </c>
      <c r="C373">
        <v>2023</v>
      </c>
      <c r="D373" t="s">
        <v>37</v>
      </c>
      <c r="E373" t="str">
        <f t="shared" si="36"/>
        <v>May-23</v>
      </c>
      <c r="F373">
        <f>VLOOKUP(D373,'Problem Statement 4'!$G$2:$H$13,2,0)</f>
        <v>5</v>
      </c>
      <c r="G373">
        <v>173.7</v>
      </c>
      <c r="H373">
        <v>214.3</v>
      </c>
      <c r="I373">
        <v>173.2</v>
      </c>
      <c r="J373">
        <v>179.5</v>
      </c>
      <c r="K373">
        <v>170</v>
      </c>
      <c r="L373">
        <v>172.2</v>
      </c>
      <c r="M373">
        <v>161</v>
      </c>
      <c r="N373">
        <v>175.6</v>
      </c>
      <c r="O373">
        <v>122.7</v>
      </c>
      <c r="P373">
        <v>218</v>
      </c>
      <c r="Q373">
        <v>173.4</v>
      </c>
      <c r="R373">
        <v>194.2</v>
      </c>
      <c r="S373">
        <v>179.1</v>
      </c>
      <c r="T373">
        <v>201</v>
      </c>
      <c r="U373">
        <v>187.3</v>
      </c>
      <c r="V373">
        <v>179.7</v>
      </c>
      <c r="W373">
        <v>186.2</v>
      </c>
      <c r="X373">
        <v>175.6</v>
      </c>
      <c r="Y373">
        <v>182.8</v>
      </c>
      <c r="Z373">
        <v>175.2</v>
      </c>
      <c r="AA373">
        <v>185.7</v>
      </c>
      <c r="AB373">
        <v>164.8</v>
      </c>
      <c r="AC373">
        <v>171.2</v>
      </c>
      <c r="AD373">
        <v>177.1</v>
      </c>
      <c r="AE373">
        <v>185.2</v>
      </c>
      <c r="AF373">
        <v>175.7</v>
      </c>
      <c r="AG373">
        <v>179.1</v>
      </c>
      <c r="AH373">
        <f t="shared" si="37"/>
        <v>2306.9</v>
      </c>
      <c r="AI373">
        <f t="shared" si="38"/>
        <v>182.8</v>
      </c>
      <c r="AJ373">
        <f t="shared" si="39"/>
        <v>164.8</v>
      </c>
      <c r="AK373">
        <f t="shared" si="40"/>
        <v>177.1</v>
      </c>
      <c r="AL373">
        <f t="shared" si="41"/>
        <v>1822.8000000000002</v>
      </c>
    </row>
    <row r="375" spans="1:38" x14ac:dyDescent="0.3">
      <c r="D375" s="1"/>
    </row>
  </sheetData>
  <pageMargins left="0.7" right="0.7" top="0.75" bottom="0.75" header="0.3" footer="0.3"/>
  <ignoredErrors>
    <ignoredError sqref="AH2:AH373"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6F50F-6225-429B-B0D3-4C3F72B8D787}">
  <dimension ref="A1:AL109"/>
  <sheetViews>
    <sheetView topLeftCell="A9" workbookViewId="0">
      <selection sqref="A1:B15"/>
    </sheetView>
  </sheetViews>
  <sheetFormatPr defaultRowHeight="14.4" x14ac:dyDescent="0.3"/>
  <cols>
    <col min="2" max="2" width="83" customWidth="1"/>
  </cols>
  <sheetData>
    <row r="1" spans="1:6" ht="20.399999999999999" x14ac:dyDescent="0.35">
      <c r="A1">
        <v>1</v>
      </c>
      <c r="B1" s="43" t="s">
        <v>117</v>
      </c>
      <c r="E1" t="s">
        <v>239</v>
      </c>
    </row>
    <row r="2" spans="1:6" ht="121.8" x14ac:dyDescent="0.3">
      <c r="B2" s="41" t="s">
        <v>109</v>
      </c>
    </row>
    <row r="3" spans="1:6" x14ac:dyDescent="0.3">
      <c r="E3" s="83" t="s">
        <v>240</v>
      </c>
    </row>
    <row r="5" spans="1:6" ht="20.399999999999999" x14ac:dyDescent="0.35">
      <c r="A5">
        <v>2</v>
      </c>
      <c r="B5" s="43" t="s">
        <v>116</v>
      </c>
    </row>
    <row r="7" spans="1:6" ht="18" x14ac:dyDescent="0.3">
      <c r="E7" s="86" t="s">
        <v>241</v>
      </c>
    </row>
    <row r="8" spans="1:6" ht="45" x14ac:dyDescent="0.3">
      <c r="B8" s="42" t="s">
        <v>110</v>
      </c>
    </row>
    <row r="9" spans="1:6" ht="43.2" x14ac:dyDescent="0.3">
      <c r="B9" s="42" t="s">
        <v>111</v>
      </c>
      <c r="E9" s="87" t="s">
        <v>242</v>
      </c>
      <c r="F9" s="87" t="s">
        <v>243</v>
      </c>
    </row>
    <row r="10" spans="1:6" ht="144" x14ac:dyDescent="0.3">
      <c r="B10" s="42" t="s">
        <v>112</v>
      </c>
      <c r="E10" s="88">
        <v>1</v>
      </c>
      <c r="F10" s="88" t="s">
        <v>244</v>
      </c>
    </row>
    <row r="11" spans="1:6" ht="158.4" x14ac:dyDescent="0.3">
      <c r="B11" s="42" t="s">
        <v>113</v>
      </c>
      <c r="E11" s="88">
        <v>2</v>
      </c>
      <c r="F11" s="88" t="s">
        <v>245</v>
      </c>
    </row>
    <row r="12" spans="1:6" ht="158.4" x14ac:dyDescent="0.3">
      <c r="B12" s="42" t="s">
        <v>114</v>
      </c>
      <c r="E12" s="88">
        <v>3</v>
      </c>
      <c r="F12" s="88" t="s">
        <v>246</v>
      </c>
    </row>
    <row r="13" spans="1:6" ht="144" x14ac:dyDescent="0.3">
      <c r="B13" s="42" t="s">
        <v>115</v>
      </c>
      <c r="E13" s="88">
        <v>4</v>
      </c>
      <c r="F13" s="88" t="s">
        <v>247</v>
      </c>
    </row>
    <row r="14" spans="1:6" ht="144" x14ac:dyDescent="0.3">
      <c r="E14" s="88">
        <v>5</v>
      </c>
      <c r="F14" s="88" t="s">
        <v>248</v>
      </c>
    </row>
    <row r="15" spans="1:6" ht="129.6" x14ac:dyDescent="0.3">
      <c r="E15" s="88">
        <v>6</v>
      </c>
      <c r="F15" s="88" t="s">
        <v>249</v>
      </c>
    </row>
    <row r="16" spans="1:6" ht="144" x14ac:dyDescent="0.3">
      <c r="E16" s="88">
        <v>7</v>
      </c>
      <c r="F16" s="88" t="s">
        <v>250</v>
      </c>
    </row>
    <row r="17" spans="1:6" ht="158.4" x14ac:dyDescent="0.3">
      <c r="E17" s="88">
        <v>8</v>
      </c>
      <c r="F17" s="88" t="s">
        <v>251</v>
      </c>
    </row>
    <row r="19" spans="1:6" ht="15" x14ac:dyDescent="0.3">
      <c r="A19">
        <v>3</v>
      </c>
      <c r="B19" s="42" t="s">
        <v>118</v>
      </c>
    </row>
    <row r="20" spans="1:6" x14ac:dyDescent="0.3">
      <c r="E20" t="s">
        <v>252</v>
      </c>
    </row>
    <row r="21" spans="1:6" ht="30" x14ac:dyDescent="0.3">
      <c r="B21" s="44" t="s">
        <v>123</v>
      </c>
    </row>
    <row r="22" spans="1:6" ht="15" x14ac:dyDescent="0.3">
      <c r="B22" s="44" t="s">
        <v>124</v>
      </c>
    </row>
    <row r="23" spans="1:6" ht="15" x14ac:dyDescent="0.3">
      <c r="B23" s="44" t="s">
        <v>119</v>
      </c>
    </row>
    <row r="24" spans="1:6" ht="30" x14ac:dyDescent="0.3">
      <c r="B24" s="44" t="s">
        <v>120</v>
      </c>
    </row>
    <row r="25" spans="1:6" ht="15" x14ac:dyDescent="0.3">
      <c r="B25" s="44" t="s">
        <v>121</v>
      </c>
    </row>
    <row r="26" spans="1:6" ht="15" x14ac:dyDescent="0.3">
      <c r="B26" s="45" t="s">
        <v>125</v>
      </c>
    </row>
    <row r="27" spans="1:6" ht="15" x14ac:dyDescent="0.3">
      <c r="B27" s="45" t="s">
        <v>126</v>
      </c>
    </row>
    <row r="28" spans="1:6" ht="15" x14ac:dyDescent="0.3">
      <c r="B28" s="45" t="s">
        <v>127</v>
      </c>
    </row>
    <row r="29" spans="1:6" ht="30" x14ac:dyDescent="0.3">
      <c r="B29" s="45" t="s">
        <v>128</v>
      </c>
    </row>
    <row r="30" spans="1:6" ht="30" x14ac:dyDescent="0.3">
      <c r="B30" s="44" t="s">
        <v>122</v>
      </c>
    </row>
    <row r="31" spans="1:6" ht="15" x14ac:dyDescent="0.3">
      <c r="B31" s="45" t="s">
        <v>129</v>
      </c>
    </row>
    <row r="34" spans="1:2" ht="18" x14ac:dyDescent="0.35">
      <c r="A34">
        <v>4</v>
      </c>
      <c r="B34" s="46" t="s">
        <v>130</v>
      </c>
    </row>
    <row r="35" spans="1:2" ht="45" x14ac:dyDescent="0.3">
      <c r="B35" s="44" t="s">
        <v>136</v>
      </c>
    </row>
    <row r="36" spans="1:2" ht="30" x14ac:dyDescent="0.3">
      <c r="B36" s="44" t="s">
        <v>137</v>
      </c>
    </row>
    <row r="37" spans="1:2" ht="30" x14ac:dyDescent="0.3">
      <c r="B37" s="44" t="s">
        <v>138</v>
      </c>
    </row>
    <row r="38" spans="1:2" ht="60" x14ac:dyDescent="0.3">
      <c r="B38" s="44" t="s">
        <v>143</v>
      </c>
    </row>
    <row r="39" spans="1:2" ht="45" x14ac:dyDescent="0.3">
      <c r="B39" s="44" t="s">
        <v>144</v>
      </c>
    </row>
    <row r="40" spans="1:2" ht="30" x14ac:dyDescent="0.3">
      <c r="B40" s="44" t="s">
        <v>145</v>
      </c>
    </row>
    <row r="41" spans="1:2" ht="30" x14ac:dyDescent="0.3">
      <c r="B41" s="44" t="s">
        <v>146</v>
      </c>
    </row>
    <row r="42" spans="1:2" ht="30" x14ac:dyDescent="0.3">
      <c r="B42" s="44" t="s">
        <v>147</v>
      </c>
    </row>
    <row r="43" spans="1:2" ht="30" x14ac:dyDescent="0.3">
      <c r="B43" s="44" t="s">
        <v>148</v>
      </c>
    </row>
    <row r="49" spans="1:5" ht="15" x14ac:dyDescent="0.3">
      <c r="A49">
        <v>5</v>
      </c>
      <c r="B49" s="44" t="s">
        <v>142</v>
      </c>
    </row>
    <row r="50" spans="1:5" ht="15" x14ac:dyDescent="0.3">
      <c r="B50" s="44" t="s">
        <v>140</v>
      </c>
    </row>
    <row r="51" spans="1:5" ht="15" x14ac:dyDescent="0.3">
      <c r="B51" s="44"/>
    </row>
    <row r="52" spans="1:5" ht="45" x14ac:dyDescent="0.3">
      <c r="B52" s="44" t="s">
        <v>149</v>
      </c>
    </row>
    <row r="53" spans="1:5" ht="30" x14ac:dyDescent="0.3">
      <c r="B53" s="55" t="s">
        <v>150</v>
      </c>
    </row>
    <row r="54" spans="1:5" ht="45" x14ac:dyDescent="0.3">
      <c r="B54" s="55" t="s">
        <v>151</v>
      </c>
    </row>
    <row r="55" spans="1:5" ht="30" x14ac:dyDescent="0.3">
      <c r="B55" s="55" t="s">
        <v>152</v>
      </c>
    </row>
    <row r="56" spans="1:5" ht="30" x14ac:dyDescent="0.3">
      <c r="B56" s="55" t="s">
        <v>153</v>
      </c>
    </row>
    <row r="57" spans="1:5" ht="30" x14ac:dyDescent="0.3">
      <c r="B57" s="55" t="s">
        <v>154</v>
      </c>
    </row>
    <row r="58" spans="1:5" ht="30" x14ac:dyDescent="0.3">
      <c r="B58" s="55" t="s">
        <v>155</v>
      </c>
    </row>
    <row r="59" spans="1:5" ht="15.6" x14ac:dyDescent="0.3">
      <c r="B59" s="56"/>
    </row>
    <row r="60" spans="1:5" ht="30" x14ac:dyDescent="0.3">
      <c r="B60" s="57" t="s">
        <v>141</v>
      </c>
    </row>
    <row r="63" spans="1:5" x14ac:dyDescent="0.3">
      <c r="E63" t="s">
        <v>223</v>
      </c>
    </row>
    <row r="64" spans="1:5" ht="15" x14ac:dyDescent="0.3">
      <c r="A64">
        <v>6</v>
      </c>
      <c r="B64" s="57" t="s">
        <v>159</v>
      </c>
    </row>
    <row r="65" spans="2:5" ht="30" x14ac:dyDescent="0.3">
      <c r="B65" s="57" t="s">
        <v>156</v>
      </c>
    </row>
    <row r="66" spans="2:5" x14ac:dyDescent="0.3">
      <c r="B66" s="3"/>
    </row>
    <row r="67" spans="2:5" ht="30" x14ac:dyDescent="0.3">
      <c r="B67" s="57" t="s">
        <v>160</v>
      </c>
      <c r="E67" s="86" t="s">
        <v>224</v>
      </c>
    </row>
    <row r="68" spans="2:5" ht="30" x14ac:dyDescent="0.3">
      <c r="B68" s="42" t="s">
        <v>161</v>
      </c>
      <c r="E68" s="78"/>
    </row>
    <row r="69" spans="2:5" ht="30" x14ac:dyDescent="0.3">
      <c r="B69" s="42" t="s">
        <v>162</v>
      </c>
      <c r="E69" s="78" t="s">
        <v>225</v>
      </c>
    </row>
    <row r="70" spans="2:5" ht="30" x14ac:dyDescent="0.3">
      <c r="B70" s="42" t="s">
        <v>163</v>
      </c>
      <c r="E70" s="78" t="s">
        <v>226</v>
      </c>
    </row>
    <row r="71" spans="2:5" ht="30" x14ac:dyDescent="0.3">
      <c r="B71" s="42" t="s">
        <v>164</v>
      </c>
      <c r="E71" s="78" t="s">
        <v>227</v>
      </c>
    </row>
    <row r="72" spans="2:5" ht="15.6" x14ac:dyDescent="0.3">
      <c r="B72" s="56"/>
      <c r="E72" s="78" t="s">
        <v>228</v>
      </c>
    </row>
    <row r="73" spans="2:5" ht="15" x14ac:dyDescent="0.3">
      <c r="B73" s="55" t="s">
        <v>157</v>
      </c>
      <c r="E73" s="78" t="s">
        <v>229</v>
      </c>
    </row>
    <row r="74" spans="2:5" ht="45" x14ac:dyDescent="0.3">
      <c r="B74" s="57" t="s">
        <v>158</v>
      </c>
      <c r="E74" s="78" t="s">
        <v>230</v>
      </c>
    </row>
    <row r="75" spans="2:5" x14ac:dyDescent="0.3">
      <c r="E75" s="78" t="s">
        <v>231</v>
      </c>
    </row>
    <row r="76" spans="2:5" x14ac:dyDescent="0.3">
      <c r="E76" s="78" t="s">
        <v>232</v>
      </c>
    </row>
    <row r="77" spans="2:5" x14ac:dyDescent="0.3">
      <c r="E77" s="78" t="s">
        <v>233</v>
      </c>
    </row>
    <row r="78" spans="2:5" x14ac:dyDescent="0.3">
      <c r="E78" s="78" t="s">
        <v>234</v>
      </c>
    </row>
    <row r="79" spans="2:5" x14ac:dyDescent="0.3">
      <c r="E79" s="78" t="s">
        <v>235</v>
      </c>
    </row>
    <row r="80" spans="2:5" x14ac:dyDescent="0.3">
      <c r="E80" s="78" t="s">
        <v>236</v>
      </c>
    </row>
    <row r="81" spans="1:38" x14ac:dyDescent="0.3">
      <c r="E81" s="78" t="s">
        <v>237</v>
      </c>
    </row>
    <row r="83" spans="1:38" x14ac:dyDescent="0.3">
      <c r="A83" t="s">
        <v>0</v>
      </c>
      <c r="B83" t="s">
        <v>107</v>
      </c>
      <c r="C83" t="s">
        <v>1</v>
      </c>
      <c r="F83" t="s">
        <v>108</v>
      </c>
      <c r="G83" s="1" t="s">
        <v>3</v>
      </c>
      <c r="H83" s="1" t="s">
        <v>4</v>
      </c>
      <c r="I83" s="1" t="s">
        <v>5</v>
      </c>
      <c r="J83" s="1" t="s">
        <v>6</v>
      </c>
      <c r="K83" s="1" t="s">
        <v>7</v>
      </c>
      <c r="L83" s="1" t="s">
        <v>8</v>
      </c>
      <c r="M83" s="1" t="s">
        <v>9</v>
      </c>
      <c r="N83" s="1" t="s">
        <v>10</v>
      </c>
      <c r="O83" s="1" t="s">
        <v>11</v>
      </c>
      <c r="P83" s="1" t="s">
        <v>12</v>
      </c>
      <c r="Q83" s="1" t="s">
        <v>13</v>
      </c>
      <c r="R83" s="1" t="s">
        <v>14</v>
      </c>
      <c r="S83" s="1" t="s">
        <v>15</v>
      </c>
      <c r="T83" s="1" t="s">
        <v>16</v>
      </c>
      <c r="U83" s="1" t="s">
        <v>17</v>
      </c>
      <c r="V83" s="1" t="s">
        <v>18</v>
      </c>
      <c r="W83" s="1" t="s">
        <v>19</v>
      </c>
      <c r="X83" t="s">
        <v>20</v>
      </c>
      <c r="Y83" t="s">
        <v>21</v>
      </c>
      <c r="Z83" t="s">
        <v>22</v>
      </c>
      <c r="AA83" t="s">
        <v>23</v>
      </c>
      <c r="AB83" t="s">
        <v>24</v>
      </c>
      <c r="AC83" t="s">
        <v>25</v>
      </c>
      <c r="AD83" t="s">
        <v>26</v>
      </c>
      <c r="AE83" t="s">
        <v>27</v>
      </c>
      <c r="AF83" t="s">
        <v>28</v>
      </c>
      <c r="AG83" t="s">
        <v>29</v>
      </c>
      <c r="AH83" t="s">
        <v>47</v>
      </c>
      <c r="AI83" t="s">
        <v>53</v>
      </c>
      <c r="AJ83" t="s">
        <v>54</v>
      </c>
      <c r="AK83" t="s">
        <v>26</v>
      </c>
      <c r="AL83" t="s">
        <v>55</v>
      </c>
    </row>
    <row r="84" spans="1:38" x14ac:dyDescent="0.3">
      <c r="A84" t="s">
        <v>33</v>
      </c>
      <c r="B84" s="28">
        <v>44197</v>
      </c>
      <c r="C84">
        <v>2021</v>
      </c>
      <c r="D84" t="s">
        <v>31</v>
      </c>
      <c r="F84">
        <v>1</v>
      </c>
      <c r="G84">
        <v>144.9</v>
      </c>
      <c r="H84">
        <v>190.1</v>
      </c>
      <c r="I84">
        <v>175.3</v>
      </c>
      <c r="J84">
        <v>154.1</v>
      </c>
      <c r="K84">
        <v>150.9</v>
      </c>
      <c r="L84">
        <v>149.6</v>
      </c>
      <c r="M84">
        <v>194.2</v>
      </c>
      <c r="N84">
        <v>160.4</v>
      </c>
      <c r="O84">
        <v>114.6</v>
      </c>
      <c r="P84">
        <v>164</v>
      </c>
      <c r="Q84">
        <v>151.80000000000001</v>
      </c>
      <c r="R84">
        <v>165.6</v>
      </c>
      <c r="S84">
        <v>161</v>
      </c>
      <c r="T84">
        <v>186.5</v>
      </c>
      <c r="U84">
        <v>155.5</v>
      </c>
      <c r="V84">
        <v>146.1</v>
      </c>
      <c r="W84">
        <v>154.19999999999999</v>
      </c>
      <c r="X84">
        <v>157.69999999999999</v>
      </c>
      <c r="Y84">
        <v>147.9</v>
      </c>
      <c r="Z84">
        <v>150</v>
      </c>
      <c r="AA84">
        <v>159.30000000000001</v>
      </c>
      <c r="AB84">
        <v>141.9</v>
      </c>
      <c r="AC84">
        <v>149.6</v>
      </c>
      <c r="AD84">
        <v>159.19999999999999</v>
      </c>
      <c r="AE84">
        <v>156.80000000000001</v>
      </c>
      <c r="AF84">
        <v>151.9</v>
      </c>
      <c r="AG84">
        <v>157.30000000000001</v>
      </c>
      <c r="AH84">
        <v>2076.5</v>
      </c>
      <c r="AI84">
        <v>147.9</v>
      </c>
      <c r="AJ84">
        <v>141.9</v>
      </c>
      <c r="AK84">
        <v>159.19999999999999</v>
      </c>
      <c r="AL84">
        <v>1567.6</v>
      </c>
    </row>
    <row r="85" spans="1:38" x14ac:dyDescent="0.3">
      <c r="A85" t="s">
        <v>33</v>
      </c>
      <c r="B85" s="28">
        <v>44228</v>
      </c>
      <c r="C85">
        <v>2021</v>
      </c>
      <c r="D85" t="s">
        <v>34</v>
      </c>
      <c r="E85" t="s">
        <v>238</v>
      </c>
      <c r="F85">
        <v>2</v>
      </c>
      <c r="G85">
        <v>144.30000000000001</v>
      </c>
      <c r="H85">
        <v>186.5</v>
      </c>
      <c r="I85">
        <v>168.7</v>
      </c>
      <c r="J85">
        <v>154.69999999999999</v>
      </c>
      <c r="K85">
        <v>158.69999999999999</v>
      </c>
      <c r="L85">
        <v>150.69999999999999</v>
      </c>
      <c r="M85">
        <v>160</v>
      </c>
      <c r="N85">
        <v>158.80000000000001</v>
      </c>
      <c r="O85">
        <v>112.8</v>
      </c>
      <c r="P85">
        <v>164.2</v>
      </c>
      <c r="Q85">
        <v>155.5</v>
      </c>
      <c r="R85">
        <v>167.5</v>
      </c>
      <c r="S85">
        <v>156.9</v>
      </c>
      <c r="T85">
        <v>188.3</v>
      </c>
      <c r="U85">
        <v>157.19999999999999</v>
      </c>
      <c r="V85">
        <v>147.4</v>
      </c>
      <c r="W85">
        <v>155.80000000000001</v>
      </c>
      <c r="X85">
        <v>159.80000000000001</v>
      </c>
      <c r="Y85">
        <v>152.4</v>
      </c>
      <c r="Z85">
        <v>150.9</v>
      </c>
      <c r="AA85">
        <v>161.30000000000001</v>
      </c>
      <c r="AB85">
        <v>145.1</v>
      </c>
      <c r="AC85">
        <v>151.5</v>
      </c>
      <c r="AD85">
        <v>159.5</v>
      </c>
      <c r="AE85">
        <v>155.80000000000001</v>
      </c>
      <c r="AF85">
        <v>153.4</v>
      </c>
      <c r="AG85">
        <v>156.6</v>
      </c>
      <c r="AH85">
        <v>2039.3000000000002</v>
      </c>
      <c r="AI85">
        <v>152.4</v>
      </c>
      <c r="AJ85">
        <v>145.1</v>
      </c>
      <c r="AK85">
        <v>159.5</v>
      </c>
      <c r="AL85">
        <v>1581.4</v>
      </c>
    </row>
    <row r="86" spans="1:38" x14ac:dyDescent="0.3">
      <c r="A86" t="s">
        <v>33</v>
      </c>
      <c r="B86" s="28">
        <v>44256</v>
      </c>
      <c r="C86">
        <v>2021</v>
      </c>
      <c r="D86" t="s">
        <v>35</v>
      </c>
      <c r="E86" t="s">
        <v>192</v>
      </c>
      <c r="F86">
        <v>3</v>
      </c>
      <c r="G86">
        <v>144.1</v>
      </c>
      <c r="H86">
        <v>192.2</v>
      </c>
      <c r="I86">
        <v>163.80000000000001</v>
      </c>
      <c r="J86">
        <v>154.9</v>
      </c>
      <c r="K86">
        <v>163.9</v>
      </c>
      <c r="L86">
        <v>153.69999999999999</v>
      </c>
      <c r="M86">
        <v>149.5</v>
      </c>
      <c r="N86">
        <v>159.80000000000001</v>
      </c>
      <c r="O86">
        <v>112.6</v>
      </c>
      <c r="P86">
        <v>163.5</v>
      </c>
      <c r="Q86">
        <v>156.5</v>
      </c>
      <c r="R86">
        <v>168.2</v>
      </c>
      <c r="S86">
        <v>156.69999999999999</v>
      </c>
      <c r="T86">
        <v>188.1</v>
      </c>
      <c r="U86">
        <v>157.80000000000001</v>
      </c>
      <c r="V86">
        <v>147.9</v>
      </c>
      <c r="W86">
        <v>156.4</v>
      </c>
      <c r="X86">
        <v>159.9</v>
      </c>
      <c r="Y86">
        <v>155.5</v>
      </c>
      <c r="Z86">
        <v>151.19999999999999</v>
      </c>
      <c r="AA86">
        <v>161.69999999999999</v>
      </c>
      <c r="AB86">
        <v>146.19999999999999</v>
      </c>
      <c r="AC86">
        <v>152.6</v>
      </c>
      <c r="AD86">
        <v>160.19999999999999</v>
      </c>
      <c r="AE86">
        <v>153.80000000000001</v>
      </c>
      <c r="AF86">
        <v>153.80000000000001</v>
      </c>
      <c r="AG86">
        <v>156.80000000000001</v>
      </c>
      <c r="AH86">
        <v>2039.3999999999999</v>
      </c>
      <c r="AI86">
        <v>155.5</v>
      </c>
      <c r="AJ86">
        <v>146.19999999999999</v>
      </c>
      <c r="AK86">
        <v>160.19999999999999</v>
      </c>
      <c r="AL86">
        <v>1583.1999999999998</v>
      </c>
    </row>
    <row r="87" spans="1:38" x14ac:dyDescent="0.3">
      <c r="A87" t="s">
        <v>33</v>
      </c>
      <c r="B87" s="28">
        <v>44287</v>
      </c>
      <c r="C87">
        <v>2021</v>
      </c>
      <c r="D87" t="s">
        <v>36</v>
      </c>
      <c r="E87" t="s">
        <v>193</v>
      </c>
      <c r="F87">
        <v>4</v>
      </c>
      <c r="G87">
        <v>144.30000000000001</v>
      </c>
      <c r="H87">
        <v>198</v>
      </c>
      <c r="I87">
        <v>164.6</v>
      </c>
      <c r="J87">
        <v>155.4</v>
      </c>
      <c r="K87">
        <v>170.1</v>
      </c>
      <c r="L87">
        <v>164.4</v>
      </c>
      <c r="M87">
        <v>144.1</v>
      </c>
      <c r="N87">
        <v>161.69999999999999</v>
      </c>
      <c r="O87">
        <v>113.1</v>
      </c>
      <c r="P87">
        <v>163.9</v>
      </c>
      <c r="Q87">
        <v>157.6</v>
      </c>
      <c r="R87">
        <v>168.9</v>
      </c>
      <c r="S87">
        <v>158</v>
      </c>
      <c r="T87">
        <v>188.8</v>
      </c>
      <c r="U87">
        <v>158.80000000000001</v>
      </c>
      <c r="V87">
        <v>148.5</v>
      </c>
      <c r="W87">
        <v>157.30000000000001</v>
      </c>
      <c r="X87">
        <v>161.4</v>
      </c>
      <c r="Y87">
        <v>155.6</v>
      </c>
      <c r="Z87">
        <v>151.80000000000001</v>
      </c>
      <c r="AA87">
        <v>162.30000000000001</v>
      </c>
      <c r="AB87">
        <v>146.6</v>
      </c>
      <c r="AC87">
        <v>153.19999999999999</v>
      </c>
      <c r="AD87">
        <v>160.30000000000001</v>
      </c>
      <c r="AE87">
        <v>155.4</v>
      </c>
      <c r="AF87">
        <v>154.4</v>
      </c>
      <c r="AG87">
        <v>157.80000000000001</v>
      </c>
      <c r="AH87">
        <v>2064.1</v>
      </c>
      <c r="AI87">
        <v>155.6</v>
      </c>
      <c r="AJ87">
        <v>146.6</v>
      </c>
      <c r="AK87">
        <v>160.30000000000001</v>
      </c>
      <c r="AL87">
        <v>1591.9000000000003</v>
      </c>
    </row>
    <row r="88" spans="1:38" x14ac:dyDescent="0.3">
      <c r="A88" t="s">
        <v>33</v>
      </c>
      <c r="B88" s="28">
        <v>44317</v>
      </c>
      <c r="C88">
        <v>2021</v>
      </c>
      <c r="D88" t="s">
        <v>37</v>
      </c>
      <c r="E88" t="s">
        <v>194</v>
      </c>
      <c r="F88">
        <v>5</v>
      </c>
      <c r="G88">
        <v>146.30000000000001</v>
      </c>
      <c r="H88">
        <v>200.5</v>
      </c>
      <c r="I88">
        <v>170.3</v>
      </c>
      <c r="J88">
        <v>156.1</v>
      </c>
      <c r="K88">
        <v>178.7</v>
      </c>
      <c r="L88">
        <v>167.1</v>
      </c>
      <c r="M88">
        <v>147.9</v>
      </c>
      <c r="N88">
        <v>165.4</v>
      </c>
      <c r="O88">
        <v>114.8</v>
      </c>
      <c r="P88">
        <v>168.2</v>
      </c>
      <c r="Q88">
        <v>159.30000000000001</v>
      </c>
      <c r="R88">
        <v>170.4</v>
      </c>
      <c r="S88">
        <v>160.69999999999999</v>
      </c>
      <c r="T88">
        <v>191.9</v>
      </c>
      <c r="U88">
        <v>161.80000000000001</v>
      </c>
      <c r="V88">
        <v>152.1</v>
      </c>
      <c r="W88">
        <v>160.4</v>
      </c>
      <c r="X88">
        <v>161.6</v>
      </c>
      <c r="Y88">
        <v>159.4</v>
      </c>
      <c r="Z88">
        <v>154.69999999999999</v>
      </c>
      <c r="AA88">
        <v>165.8</v>
      </c>
      <c r="AB88">
        <v>148.9</v>
      </c>
      <c r="AC88">
        <v>155.80000000000001</v>
      </c>
      <c r="AD88">
        <v>161.19999999999999</v>
      </c>
      <c r="AE88">
        <v>158.6</v>
      </c>
      <c r="AF88">
        <v>156.80000000000001</v>
      </c>
      <c r="AG88">
        <v>160.4</v>
      </c>
      <c r="AH88">
        <v>2105.7000000000003</v>
      </c>
      <c r="AI88">
        <v>159.4</v>
      </c>
      <c r="AJ88">
        <v>148.9</v>
      </c>
      <c r="AK88">
        <v>161.19999999999999</v>
      </c>
      <c r="AL88">
        <v>1619.4999999999998</v>
      </c>
    </row>
    <row r="89" spans="1:38" x14ac:dyDescent="0.3">
      <c r="A89" t="s">
        <v>33</v>
      </c>
      <c r="B89" s="28">
        <v>44348</v>
      </c>
      <c r="C89">
        <v>2021</v>
      </c>
      <c r="D89" t="s">
        <v>38</v>
      </c>
      <c r="E89" t="s">
        <v>195</v>
      </c>
      <c r="F89">
        <v>6</v>
      </c>
      <c r="G89">
        <v>146.69999999999999</v>
      </c>
      <c r="H89">
        <v>202</v>
      </c>
      <c r="I89">
        <v>180.7</v>
      </c>
      <c r="J89">
        <v>156.19999999999999</v>
      </c>
      <c r="K89">
        <v>183.7</v>
      </c>
      <c r="L89">
        <v>164.6</v>
      </c>
      <c r="M89">
        <v>155.4</v>
      </c>
      <c r="N89">
        <v>166</v>
      </c>
      <c r="O89">
        <v>115.1</v>
      </c>
      <c r="P89">
        <v>168.5</v>
      </c>
      <c r="Q89">
        <v>160</v>
      </c>
      <c r="R89">
        <v>172.4</v>
      </c>
      <c r="S89">
        <v>162.6</v>
      </c>
      <c r="T89">
        <v>190.8</v>
      </c>
      <c r="U89">
        <v>162.19999999999999</v>
      </c>
      <c r="V89">
        <v>151.80000000000001</v>
      </c>
      <c r="W89">
        <v>160.69999999999999</v>
      </c>
      <c r="X89">
        <v>160.5</v>
      </c>
      <c r="Y89">
        <v>159.80000000000001</v>
      </c>
      <c r="Z89">
        <v>154.80000000000001</v>
      </c>
      <c r="AA89">
        <v>166.3</v>
      </c>
      <c r="AB89">
        <v>150.69999999999999</v>
      </c>
      <c r="AC89">
        <v>154.9</v>
      </c>
      <c r="AD89">
        <v>161.69999999999999</v>
      </c>
      <c r="AE89">
        <v>158.80000000000001</v>
      </c>
      <c r="AF89">
        <v>157.6</v>
      </c>
      <c r="AG89">
        <v>161.30000000000001</v>
      </c>
      <c r="AH89">
        <v>2133.9</v>
      </c>
      <c r="AI89">
        <v>159.80000000000001</v>
      </c>
      <c r="AJ89">
        <v>150.69999999999999</v>
      </c>
      <c r="AK89">
        <v>161.69999999999999</v>
      </c>
      <c r="AL89">
        <v>1618.3999999999999</v>
      </c>
    </row>
    <row r="90" spans="1:38" x14ac:dyDescent="0.3">
      <c r="A90" t="s">
        <v>33</v>
      </c>
      <c r="B90" s="28">
        <v>44378</v>
      </c>
      <c r="C90">
        <v>2021</v>
      </c>
      <c r="D90" t="s">
        <v>39</v>
      </c>
      <c r="E90" t="s">
        <v>196</v>
      </c>
      <c r="F90">
        <v>7</v>
      </c>
      <c r="G90">
        <v>146.4</v>
      </c>
      <c r="H90">
        <v>206.8</v>
      </c>
      <c r="I90">
        <v>182.2</v>
      </c>
      <c r="J90">
        <v>157.5</v>
      </c>
      <c r="K90">
        <v>182.1</v>
      </c>
      <c r="L90">
        <v>163.9</v>
      </c>
      <c r="M90">
        <v>164.2</v>
      </c>
      <c r="N90">
        <v>164</v>
      </c>
      <c r="O90">
        <v>114.5</v>
      </c>
      <c r="P90">
        <v>168.3</v>
      </c>
      <c r="Q90">
        <v>160.9</v>
      </c>
      <c r="R90">
        <v>172.2</v>
      </c>
      <c r="S90">
        <v>164</v>
      </c>
      <c r="T90">
        <v>191.2</v>
      </c>
      <c r="U90">
        <v>162.80000000000001</v>
      </c>
      <c r="V90">
        <v>153.1</v>
      </c>
      <c r="W90">
        <v>161.4</v>
      </c>
      <c r="X90">
        <v>161.5</v>
      </c>
      <c r="Y90">
        <v>160.69999999999999</v>
      </c>
      <c r="Z90">
        <v>155.80000000000001</v>
      </c>
      <c r="AA90">
        <v>167</v>
      </c>
      <c r="AB90">
        <v>153.1</v>
      </c>
      <c r="AC90">
        <v>155.30000000000001</v>
      </c>
      <c r="AD90">
        <v>163.19999999999999</v>
      </c>
      <c r="AE90">
        <v>160.1</v>
      </c>
      <c r="AF90">
        <v>159</v>
      </c>
      <c r="AG90">
        <v>162.5</v>
      </c>
      <c r="AH90">
        <v>2147</v>
      </c>
      <c r="AI90">
        <v>160.69999999999999</v>
      </c>
      <c r="AJ90">
        <v>153.1</v>
      </c>
      <c r="AK90">
        <v>163.19999999999999</v>
      </c>
      <c r="AL90">
        <v>1627.1999999999998</v>
      </c>
    </row>
    <row r="91" spans="1:38" x14ac:dyDescent="0.3">
      <c r="A91" t="s">
        <v>33</v>
      </c>
      <c r="B91" s="28">
        <v>44409</v>
      </c>
      <c r="C91">
        <v>2021</v>
      </c>
      <c r="D91" t="s">
        <v>40</v>
      </c>
      <c r="E91" t="s">
        <v>197</v>
      </c>
      <c r="F91">
        <v>8</v>
      </c>
      <c r="G91">
        <v>146.6</v>
      </c>
      <c r="H91">
        <v>204</v>
      </c>
      <c r="I91">
        <v>172.8</v>
      </c>
      <c r="J91">
        <v>158.4</v>
      </c>
      <c r="K91">
        <v>188</v>
      </c>
      <c r="L91">
        <v>156.80000000000001</v>
      </c>
      <c r="M91">
        <v>162.19999999999999</v>
      </c>
      <c r="N91">
        <v>164.1</v>
      </c>
      <c r="O91">
        <v>119.7</v>
      </c>
      <c r="P91">
        <v>168.8</v>
      </c>
      <c r="Q91">
        <v>162.69999999999999</v>
      </c>
      <c r="R91">
        <v>173.9</v>
      </c>
      <c r="S91">
        <v>164</v>
      </c>
      <c r="T91">
        <v>192.1</v>
      </c>
      <c r="U91">
        <v>164.5</v>
      </c>
      <c r="V91">
        <v>155.30000000000001</v>
      </c>
      <c r="W91">
        <v>163.19999999999999</v>
      </c>
      <c r="X91">
        <v>162.1</v>
      </c>
      <c r="Y91">
        <v>162.6</v>
      </c>
      <c r="Z91">
        <v>157.5</v>
      </c>
      <c r="AA91">
        <v>168.4</v>
      </c>
      <c r="AB91">
        <v>154</v>
      </c>
      <c r="AC91">
        <v>157.6</v>
      </c>
      <c r="AD91">
        <v>163.80000000000001</v>
      </c>
      <c r="AE91">
        <v>160</v>
      </c>
      <c r="AF91">
        <v>160</v>
      </c>
      <c r="AG91">
        <v>163.19999999999999</v>
      </c>
      <c r="AH91">
        <v>2142</v>
      </c>
      <c r="AI91">
        <v>162.6</v>
      </c>
      <c r="AJ91">
        <v>154</v>
      </c>
      <c r="AK91">
        <v>163.80000000000001</v>
      </c>
      <c r="AL91">
        <v>1640.7</v>
      </c>
    </row>
    <row r="92" spans="1:38" x14ac:dyDescent="0.3">
      <c r="A92" t="s">
        <v>33</v>
      </c>
      <c r="B92" s="28">
        <v>44440</v>
      </c>
      <c r="C92">
        <v>2021</v>
      </c>
      <c r="D92" t="s">
        <v>41</v>
      </c>
      <c r="E92" t="s">
        <v>198</v>
      </c>
      <c r="F92">
        <v>9</v>
      </c>
      <c r="G92">
        <v>146.6</v>
      </c>
      <c r="H92">
        <v>204</v>
      </c>
      <c r="I92">
        <v>172.8</v>
      </c>
      <c r="J92">
        <v>158.4</v>
      </c>
      <c r="K92">
        <v>188</v>
      </c>
      <c r="L92">
        <v>156.69999999999999</v>
      </c>
      <c r="M92">
        <v>162.30000000000001</v>
      </c>
      <c r="N92">
        <v>164.1</v>
      </c>
      <c r="O92">
        <v>119.7</v>
      </c>
      <c r="P92">
        <v>168.8</v>
      </c>
      <c r="Q92">
        <v>162.69999999999999</v>
      </c>
      <c r="R92">
        <v>173.9</v>
      </c>
      <c r="S92">
        <v>164</v>
      </c>
      <c r="T92">
        <v>192.1</v>
      </c>
      <c r="U92">
        <v>164.6</v>
      </c>
      <c r="V92">
        <v>155.30000000000001</v>
      </c>
      <c r="W92">
        <v>163.30000000000001</v>
      </c>
      <c r="X92">
        <v>162.1</v>
      </c>
      <c r="Y92">
        <v>162.6</v>
      </c>
      <c r="Z92">
        <v>157.5</v>
      </c>
      <c r="AA92">
        <v>168.4</v>
      </c>
      <c r="AB92">
        <v>154</v>
      </c>
      <c r="AC92">
        <v>157.69999999999999</v>
      </c>
      <c r="AD92">
        <v>163.69999999999999</v>
      </c>
      <c r="AE92">
        <v>160</v>
      </c>
      <c r="AF92">
        <v>160</v>
      </c>
      <c r="AG92">
        <v>163.19999999999999</v>
      </c>
      <c r="AH92">
        <v>2142</v>
      </c>
      <c r="AI92">
        <v>162.6</v>
      </c>
      <c r="AJ92">
        <v>154</v>
      </c>
      <c r="AK92">
        <v>163.69999999999999</v>
      </c>
      <c r="AL92">
        <v>1641</v>
      </c>
    </row>
    <row r="93" spans="1:38" x14ac:dyDescent="0.3">
      <c r="A93" t="s">
        <v>33</v>
      </c>
      <c r="B93" s="28">
        <v>44470</v>
      </c>
      <c r="C93">
        <v>2021</v>
      </c>
      <c r="D93" t="s">
        <v>42</v>
      </c>
      <c r="E93" t="s">
        <v>199</v>
      </c>
      <c r="F93">
        <v>10</v>
      </c>
      <c r="G93">
        <v>147.4</v>
      </c>
      <c r="H93">
        <v>204.6</v>
      </c>
      <c r="I93">
        <v>171.2</v>
      </c>
      <c r="J93">
        <v>158.69999999999999</v>
      </c>
      <c r="K93">
        <v>190.6</v>
      </c>
      <c r="L93">
        <v>155.69999999999999</v>
      </c>
      <c r="M93">
        <v>185.3</v>
      </c>
      <c r="N93">
        <v>165.2</v>
      </c>
      <c r="O93">
        <v>121.9</v>
      </c>
      <c r="P93">
        <v>169.3</v>
      </c>
      <c r="Q93">
        <v>163.19999999999999</v>
      </c>
      <c r="R93">
        <v>174.7</v>
      </c>
      <c r="S93">
        <v>167.7</v>
      </c>
      <c r="T93">
        <v>192.7</v>
      </c>
      <c r="U93">
        <v>165.7</v>
      </c>
      <c r="V93">
        <v>156.30000000000001</v>
      </c>
      <c r="W93">
        <v>164.3</v>
      </c>
      <c r="X93">
        <v>163.6</v>
      </c>
      <c r="Y93">
        <v>164.2</v>
      </c>
      <c r="Z93">
        <v>158.4</v>
      </c>
      <c r="AA93">
        <v>169.1</v>
      </c>
      <c r="AB93">
        <v>155.69999999999999</v>
      </c>
      <c r="AC93">
        <v>158.6</v>
      </c>
      <c r="AD93">
        <v>163.9</v>
      </c>
      <c r="AE93">
        <v>160.80000000000001</v>
      </c>
      <c r="AF93">
        <v>161</v>
      </c>
      <c r="AG93">
        <v>165.5</v>
      </c>
      <c r="AH93">
        <v>2175.5</v>
      </c>
      <c r="AI93">
        <v>164.2</v>
      </c>
      <c r="AJ93">
        <v>155.69999999999999</v>
      </c>
      <c r="AK93">
        <v>163.9</v>
      </c>
      <c r="AL93">
        <v>1650.4999999999998</v>
      </c>
    </row>
    <row r="94" spans="1:38" x14ac:dyDescent="0.3">
      <c r="A94" t="s">
        <v>33</v>
      </c>
      <c r="B94" s="28">
        <v>44501</v>
      </c>
      <c r="C94">
        <v>2021</v>
      </c>
      <c r="D94" t="s">
        <v>44</v>
      </c>
      <c r="E94" t="s">
        <v>200</v>
      </c>
      <c r="F94">
        <v>11</v>
      </c>
      <c r="G94">
        <v>148.19999999999999</v>
      </c>
      <c r="H94">
        <v>201.6</v>
      </c>
      <c r="I94">
        <v>173</v>
      </c>
      <c r="J94">
        <v>159.30000000000001</v>
      </c>
      <c r="K94">
        <v>190.1</v>
      </c>
      <c r="L94">
        <v>156.5</v>
      </c>
      <c r="M94">
        <v>199.2</v>
      </c>
      <c r="N94">
        <v>165.3</v>
      </c>
      <c r="O94">
        <v>122.4</v>
      </c>
      <c r="P94">
        <v>169.6</v>
      </c>
      <c r="Q94">
        <v>163.69999999999999</v>
      </c>
      <c r="R94">
        <v>175.5</v>
      </c>
      <c r="S94">
        <v>169.7</v>
      </c>
      <c r="T94">
        <v>192.9</v>
      </c>
      <c r="U94">
        <v>167.2</v>
      </c>
      <c r="V94">
        <v>157.4</v>
      </c>
      <c r="W94">
        <v>165.8</v>
      </c>
      <c r="X94">
        <v>164.2</v>
      </c>
      <c r="Y94">
        <v>163.9</v>
      </c>
      <c r="Z94">
        <v>159.30000000000001</v>
      </c>
      <c r="AA94">
        <v>169.9</v>
      </c>
      <c r="AB94">
        <v>154.80000000000001</v>
      </c>
      <c r="AC94">
        <v>159.80000000000001</v>
      </c>
      <c r="AD94">
        <v>164.3</v>
      </c>
      <c r="AE94">
        <v>162.19999999999999</v>
      </c>
      <c r="AF94">
        <v>161.4</v>
      </c>
      <c r="AG94">
        <v>166.7</v>
      </c>
      <c r="AH94">
        <v>2194.1</v>
      </c>
      <c r="AI94">
        <v>163.9</v>
      </c>
      <c r="AJ94">
        <v>154.80000000000001</v>
      </c>
      <c r="AK94">
        <v>164.3</v>
      </c>
      <c r="AL94">
        <v>1660.1000000000001</v>
      </c>
    </row>
    <row r="95" spans="1:38" x14ac:dyDescent="0.3">
      <c r="A95" t="s">
        <v>33</v>
      </c>
      <c r="B95" s="28">
        <v>44531</v>
      </c>
      <c r="C95">
        <v>2021</v>
      </c>
      <c r="D95" t="s">
        <v>45</v>
      </c>
      <c r="E95" t="s">
        <v>201</v>
      </c>
      <c r="F95">
        <v>12</v>
      </c>
      <c r="G95">
        <v>148.69999999999999</v>
      </c>
      <c r="H95">
        <v>198.8</v>
      </c>
      <c r="I95">
        <v>177.9</v>
      </c>
      <c r="J95">
        <v>159.9</v>
      </c>
      <c r="K95">
        <v>187.6</v>
      </c>
      <c r="L95">
        <v>154.9</v>
      </c>
      <c r="M95">
        <v>188.3</v>
      </c>
      <c r="N95">
        <v>164.4</v>
      </c>
      <c r="O95">
        <v>121</v>
      </c>
      <c r="P95">
        <v>170.5</v>
      </c>
      <c r="Q95">
        <v>164.2</v>
      </c>
      <c r="R95">
        <v>176.5</v>
      </c>
      <c r="S95">
        <v>168.2</v>
      </c>
      <c r="T95">
        <v>192.4</v>
      </c>
      <c r="U95">
        <v>168.5</v>
      </c>
      <c r="V95">
        <v>158.69999999999999</v>
      </c>
      <c r="W95">
        <v>167</v>
      </c>
      <c r="X95">
        <v>163.4</v>
      </c>
      <c r="Y95">
        <v>164.1</v>
      </c>
      <c r="Z95">
        <v>160.19999999999999</v>
      </c>
      <c r="AA95">
        <v>170.6</v>
      </c>
      <c r="AB95">
        <v>155.69999999999999</v>
      </c>
      <c r="AC95">
        <v>160.6</v>
      </c>
      <c r="AD95">
        <v>164.4</v>
      </c>
      <c r="AE95">
        <v>162.6</v>
      </c>
      <c r="AF95">
        <v>162</v>
      </c>
      <c r="AG95">
        <v>166.2</v>
      </c>
      <c r="AH95">
        <v>2180.9</v>
      </c>
      <c r="AI95">
        <v>164.1</v>
      </c>
      <c r="AJ95">
        <v>155.69999999999999</v>
      </c>
      <c r="AK95">
        <v>164.4</v>
      </c>
      <c r="AL95">
        <v>1665.9999999999995</v>
      </c>
    </row>
    <row r="96" spans="1:38" x14ac:dyDescent="0.3">
      <c r="A96" t="s">
        <v>33</v>
      </c>
      <c r="B96" s="28">
        <v>44562</v>
      </c>
      <c r="C96">
        <v>2022</v>
      </c>
      <c r="D96" t="s">
        <v>31</v>
      </c>
      <c r="E96" t="s">
        <v>202</v>
      </c>
      <c r="F96">
        <v>1</v>
      </c>
      <c r="G96">
        <v>149.5</v>
      </c>
      <c r="H96">
        <v>198.7</v>
      </c>
      <c r="I96">
        <v>178.8</v>
      </c>
      <c r="J96">
        <v>160.5</v>
      </c>
      <c r="K96">
        <v>184.7</v>
      </c>
      <c r="L96">
        <v>153.69999999999999</v>
      </c>
      <c r="M96">
        <v>174.3</v>
      </c>
      <c r="N96">
        <v>163.9</v>
      </c>
      <c r="O96">
        <v>120</v>
      </c>
      <c r="P96">
        <v>172.1</v>
      </c>
      <c r="Q96">
        <v>164.3</v>
      </c>
      <c r="R96">
        <v>177.3</v>
      </c>
      <c r="S96">
        <v>166.4</v>
      </c>
      <c r="T96">
        <v>192.2</v>
      </c>
      <c r="U96">
        <v>169.9</v>
      </c>
      <c r="V96">
        <v>160.69999999999999</v>
      </c>
      <c r="W96">
        <v>168.5</v>
      </c>
      <c r="X96">
        <v>164.5</v>
      </c>
      <c r="Y96">
        <v>164.2</v>
      </c>
      <c r="Z96">
        <v>161.1</v>
      </c>
      <c r="AA96">
        <v>171.4</v>
      </c>
      <c r="AB96">
        <v>156.5</v>
      </c>
      <c r="AC96">
        <v>161.19999999999999</v>
      </c>
      <c r="AD96">
        <v>164.7</v>
      </c>
      <c r="AE96">
        <v>163</v>
      </c>
      <c r="AF96">
        <v>162.69999999999999</v>
      </c>
      <c r="AG96">
        <v>165.7</v>
      </c>
      <c r="AH96">
        <v>2164.1999999999998</v>
      </c>
      <c r="AI96">
        <v>164.2</v>
      </c>
      <c r="AJ96">
        <v>156.5</v>
      </c>
      <c r="AK96">
        <v>164.7</v>
      </c>
      <c r="AL96">
        <v>1675.2</v>
      </c>
    </row>
    <row r="97" spans="1:38" x14ac:dyDescent="0.3">
      <c r="A97" t="s">
        <v>33</v>
      </c>
      <c r="B97" s="28">
        <v>44593</v>
      </c>
      <c r="C97">
        <v>2022</v>
      </c>
      <c r="D97" t="s">
        <v>34</v>
      </c>
      <c r="E97" t="s">
        <v>203</v>
      </c>
      <c r="F97">
        <v>2</v>
      </c>
      <c r="G97">
        <v>150</v>
      </c>
      <c r="H97">
        <v>200.6</v>
      </c>
      <c r="I97">
        <v>175.8</v>
      </c>
      <c r="J97">
        <v>160.69999999999999</v>
      </c>
      <c r="K97">
        <v>184.9</v>
      </c>
      <c r="L97">
        <v>153.69999999999999</v>
      </c>
      <c r="M97">
        <v>169.7</v>
      </c>
      <c r="N97">
        <v>163.69999999999999</v>
      </c>
      <c r="O97">
        <v>118.9</v>
      </c>
      <c r="P97">
        <v>174.3</v>
      </c>
      <c r="Q97">
        <v>164.7</v>
      </c>
      <c r="R97">
        <v>178</v>
      </c>
      <c r="S97">
        <v>166.2</v>
      </c>
      <c r="T97">
        <v>192.8</v>
      </c>
      <c r="U97">
        <v>170.8</v>
      </c>
      <c r="V97">
        <v>162.4</v>
      </c>
      <c r="W97">
        <v>169.6</v>
      </c>
      <c r="X97">
        <v>165.5</v>
      </c>
      <c r="Y97">
        <v>165.7</v>
      </c>
      <c r="Z97">
        <v>161.80000000000001</v>
      </c>
      <c r="AA97">
        <v>172.2</v>
      </c>
      <c r="AB97">
        <v>156.9</v>
      </c>
      <c r="AC97">
        <v>162.1</v>
      </c>
      <c r="AD97">
        <v>165.4</v>
      </c>
      <c r="AE97">
        <v>164.4</v>
      </c>
      <c r="AF97">
        <v>163.5</v>
      </c>
      <c r="AG97">
        <v>166.1</v>
      </c>
      <c r="AH97">
        <v>2161.2000000000003</v>
      </c>
      <c r="AI97">
        <v>165.7</v>
      </c>
      <c r="AJ97">
        <v>156.9</v>
      </c>
      <c r="AK97">
        <v>165.4</v>
      </c>
      <c r="AL97">
        <v>1685.1000000000001</v>
      </c>
    </row>
    <row r="98" spans="1:38" x14ac:dyDescent="0.3">
      <c r="A98" t="s">
        <v>33</v>
      </c>
      <c r="B98" s="28">
        <v>44621</v>
      </c>
      <c r="C98">
        <v>2022</v>
      </c>
      <c r="D98" t="s">
        <v>35</v>
      </c>
      <c r="E98" t="s">
        <v>204</v>
      </c>
      <c r="F98">
        <v>3</v>
      </c>
      <c r="G98">
        <v>151.30000000000001</v>
      </c>
      <c r="H98">
        <v>210.7</v>
      </c>
      <c r="I98">
        <v>167.8</v>
      </c>
      <c r="J98">
        <v>162.19999999999999</v>
      </c>
      <c r="K98">
        <v>194.6</v>
      </c>
      <c r="L98">
        <v>157.6</v>
      </c>
      <c r="M98">
        <v>166.9</v>
      </c>
      <c r="N98">
        <v>163.9</v>
      </c>
      <c r="O98">
        <v>118.8</v>
      </c>
      <c r="P98">
        <v>177.4</v>
      </c>
      <c r="Q98">
        <v>165.3</v>
      </c>
      <c r="R98">
        <v>179.3</v>
      </c>
      <c r="S98">
        <v>168.4</v>
      </c>
      <c r="T98">
        <v>193.7</v>
      </c>
      <c r="U98">
        <v>172.1</v>
      </c>
      <c r="V98">
        <v>164.6</v>
      </c>
      <c r="W98">
        <v>171.1</v>
      </c>
      <c r="X98">
        <v>165.3</v>
      </c>
      <c r="Y98">
        <v>167.2</v>
      </c>
      <c r="Z98">
        <v>162.80000000000001</v>
      </c>
      <c r="AA98">
        <v>173</v>
      </c>
      <c r="AB98">
        <v>157.9</v>
      </c>
      <c r="AC98">
        <v>163.30000000000001</v>
      </c>
      <c r="AD98">
        <v>166</v>
      </c>
      <c r="AE98">
        <v>167.2</v>
      </c>
      <c r="AF98">
        <v>164.6</v>
      </c>
      <c r="AG98">
        <v>167.7</v>
      </c>
      <c r="AH98">
        <v>2184.2000000000003</v>
      </c>
      <c r="AI98">
        <v>167.2</v>
      </c>
      <c r="AJ98">
        <v>157.9</v>
      </c>
      <c r="AK98">
        <v>166</v>
      </c>
      <c r="AL98">
        <v>1697.6999999999998</v>
      </c>
    </row>
    <row r="99" spans="1:38" x14ac:dyDescent="0.3">
      <c r="A99" t="s">
        <v>33</v>
      </c>
      <c r="B99" s="28">
        <v>44652</v>
      </c>
      <c r="C99">
        <v>2022</v>
      </c>
      <c r="D99" t="s">
        <v>36</v>
      </c>
      <c r="E99" t="s">
        <v>205</v>
      </c>
      <c r="F99">
        <v>4</v>
      </c>
      <c r="G99">
        <v>152.9</v>
      </c>
      <c r="H99">
        <v>211.8</v>
      </c>
      <c r="I99">
        <v>164.5</v>
      </c>
      <c r="J99">
        <v>163.9</v>
      </c>
      <c r="K99">
        <v>199.5</v>
      </c>
      <c r="L99">
        <v>172.6</v>
      </c>
      <c r="M99">
        <v>166.2</v>
      </c>
      <c r="N99">
        <v>164.7</v>
      </c>
      <c r="O99">
        <v>119</v>
      </c>
      <c r="P99">
        <v>181.3</v>
      </c>
      <c r="Q99">
        <v>166.2</v>
      </c>
      <c r="R99">
        <v>180.9</v>
      </c>
      <c r="S99">
        <v>170.8</v>
      </c>
      <c r="T99">
        <v>193.9</v>
      </c>
      <c r="U99">
        <v>173.9</v>
      </c>
      <c r="V99">
        <v>166.5</v>
      </c>
      <c r="W99">
        <v>172.8</v>
      </c>
      <c r="X99">
        <v>167</v>
      </c>
      <c r="Y99">
        <v>172.2</v>
      </c>
      <c r="Z99">
        <v>164</v>
      </c>
      <c r="AA99">
        <v>174</v>
      </c>
      <c r="AB99">
        <v>162.6</v>
      </c>
      <c r="AC99">
        <v>164.4</v>
      </c>
      <c r="AD99">
        <v>166.9</v>
      </c>
      <c r="AE99">
        <v>168.8</v>
      </c>
      <c r="AF99">
        <v>166.8</v>
      </c>
      <c r="AG99">
        <v>170.1</v>
      </c>
      <c r="AH99">
        <v>2214.3000000000002</v>
      </c>
      <c r="AI99">
        <v>172.2</v>
      </c>
      <c r="AJ99">
        <v>162.6</v>
      </c>
      <c r="AK99">
        <v>166.9</v>
      </c>
      <c r="AL99">
        <v>1712.1</v>
      </c>
    </row>
    <row r="100" spans="1:38" x14ac:dyDescent="0.3">
      <c r="A100" t="s">
        <v>33</v>
      </c>
      <c r="B100" s="28">
        <v>44682</v>
      </c>
      <c r="C100">
        <v>2022</v>
      </c>
      <c r="D100" t="s">
        <v>37</v>
      </c>
      <c r="E100" t="s">
        <v>206</v>
      </c>
      <c r="F100">
        <v>5</v>
      </c>
      <c r="G100">
        <v>154.1</v>
      </c>
      <c r="H100">
        <v>217</v>
      </c>
      <c r="I100">
        <v>162.4</v>
      </c>
      <c r="J100">
        <v>164.9</v>
      </c>
      <c r="K100">
        <v>202.4</v>
      </c>
      <c r="L100">
        <v>171</v>
      </c>
      <c r="M100">
        <v>174.9</v>
      </c>
      <c r="N100">
        <v>164.7</v>
      </c>
      <c r="O100">
        <v>119.7</v>
      </c>
      <c r="P100">
        <v>184.9</v>
      </c>
      <c r="Q100">
        <v>167.1</v>
      </c>
      <c r="R100">
        <v>182.5</v>
      </c>
      <c r="S100">
        <v>173.3</v>
      </c>
      <c r="T100">
        <v>194.1</v>
      </c>
      <c r="U100">
        <v>175.6</v>
      </c>
      <c r="V100">
        <v>168.4</v>
      </c>
      <c r="W100">
        <v>174.6</v>
      </c>
      <c r="X100">
        <v>167.5</v>
      </c>
      <c r="Y100">
        <v>174.6</v>
      </c>
      <c r="Z100">
        <v>165.2</v>
      </c>
      <c r="AA100">
        <v>174.8</v>
      </c>
      <c r="AB100">
        <v>163</v>
      </c>
      <c r="AC100">
        <v>165.1</v>
      </c>
      <c r="AD100">
        <v>167.9</v>
      </c>
      <c r="AE100">
        <v>168.4</v>
      </c>
      <c r="AF100">
        <v>167.5</v>
      </c>
      <c r="AG100">
        <v>171.7</v>
      </c>
      <c r="AH100">
        <v>2238.9000000000005</v>
      </c>
      <c r="AI100">
        <v>174.6</v>
      </c>
      <c r="AJ100">
        <v>163</v>
      </c>
      <c r="AK100">
        <v>167.9</v>
      </c>
      <c r="AL100">
        <v>1721.2</v>
      </c>
    </row>
    <row r="101" spans="1:38" x14ac:dyDescent="0.3">
      <c r="A101" t="s">
        <v>33</v>
      </c>
      <c r="B101" s="28">
        <v>44713</v>
      </c>
      <c r="C101">
        <v>2022</v>
      </c>
      <c r="D101" t="s">
        <v>38</v>
      </c>
      <c r="E101" t="s">
        <v>207</v>
      </c>
      <c r="F101">
        <v>6</v>
      </c>
      <c r="G101">
        <v>155</v>
      </c>
      <c r="H101">
        <v>219.4</v>
      </c>
      <c r="I101">
        <v>170.8</v>
      </c>
      <c r="J101">
        <v>165.8</v>
      </c>
      <c r="K101">
        <v>200.9</v>
      </c>
      <c r="L101">
        <v>169.7</v>
      </c>
      <c r="M101">
        <v>182.3</v>
      </c>
      <c r="N101">
        <v>164.3</v>
      </c>
      <c r="O101">
        <v>119.9</v>
      </c>
      <c r="P101">
        <v>187.1</v>
      </c>
      <c r="Q101">
        <v>167.9</v>
      </c>
      <c r="R101">
        <v>183.9</v>
      </c>
      <c r="S101">
        <v>174.9</v>
      </c>
      <c r="T101">
        <v>194.3</v>
      </c>
      <c r="U101">
        <v>177.1</v>
      </c>
      <c r="V101">
        <v>169.9</v>
      </c>
      <c r="W101">
        <v>176</v>
      </c>
      <c r="X101">
        <v>166.8</v>
      </c>
      <c r="Y101">
        <v>176</v>
      </c>
      <c r="Z101">
        <v>166.4</v>
      </c>
      <c r="AA101">
        <v>175.4</v>
      </c>
      <c r="AB101">
        <v>161.1</v>
      </c>
      <c r="AC101">
        <v>165.8</v>
      </c>
      <c r="AD101">
        <v>169</v>
      </c>
      <c r="AE101">
        <v>169.4</v>
      </c>
      <c r="AF101">
        <v>167.5</v>
      </c>
      <c r="AG101">
        <v>172.6</v>
      </c>
      <c r="AH101">
        <v>2261.9</v>
      </c>
      <c r="AI101">
        <v>176</v>
      </c>
      <c r="AJ101">
        <v>161.1</v>
      </c>
      <c r="AK101">
        <v>169</v>
      </c>
      <c r="AL101">
        <v>1728.6000000000001</v>
      </c>
    </row>
    <row r="102" spans="1:38" x14ac:dyDescent="0.3">
      <c r="A102" t="s">
        <v>33</v>
      </c>
      <c r="B102" s="28">
        <v>44743</v>
      </c>
      <c r="C102">
        <v>2022</v>
      </c>
      <c r="D102" t="s">
        <v>39</v>
      </c>
      <c r="E102" t="s">
        <v>208</v>
      </c>
      <c r="F102">
        <v>7</v>
      </c>
      <c r="G102">
        <v>156.5</v>
      </c>
      <c r="H102">
        <v>213</v>
      </c>
      <c r="I102">
        <v>175.2</v>
      </c>
      <c r="J102">
        <v>166.6</v>
      </c>
      <c r="K102">
        <v>195.8</v>
      </c>
      <c r="L102">
        <v>174.2</v>
      </c>
      <c r="M102">
        <v>182.1</v>
      </c>
      <c r="N102">
        <v>164.3</v>
      </c>
      <c r="O102">
        <v>120</v>
      </c>
      <c r="P102">
        <v>190</v>
      </c>
      <c r="Q102">
        <v>168.4</v>
      </c>
      <c r="R102">
        <v>185.2</v>
      </c>
      <c r="S102">
        <v>175</v>
      </c>
      <c r="T102">
        <v>194.6</v>
      </c>
      <c r="U102">
        <v>178.3</v>
      </c>
      <c r="V102">
        <v>171.3</v>
      </c>
      <c r="W102">
        <v>177.3</v>
      </c>
      <c r="X102">
        <v>167.8</v>
      </c>
      <c r="Y102">
        <v>179.6</v>
      </c>
      <c r="Z102">
        <v>167.4</v>
      </c>
      <c r="AA102">
        <v>176.1</v>
      </c>
      <c r="AB102">
        <v>161.6</v>
      </c>
      <c r="AC102">
        <v>166.3</v>
      </c>
      <c r="AD102">
        <v>171.4</v>
      </c>
      <c r="AE102">
        <v>169.7</v>
      </c>
      <c r="AF102">
        <v>168.4</v>
      </c>
      <c r="AG102">
        <v>173.4</v>
      </c>
      <c r="AH102">
        <v>2266.3000000000002</v>
      </c>
      <c r="AI102">
        <v>179.6</v>
      </c>
      <c r="AJ102">
        <v>161.6</v>
      </c>
      <c r="AK102">
        <v>171.4</v>
      </c>
      <c r="AL102">
        <v>1737.2</v>
      </c>
    </row>
    <row r="103" spans="1:38" x14ac:dyDescent="0.3">
      <c r="A103" t="s">
        <v>33</v>
      </c>
      <c r="B103" s="28">
        <v>44774</v>
      </c>
      <c r="C103">
        <v>2022</v>
      </c>
      <c r="D103" t="s">
        <v>40</v>
      </c>
      <c r="E103" t="s">
        <v>209</v>
      </c>
      <c r="F103">
        <v>8</v>
      </c>
      <c r="G103">
        <v>160.30000000000001</v>
      </c>
      <c r="H103">
        <v>206.5</v>
      </c>
      <c r="I103">
        <v>169.2</v>
      </c>
      <c r="J103">
        <v>168.1</v>
      </c>
      <c r="K103">
        <v>192.4</v>
      </c>
      <c r="L103">
        <v>172.9</v>
      </c>
      <c r="M103">
        <v>186.7</v>
      </c>
      <c r="N103">
        <v>167.2</v>
      </c>
      <c r="O103">
        <v>120.9</v>
      </c>
      <c r="P103">
        <v>193.6</v>
      </c>
      <c r="Q103">
        <v>168.8</v>
      </c>
      <c r="R103">
        <v>186.3</v>
      </c>
      <c r="S103">
        <v>176.3</v>
      </c>
      <c r="T103">
        <v>195</v>
      </c>
      <c r="U103">
        <v>179.5</v>
      </c>
      <c r="V103">
        <v>172.7</v>
      </c>
      <c r="W103">
        <v>178.5</v>
      </c>
      <c r="X103">
        <v>169</v>
      </c>
      <c r="Y103">
        <v>178.8</v>
      </c>
      <c r="Z103">
        <v>168.5</v>
      </c>
      <c r="AA103">
        <v>176.8</v>
      </c>
      <c r="AB103">
        <v>161.9</v>
      </c>
      <c r="AC103">
        <v>166.9</v>
      </c>
      <c r="AD103">
        <v>172.3</v>
      </c>
      <c r="AE103">
        <v>171.2</v>
      </c>
      <c r="AF103">
        <v>169.1</v>
      </c>
      <c r="AG103">
        <v>174.3</v>
      </c>
      <c r="AH103">
        <v>2269.2000000000003</v>
      </c>
      <c r="AI103">
        <v>178.8</v>
      </c>
      <c r="AJ103">
        <v>161.9</v>
      </c>
      <c r="AK103">
        <v>172.3</v>
      </c>
      <c r="AL103">
        <v>1747.2</v>
      </c>
    </row>
    <row r="104" spans="1:38" x14ac:dyDescent="0.3">
      <c r="A104" t="s">
        <v>33</v>
      </c>
      <c r="B104" s="28">
        <v>44805</v>
      </c>
      <c r="C104">
        <v>2022</v>
      </c>
      <c r="D104" t="s">
        <v>41</v>
      </c>
      <c r="E104" t="s">
        <v>210</v>
      </c>
      <c r="F104">
        <v>9</v>
      </c>
      <c r="G104">
        <v>163.5</v>
      </c>
      <c r="H104">
        <v>209.2</v>
      </c>
      <c r="I104">
        <v>169.7</v>
      </c>
      <c r="J104">
        <v>169.7</v>
      </c>
      <c r="K104">
        <v>188.7</v>
      </c>
      <c r="L104">
        <v>165.7</v>
      </c>
      <c r="M104">
        <v>191.8</v>
      </c>
      <c r="N104">
        <v>169.1</v>
      </c>
      <c r="O104">
        <v>121.6</v>
      </c>
      <c r="P104">
        <v>197.3</v>
      </c>
      <c r="Q104">
        <v>169.4</v>
      </c>
      <c r="R104">
        <v>187.4</v>
      </c>
      <c r="S104">
        <v>177.8</v>
      </c>
      <c r="T104">
        <v>195.9</v>
      </c>
      <c r="U104">
        <v>180.9</v>
      </c>
      <c r="V104">
        <v>174.3</v>
      </c>
      <c r="W104">
        <v>179.9</v>
      </c>
      <c r="X104">
        <v>169.5</v>
      </c>
      <c r="Y104">
        <v>179.5</v>
      </c>
      <c r="Z104">
        <v>169.5</v>
      </c>
      <c r="AA104">
        <v>177.8</v>
      </c>
      <c r="AB104">
        <v>162.30000000000001</v>
      </c>
      <c r="AC104">
        <v>167.6</v>
      </c>
      <c r="AD104">
        <v>173.1</v>
      </c>
      <c r="AE104">
        <v>170.9</v>
      </c>
      <c r="AF104">
        <v>169.7</v>
      </c>
      <c r="AG104">
        <v>175.3</v>
      </c>
      <c r="AH104">
        <v>2280.9</v>
      </c>
      <c r="AI104">
        <v>179.5</v>
      </c>
      <c r="AJ104">
        <v>162.30000000000001</v>
      </c>
      <c r="AK104">
        <v>173.1</v>
      </c>
      <c r="AL104">
        <v>1756</v>
      </c>
    </row>
    <row r="105" spans="1:38" x14ac:dyDescent="0.3">
      <c r="A105" t="s">
        <v>33</v>
      </c>
      <c r="B105" s="28">
        <v>44835</v>
      </c>
      <c r="C105">
        <v>2022</v>
      </c>
      <c r="D105" t="s">
        <v>42</v>
      </c>
      <c r="E105" t="s">
        <v>211</v>
      </c>
      <c r="F105">
        <v>10</v>
      </c>
      <c r="G105">
        <v>165.2</v>
      </c>
      <c r="H105">
        <v>210.9</v>
      </c>
      <c r="I105">
        <v>170.9</v>
      </c>
      <c r="J105">
        <v>170.9</v>
      </c>
      <c r="K105">
        <v>186.5</v>
      </c>
      <c r="L105">
        <v>163.80000000000001</v>
      </c>
      <c r="M105">
        <v>199.7</v>
      </c>
      <c r="N105">
        <v>169.8</v>
      </c>
      <c r="O105">
        <v>121.9</v>
      </c>
      <c r="P105">
        <v>199.9</v>
      </c>
      <c r="Q105">
        <v>169.9</v>
      </c>
      <c r="R105">
        <v>188.3</v>
      </c>
      <c r="S105">
        <v>179.6</v>
      </c>
      <c r="T105">
        <v>196.3</v>
      </c>
      <c r="U105">
        <v>181.9</v>
      </c>
      <c r="V105">
        <v>175.3</v>
      </c>
      <c r="W105">
        <v>181</v>
      </c>
      <c r="X105">
        <v>171.2</v>
      </c>
      <c r="Y105">
        <v>180.5</v>
      </c>
      <c r="Z105">
        <v>170.4</v>
      </c>
      <c r="AA105">
        <v>178.7</v>
      </c>
      <c r="AB105">
        <v>162.9</v>
      </c>
      <c r="AC105">
        <v>168.2</v>
      </c>
      <c r="AD105">
        <v>173.4</v>
      </c>
      <c r="AE105">
        <v>172.1</v>
      </c>
      <c r="AF105">
        <v>170.5</v>
      </c>
      <c r="AG105">
        <v>176.7</v>
      </c>
      <c r="AH105">
        <v>2297.3000000000002</v>
      </c>
      <c r="AI105">
        <v>180.5</v>
      </c>
      <c r="AJ105">
        <v>162.9</v>
      </c>
      <c r="AK105">
        <v>173.4</v>
      </c>
      <c r="AL105">
        <v>1765.6000000000001</v>
      </c>
    </row>
    <row r="106" spans="1:38" x14ac:dyDescent="0.3">
      <c r="A106" t="s">
        <v>33</v>
      </c>
      <c r="B106" s="28">
        <v>44866</v>
      </c>
      <c r="C106">
        <v>2022</v>
      </c>
      <c r="D106" t="s">
        <v>44</v>
      </c>
      <c r="E106" t="s">
        <v>212</v>
      </c>
      <c r="F106">
        <v>11</v>
      </c>
      <c r="G106">
        <v>167.4</v>
      </c>
      <c r="H106">
        <v>209.4</v>
      </c>
      <c r="I106">
        <v>181.4</v>
      </c>
      <c r="J106">
        <v>172.3</v>
      </c>
      <c r="K106">
        <v>188.9</v>
      </c>
      <c r="L106">
        <v>160.69999999999999</v>
      </c>
      <c r="M106">
        <v>183.1</v>
      </c>
      <c r="N106">
        <v>170.5</v>
      </c>
      <c r="O106">
        <v>122.1</v>
      </c>
      <c r="P106">
        <v>202.8</v>
      </c>
      <c r="Q106">
        <v>170.4</v>
      </c>
      <c r="R106">
        <v>189.5</v>
      </c>
      <c r="S106">
        <v>178.3</v>
      </c>
      <c r="T106">
        <v>196.9</v>
      </c>
      <c r="U106">
        <v>183.1</v>
      </c>
      <c r="V106">
        <v>176.2</v>
      </c>
      <c r="W106">
        <v>182.1</v>
      </c>
      <c r="X106">
        <v>171.8</v>
      </c>
      <c r="Y106">
        <v>181.3</v>
      </c>
      <c r="Z106">
        <v>171.4</v>
      </c>
      <c r="AA106">
        <v>179.8</v>
      </c>
      <c r="AB106">
        <v>163</v>
      </c>
      <c r="AC106">
        <v>168.5</v>
      </c>
      <c r="AD106">
        <v>173.7</v>
      </c>
      <c r="AE106">
        <v>173.6</v>
      </c>
      <c r="AF106">
        <v>171.1</v>
      </c>
      <c r="AG106">
        <v>176.5</v>
      </c>
      <c r="AH106">
        <v>2296.8000000000002</v>
      </c>
      <c r="AI106">
        <v>181.3</v>
      </c>
      <c r="AJ106">
        <v>163</v>
      </c>
      <c r="AK106">
        <v>173.7</v>
      </c>
      <c r="AL106">
        <v>1774.5</v>
      </c>
    </row>
    <row r="107" spans="1:38" x14ac:dyDescent="0.3">
      <c r="A107" t="s">
        <v>33</v>
      </c>
      <c r="B107" s="28">
        <v>44896</v>
      </c>
      <c r="C107">
        <v>2022</v>
      </c>
      <c r="D107" t="s">
        <v>45</v>
      </c>
      <c r="E107" t="s">
        <v>213</v>
      </c>
      <c r="F107">
        <v>12</v>
      </c>
      <c r="G107">
        <v>169.2</v>
      </c>
      <c r="H107">
        <v>209</v>
      </c>
      <c r="I107">
        <v>190.2</v>
      </c>
      <c r="J107">
        <v>173.6</v>
      </c>
      <c r="K107">
        <v>188.5</v>
      </c>
      <c r="L107">
        <v>158</v>
      </c>
      <c r="M107">
        <v>159.9</v>
      </c>
      <c r="N107">
        <v>170.8</v>
      </c>
      <c r="O107">
        <v>121.8</v>
      </c>
      <c r="P107">
        <v>205.2</v>
      </c>
      <c r="Q107">
        <v>171</v>
      </c>
      <c r="R107">
        <v>190.3</v>
      </c>
      <c r="S107">
        <v>175.9</v>
      </c>
      <c r="T107">
        <v>197.3</v>
      </c>
      <c r="U107">
        <v>184</v>
      </c>
      <c r="V107">
        <v>177</v>
      </c>
      <c r="W107">
        <v>183</v>
      </c>
      <c r="X107">
        <v>170.7</v>
      </c>
      <c r="Y107">
        <v>182</v>
      </c>
      <c r="Z107">
        <v>172.1</v>
      </c>
      <c r="AA107">
        <v>181.1</v>
      </c>
      <c r="AB107">
        <v>163.4</v>
      </c>
      <c r="AC107">
        <v>168.9</v>
      </c>
      <c r="AD107">
        <v>174.1</v>
      </c>
      <c r="AE107">
        <v>175.8</v>
      </c>
      <c r="AF107">
        <v>172</v>
      </c>
      <c r="AG107">
        <v>175.7</v>
      </c>
      <c r="AH107">
        <v>2283.4</v>
      </c>
      <c r="AI107">
        <v>182</v>
      </c>
      <c r="AJ107">
        <v>163.4</v>
      </c>
      <c r="AK107">
        <v>174.1</v>
      </c>
      <c r="AL107">
        <v>1781.8999999999999</v>
      </c>
    </row>
    <row r="108" spans="1:38" x14ac:dyDescent="0.3">
      <c r="A108" t="s">
        <v>33</v>
      </c>
      <c r="B108" s="28">
        <v>44927</v>
      </c>
      <c r="C108">
        <v>2023</v>
      </c>
      <c r="D108" t="s">
        <v>31</v>
      </c>
      <c r="E108" t="s">
        <v>214</v>
      </c>
      <c r="F108">
        <v>1</v>
      </c>
      <c r="G108">
        <v>173.8</v>
      </c>
      <c r="H108">
        <v>210.7</v>
      </c>
      <c r="I108">
        <v>194.5</v>
      </c>
      <c r="J108">
        <v>174.6</v>
      </c>
      <c r="K108">
        <v>187.2</v>
      </c>
      <c r="L108">
        <v>158.30000000000001</v>
      </c>
      <c r="M108">
        <v>153.9</v>
      </c>
      <c r="N108">
        <v>170.9</v>
      </c>
      <c r="O108">
        <v>121.1</v>
      </c>
      <c r="P108">
        <v>208.4</v>
      </c>
      <c r="Q108">
        <v>171.4</v>
      </c>
      <c r="R108">
        <v>191.2</v>
      </c>
      <c r="S108">
        <v>176.7</v>
      </c>
      <c r="T108">
        <v>198.2</v>
      </c>
      <c r="U108">
        <v>184.9</v>
      </c>
      <c r="V108">
        <v>177.6</v>
      </c>
      <c r="W108">
        <v>183.8</v>
      </c>
      <c r="X108">
        <v>172.1</v>
      </c>
      <c r="Y108">
        <v>182</v>
      </c>
      <c r="Z108">
        <v>172.9</v>
      </c>
      <c r="AA108">
        <v>182.3</v>
      </c>
      <c r="AB108">
        <v>163.6</v>
      </c>
      <c r="AC108">
        <v>169.5</v>
      </c>
      <c r="AD108">
        <v>174.3</v>
      </c>
      <c r="AE108">
        <v>178.6</v>
      </c>
      <c r="AF108">
        <v>172.8</v>
      </c>
      <c r="AG108">
        <v>176.5</v>
      </c>
      <c r="AH108">
        <v>2292.6999999999998</v>
      </c>
      <c r="AI108">
        <v>182</v>
      </c>
      <c r="AJ108">
        <v>163.6</v>
      </c>
      <c r="AK108">
        <v>174.3</v>
      </c>
      <c r="AL108">
        <v>1792.6999999999998</v>
      </c>
    </row>
    <row r="109" spans="1:38" x14ac:dyDescent="0.3">
      <c r="A109" t="s">
        <v>33</v>
      </c>
      <c r="B109" s="28">
        <v>44958</v>
      </c>
      <c r="C109">
        <v>2023</v>
      </c>
      <c r="D109" t="s">
        <v>34</v>
      </c>
      <c r="E109" t="s">
        <v>215</v>
      </c>
      <c r="F109">
        <v>2</v>
      </c>
      <c r="G109">
        <v>174.4</v>
      </c>
      <c r="H109">
        <v>207.7</v>
      </c>
      <c r="I109">
        <v>175.2</v>
      </c>
      <c r="J109">
        <v>177.3</v>
      </c>
      <c r="K109">
        <v>179.3</v>
      </c>
      <c r="L109">
        <v>169.5</v>
      </c>
      <c r="M109">
        <v>152.69999999999999</v>
      </c>
      <c r="N109">
        <v>171</v>
      </c>
      <c r="O109">
        <v>120</v>
      </c>
      <c r="P109">
        <v>209.7</v>
      </c>
      <c r="Q109">
        <v>172.3</v>
      </c>
      <c r="R109">
        <v>193</v>
      </c>
      <c r="S109">
        <v>177</v>
      </c>
      <c r="T109">
        <v>199.5</v>
      </c>
      <c r="U109">
        <v>186.2</v>
      </c>
      <c r="V109">
        <v>178.7</v>
      </c>
      <c r="W109">
        <v>185.1</v>
      </c>
      <c r="X109">
        <v>173.5</v>
      </c>
      <c r="Y109">
        <v>182.1</v>
      </c>
      <c r="Z109">
        <v>174.2</v>
      </c>
      <c r="AA109">
        <v>184.4</v>
      </c>
      <c r="AB109">
        <v>164.2</v>
      </c>
      <c r="AC109">
        <v>170.3</v>
      </c>
      <c r="AD109">
        <v>175</v>
      </c>
      <c r="AE109">
        <v>181</v>
      </c>
      <c r="AF109">
        <v>174.1</v>
      </c>
      <c r="AG109">
        <v>177.2</v>
      </c>
      <c r="AH109">
        <v>2279.1</v>
      </c>
      <c r="AI109">
        <v>182.1</v>
      </c>
      <c r="AJ109">
        <v>164.2</v>
      </c>
      <c r="AK109">
        <v>175</v>
      </c>
      <c r="AL109">
        <v>1807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64FC9-B756-455D-9BB3-00210F384E23}">
  <dimension ref="A3:AI66"/>
  <sheetViews>
    <sheetView showGridLines="0" topLeftCell="A9" zoomScale="57" zoomScaleNormal="98" workbookViewId="0">
      <selection activeCell="AJ14" sqref="AJ14"/>
    </sheetView>
  </sheetViews>
  <sheetFormatPr defaultRowHeight="14.4" x14ac:dyDescent="0.3"/>
  <cols>
    <col min="1" max="1" width="57.33203125" customWidth="1"/>
    <col min="2" max="2" width="20.21875" bestFit="1" customWidth="1"/>
    <col min="30" max="30" width="2.44140625" customWidth="1"/>
    <col min="31" max="32" width="8.88671875" hidden="1" customWidth="1"/>
  </cols>
  <sheetData>
    <row r="3" spans="1:35" ht="23.4" x14ac:dyDescent="0.45">
      <c r="A3" s="58"/>
    </row>
    <row r="4" spans="1:35" ht="15" thickBot="1" x14ac:dyDescent="0.35"/>
    <row r="5" spans="1:35" x14ac:dyDescent="0.3">
      <c r="A5" s="59"/>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1"/>
    </row>
    <row r="6" spans="1:35" ht="25.8" x14ac:dyDescent="0.5">
      <c r="A6" s="97" t="s">
        <v>166</v>
      </c>
      <c r="B6" s="98"/>
      <c r="C6" s="98"/>
      <c r="D6" s="98"/>
      <c r="E6" s="98"/>
      <c r="F6" s="98"/>
      <c r="G6" s="98"/>
      <c r="H6" s="98"/>
      <c r="I6" s="98"/>
      <c r="J6" s="98"/>
      <c r="K6" s="98"/>
      <c r="L6" s="98"/>
      <c r="M6" s="98"/>
      <c r="N6" s="98"/>
      <c r="O6" s="98"/>
      <c r="P6" s="98"/>
      <c r="Q6" s="98"/>
      <c r="R6" s="98"/>
      <c r="S6" s="98"/>
      <c r="T6" s="98"/>
      <c r="U6" s="98"/>
      <c r="V6" s="98"/>
      <c r="W6" s="98"/>
      <c r="X6" s="98"/>
      <c r="Y6" s="98"/>
      <c r="Z6" s="98"/>
      <c r="AA6" s="98"/>
      <c r="AB6" s="98"/>
      <c r="AC6" s="98"/>
      <c r="AD6" s="98"/>
      <c r="AE6" s="98"/>
      <c r="AF6" s="99"/>
    </row>
    <row r="7" spans="1:35" s="90" customFormat="1" ht="61.8" customHeight="1" x14ac:dyDescent="0.4">
      <c r="A7" s="102" t="s">
        <v>167</v>
      </c>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4"/>
    </row>
    <row r="8" spans="1:35" x14ac:dyDescent="0.3">
      <c r="A8" s="62"/>
      <c r="B8" s="63"/>
      <c r="C8" s="63"/>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4"/>
    </row>
    <row r="9" spans="1:35" x14ac:dyDescent="0.3">
      <c r="A9" s="65"/>
      <c r="B9" s="66"/>
      <c r="C9" s="66"/>
      <c r="D9" s="66"/>
      <c r="E9" s="66"/>
      <c r="F9" s="66"/>
      <c r="G9" s="66"/>
      <c r="H9" s="66"/>
      <c r="I9" s="66"/>
      <c r="J9" s="66"/>
      <c r="K9" s="66"/>
      <c r="L9" s="66"/>
      <c r="M9" s="66"/>
      <c r="N9" s="66"/>
      <c r="O9" s="66"/>
      <c r="P9" s="66"/>
      <c r="Q9" s="66"/>
      <c r="R9" s="66"/>
      <c r="S9" s="66"/>
      <c r="T9" s="66"/>
      <c r="U9" s="66"/>
      <c r="V9" s="66"/>
      <c r="W9" s="66"/>
      <c r="X9" s="66"/>
      <c r="Y9" s="66"/>
      <c r="Z9" s="66"/>
      <c r="AA9" s="66"/>
      <c r="AB9" s="66"/>
      <c r="AC9" s="66"/>
      <c r="AD9" s="66"/>
      <c r="AE9" s="66"/>
      <c r="AF9" s="67"/>
    </row>
    <row r="10" spans="1:35" x14ac:dyDescent="0.3">
      <c r="A10" s="65"/>
      <c r="B10" s="66"/>
      <c r="C10" s="66"/>
      <c r="D10" s="66"/>
      <c r="E10" s="66"/>
      <c r="F10" s="66"/>
      <c r="G10" s="66"/>
      <c r="H10" s="66"/>
      <c r="I10" s="66"/>
      <c r="J10" s="66"/>
      <c r="K10" s="66"/>
      <c r="L10" s="66"/>
      <c r="M10" s="66"/>
      <c r="N10" s="66"/>
      <c r="O10" s="66"/>
      <c r="P10" s="66"/>
      <c r="Q10" s="66"/>
      <c r="R10" s="66"/>
      <c r="S10" s="66"/>
      <c r="T10" s="66"/>
      <c r="U10" s="66"/>
      <c r="V10" s="66"/>
      <c r="W10" s="66"/>
      <c r="X10" s="66"/>
      <c r="Y10" s="66"/>
      <c r="Z10" s="66"/>
      <c r="AA10" s="66"/>
      <c r="AB10" s="66"/>
      <c r="AC10" s="66"/>
      <c r="AD10" s="66"/>
      <c r="AE10" s="66"/>
      <c r="AF10" s="67"/>
    </row>
    <row r="11" spans="1:35" x14ac:dyDescent="0.3">
      <c r="A11" s="65"/>
      <c r="B11" s="66"/>
      <c r="C11" s="66"/>
      <c r="D11" s="66"/>
      <c r="E11" s="66"/>
      <c r="F11" s="66"/>
      <c r="G11" s="66"/>
      <c r="H11" s="66"/>
      <c r="I11" s="66"/>
      <c r="J11" s="66"/>
      <c r="K11" s="66"/>
      <c r="L11" s="66"/>
      <c r="M11" s="66"/>
      <c r="N11" s="66"/>
      <c r="O11" s="66"/>
      <c r="P11" s="66"/>
      <c r="Q11" s="66"/>
      <c r="R11" s="66"/>
      <c r="S11" s="66"/>
      <c r="T11" s="66"/>
      <c r="U11" s="66"/>
      <c r="V11" s="66"/>
      <c r="W11" s="66"/>
      <c r="X11" s="66"/>
      <c r="Y11" s="66"/>
      <c r="Z11" s="66"/>
      <c r="AA11" s="66"/>
      <c r="AB11" s="66"/>
      <c r="AC11" s="66"/>
      <c r="AD11" s="66"/>
      <c r="AE11" s="66"/>
      <c r="AF11" s="67"/>
    </row>
    <row r="12" spans="1:35" x14ac:dyDescent="0.3">
      <c r="A12" s="65"/>
      <c r="B12" s="66"/>
      <c r="C12" s="66"/>
      <c r="D12" s="66"/>
      <c r="E12" s="66"/>
      <c r="F12" s="66"/>
      <c r="G12" s="66"/>
      <c r="H12" s="66"/>
      <c r="I12" s="66"/>
      <c r="J12" s="66"/>
      <c r="K12" s="66"/>
      <c r="L12" s="66"/>
      <c r="M12" s="66"/>
      <c r="N12" s="66"/>
      <c r="O12" s="66"/>
      <c r="P12" s="66"/>
      <c r="Q12" s="66"/>
      <c r="R12" s="66"/>
      <c r="S12" s="66"/>
      <c r="T12" s="66"/>
      <c r="U12" s="66"/>
      <c r="V12" s="66"/>
      <c r="W12" s="66"/>
      <c r="X12" s="66"/>
      <c r="Y12" s="66"/>
      <c r="Z12" s="66"/>
      <c r="AA12" s="66"/>
      <c r="AB12" s="66"/>
      <c r="AC12" s="66"/>
      <c r="AD12" s="66"/>
      <c r="AE12" s="66"/>
      <c r="AF12" s="67"/>
    </row>
    <row r="13" spans="1:35" ht="18" customHeight="1" x14ac:dyDescent="0.3">
      <c r="A13" s="107" t="s">
        <v>253</v>
      </c>
      <c r="B13" s="66"/>
      <c r="C13" s="100" t="s">
        <v>170</v>
      </c>
      <c r="D13" s="100"/>
      <c r="E13" s="100"/>
      <c r="F13" s="100"/>
      <c r="G13" s="100"/>
      <c r="H13" s="100"/>
      <c r="I13" s="100"/>
      <c r="J13" s="100"/>
      <c r="K13" s="100"/>
      <c r="L13" s="66"/>
      <c r="M13" s="100" t="s">
        <v>171</v>
      </c>
      <c r="N13" s="100"/>
      <c r="O13" s="100"/>
      <c r="P13" s="100"/>
      <c r="Q13" s="100"/>
      <c r="R13" s="100"/>
      <c r="S13" s="100"/>
      <c r="T13" s="77"/>
      <c r="U13" s="77"/>
      <c r="V13" s="100" t="s">
        <v>172</v>
      </c>
      <c r="W13" s="100"/>
      <c r="X13" s="100"/>
      <c r="Y13" s="100"/>
      <c r="Z13" s="100"/>
      <c r="AA13" s="100"/>
      <c r="AB13" s="100"/>
      <c r="AC13" s="66"/>
      <c r="AD13" s="66"/>
      <c r="AE13" s="66"/>
      <c r="AF13" s="67"/>
    </row>
    <row r="14" spans="1:35" ht="14.4" customHeight="1" x14ac:dyDescent="0.3">
      <c r="A14" s="107"/>
      <c r="B14" s="66"/>
      <c r="C14" s="100"/>
      <c r="D14" s="100"/>
      <c r="E14" s="100"/>
      <c r="F14" s="100"/>
      <c r="G14" s="100"/>
      <c r="H14" s="100"/>
      <c r="I14" s="100"/>
      <c r="J14" s="100"/>
      <c r="K14" s="100"/>
      <c r="L14" s="66"/>
      <c r="M14" s="100"/>
      <c r="N14" s="100"/>
      <c r="O14" s="100"/>
      <c r="P14" s="100"/>
      <c r="Q14" s="100"/>
      <c r="R14" s="100"/>
      <c r="S14" s="100"/>
      <c r="T14" s="77"/>
      <c r="U14" s="77"/>
      <c r="V14" s="100"/>
      <c r="W14" s="100"/>
      <c r="X14" s="100"/>
      <c r="Y14" s="100"/>
      <c r="Z14" s="100"/>
      <c r="AA14" s="100"/>
      <c r="AB14" s="100"/>
      <c r="AC14" s="66"/>
      <c r="AD14" s="66"/>
      <c r="AE14" s="66"/>
      <c r="AF14" s="67"/>
      <c r="AI14" s="78"/>
    </row>
    <row r="15" spans="1:35" ht="14.4" customHeight="1" x14ac:dyDescent="0.3">
      <c r="A15" s="107"/>
      <c r="B15" s="66"/>
      <c r="C15" s="66"/>
      <c r="D15" s="66"/>
      <c r="E15" s="66"/>
      <c r="F15" s="66"/>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7"/>
      <c r="AI15" s="79"/>
    </row>
    <row r="16" spans="1:35" ht="14.4" customHeight="1" x14ac:dyDescent="0.3">
      <c r="A16" s="107"/>
      <c r="B16" s="66"/>
      <c r="C16" s="66"/>
      <c r="D16" s="66"/>
      <c r="E16" s="66"/>
      <c r="F16" s="66"/>
      <c r="G16" s="66"/>
      <c r="H16" s="66"/>
      <c r="I16" s="66"/>
      <c r="J16" s="66"/>
      <c r="K16" s="66"/>
      <c r="L16" s="66"/>
      <c r="M16" s="66"/>
      <c r="N16" s="66"/>
      <c r="O16" s="66"/>
      <c r="P16" s="66"/>
      <c r="Q16" s="66"/>
      <c r="R16" s="66"/>
      <c r="S16" s="66"/>
      <c r="T16" s="66"/>
      <c r="U16" s="66"/>
      <c r="V16" s="66"/>
      <c r="W16" s="66"/>
      <c r="X16" s="66"/>
      <c r="Y16" s="66"/>
      <c r="Z16" s="66"/>
      <c r="AA16" s="66"/>
      <c r="AB16" s="66"/>
      <c r="AC16" s="66"/>
      <c r="AD16" s="66"/>
      <c r="AE16" s="66"/>
      <c r="AF16" s="67"/>
      <c r="AI16" s="79"/>
    </row>
    <row r="17" spans="1:35" ht="14.4" customHeight="1" x14ac:dyDescent="0.3">
      <c r="A17" s="107"/>
      <c r="B17" s="66"/>
      <c r="C17" s="66"/>
      <c r="D17" s="66"/>
      <c r="E17" s="66"/>
      <c r="F17" s="66"/>
      <c r="G17" s="66"/>
      <c r="H17" s="66"/>
      <c r="I17" s="66"/>
      <c r="J17" s="66"/>
      <c r="K17" s="66"/>
      <c r="L17" s="66"/>
      <c r="M17" s="66"/>
      <c r="N17" s="66"/>
      <c r="O17" s="66"/>
      <c r="P17" s="66"/>
      <c r="Q17" s="66"/>
      <c r="R17" s="66"/>
      <c r="S17" s="66"/>
      <c r="T17" s="66"/>
      <c r="U17" s="66"/>
      <c r="V17" s="66"/>
      <c r="W17" s="66"/>
      <c r="X17" s="66"/>
      <c r="Y17" s="66"/>
      <c r="Z17" s="66"/>
      <c r="AA17" s="66"/>
      <c r="AB17" s="66"/>
      <c r="AC17" s="66"/>
      <c r="AD17" s="66"/>
      <c r="AE17" s="66"/>
      <c r="AF17" s="67"/>
      <c r="AI17" s="79"/>
    </row>
    <row r="18" spans="1:35" ht="14.4" customHeight="1" x14ac:dyDescent="0.3">
      <c r="A18" s="107"/>
      <c r="B18" s="66"/>
      <c r="C18" s="66"/>
      <c r="D18" s="66"/>
      <c r="E18" s="66"/>
      <c r="F18" s="66"/>
      <c r="G18" s="66"/>
      <c r="H18" s="66"/>
      <c r="I18" s="66"/>
      <c r="J18" s="66"/>
      <c r="K18" s="66"/>
      <c r="L18" s="66"/>
      <c r="M18" s="66"/>
      <c r="N18" s="66"/>
      <c r="O18" s="66"/>
      <c r="P18" s="66"/>
      <c r="Q18" s="66"/>
      <c r="R18" s="66"/>
      <c r="S18" s="66"/>
      <c r="T18" s="66"/>
      <c r="U18" s="66"/>
      <c r="V18" s="66"/>
      <c r="W18" s="66"/>
      <c r="X18" s="66"/>
      <c r="Y18" s="66"/>
      <c r="Z18" s="66"/>
      <c r="AA18" s="66"/>
      <c r="AB18" s="66"/>
      <c r="AC18" s="66"/>
      <c r="AD18" s="66"/>
      <c r="AE18" s="66"/>
      <c r="AF18" s="67"/>
      <c r="AI18" s="79"/>
    </row>
    <row r="19" spans="1:35" ht="14.4" customHeight="1" x14ac:dyDescent="0.3">
      <c r="A19" s="107"/>
      <c r="B19" s="66"/>
      <c r="C19" s="66"/>
      <c r="D19" s="66"/>
      <c r="E19" s="66"/>
      <c r="F19" s="66"/>
      <c r="G19" s="66"/>
      <c r="H19" s="66"/>
      <c r="I19" s="66"/>
      <c r="J19" s="66"/>
      <c r="K19" s="66"/>
      <c r="L19" s="66"/>
      <c r="M19" s="66"/>
      <c r="N19" s="66"/>
      <c r="O19" s="66"/>
      <c r="P19" s="66"/>
      <c r="Q19" s="66"/>
      <c r="R19" s="66"/>
      <c r="S19" s="66"/>
      <c r="T19" s="66"/>
      <c r="U19" s="66"/>
      <c r="V19" s="66"/>
      <c r="W19" s="66"/>
      <c r="X19" s="66"/>
      <c r="Y19" s="66"/>
      <c r="Z19" s="66"/>
      <c r="AA19" s="66"/>
      <c r="AB19" s="66"/>
      <c r="AC19" s="66"/>
      <c r="AD19" s="66"/>
      <c r="AE19" s="66"/>
      <c r="AF19" s="67"/>
      <c r="AI19" s="79"/>
    </row>
    <row r="20" spans="1:35" ht="14.4" customHeight="1" x14ac:dyDescent="0.3">
      <c r="A20" s="107"/>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6"/>
      <c r="AD20" s="66"/>
      <c r="AE20" s="66"/>
      <c r="AF20" s="67"/>
      <c r="AI20" s="79"/>
    </row>
    <row r="21" spans="1:35" ht="14.4" customHeight="1" x14ac:dyDescent="0.3">
      <c r="A21" s="107"/>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7"/>
      <c r="AI21" s="79"/>
    </row>
    <row r="22" spans="1:35" ht="14.4" customHeight="1" x14ac:dyDescent="0.3">
      <c r="A22" s="107"/>
      <c r="B22" s="66"/>
      <c r="C22" s="66"/>
      <c r="D22" s="66"/>
      <c r="E22" s="66"/>
      <c r="F22" s="66"/>
      <c r="G22" s="66"/>
      <c r="H22" s="66"/>
      <c r="I22" s="66"/>
      <c r="J22" s="66"/>
      <c r="K22" s="66"/>
      <c r="L22" s="66"/>
      <c r="M22" s="66"/>
      <c r="N22" s="66"/>
      <c r="O22" s="66"/>
      <c r="P22" s="66"/>
      <c r="Q22" s="66"/>
      <c r="R22" s="66"/>
      <c r="S22" s="66"/>
      <c r="T22" s="66"/>
      <c r="U22" s="66"/>
      <c r="V22" s="66"/>
      <c r="W22" s="66"/>
      <c r="X22" s="66"/>
      <c r="Y22" s="66"/>
      <c r="Z22" s="66"/>
      <c r="AA22" s="66"/>
      <c r="AB22" s="66"/>
      <c r="AC22" s="66"/>
      <c r="AD22" s="66"/>
      <c r="AE22" s="66"/>
      <c r="AF22" s="67"/>
      <c r="AI22" s="79"/>
    </row>
    <row r="23" spans="1:35" ht="14.4" customHeight="1" x14ac:dyDescent="0.3">
      <c r="A23" s="107"/>
      <c r="B23" s="66"/>
      <c r="C23" s="66"/>
      <c r="D23" s="66"/>
      <c r="E23" s="66"/>
      <c r="F23" s="66"/>
      <c r="G23" s="66"/>
      <c r="H23" s="66"/>
      <c r="I23" s="66"/>
      <c r="J23" s="66"/>
      <c r="K23" s="66"/>
      <c r="L23" s="66"/>
      <c r="M23" s="66"/>
      <c r="N23" s="66"/>
      <c r="O23" s="66"/>
      <c r="P23" s="66"/>
      <c r="Q23" s="66"/>
      <c r="R23" s="66"/>
      <c r="S23" s="66"/>
      <c r="T23" s="66"/>
      <c r="U23" s="66"/>
      <c r="V23" s="66"/>
      <c r="W23" s="66"/>
      <c r="X23" s="66"/>
      <c r="Y23" s="66"/>
      <c r="Z23" s="66"/>
      <c r="AA23" s="66"/>
      <c r="AB23" s="66"/>
      <c r="AC23" s="66"/>
      <c r="AD23" s="66"/>
      <c r="AE23" s="66"/>
      <c r="AF23" s="67"/>
    </row>
    <row r="24" spans="1:35" ht="14.4" customHeight="1" x14ac:dyDescent="0.3">
      <c r="A24" s="107"/>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7"/>
    </row>
    <row r="25" spans="1:35" ht="14.4" customHeight="1" x14ac:dyDescent="0.3">
      <c r="A25" s="107"/>
      <c r="B25" s="66"/>
      <c r="C25" s="66"/>
      <c r="D25" s="66"/>
      <c r="E25" s="66"/>
      <c r="F25" s="66"/>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7"/>
    </row>
    <row r="26" spans="1:35" ht="14.4" customHeight="1" x14ac:dyDescent="0.3">
      <c r="A26" s="107"/>
      <c r="B26" s="66"/>
      <c r="C26" s="66"/>
      <c r="D26" s="66"/>
      <c r="E26" s="6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7"/>
    </row>
    <row r="27" spans="1:35" ht="14.4" customHeight="1" x14ac:dyDescent="0.3">
      <c r="A27" s="107"/>
      <c r="B27" s="66"/>
      <c r="C27" s="66"/>
      <c r="D27" s="66"/>
      <c r="E27" s="66"/>
      <c r="F27" s="66"/>
      <c r="G27" s="66"/>
      <c r="H27" s="66"/>
      <c r="I27" s="66"/>
      <c r="J27" s="66"/>
      <c r="K27" s="66"/>
      <c r="L27" s="66"/>
      <c r="M27" s="66"/>
      <c r="N27" s="66"/>
      <c r="O27" s="66"/>
      <c r="P27" s="66"/>
      <c r="Q27" s="66"/>
      <c r="R27" s="66"/>
      <c r="S27" s="66"/>
      <c r="T27" s="66"/>
      <c r="U27" s="66"/>
      <c r="V27" s="66"/>
      <c r="W27" s="66"/>
      <c r="X27" s="66"/>
      <c r="Y27" s="66"/>
      <c r="Z27" s="66"/>
      <c r="AA27" s="66"/>
      <c r="AB27" s="66"/>
      <c r="AC27" s="66"/>
      <c r="AD27" s="66"/>
      <c r="AE27" s="66"/>
      <c r="AF27" s="67"/>
    </row>
    <row r="28" spans="1:35" ht="14.4" customHeight="1" x14ac:dyDescent="0.3">
      <c r="A28" s="107"/>
      <c r="B28" s="66"/>
      <c r="C28" s="66"/>
      <c r="D28" s="66"/>
      <c r="E28" s="66"/>
      <c r="F28" s="66"/>
      <c r="G28" s="66"/>
      <c r="H28" s="66"/>
      <c r="I28" s="66"/>
      <c r="J28" s="66"/>
      <c r="K28" s="66"/>
      <c r="L28" s="66"/>
      <c r="M28" s="66"/>
      <c r="N28" s="66"/>
      <c r="O28" s="66"/>
      <c r="P28" s="66"/>
      <c r="Q28" s="66"/>
      <c r="R28" s="66"/>
      <c r="S28" s="66"/>
      <c r="T28" s="66"/>
      <c r="U28" s="66"/>
      <c r="V28" s="66"/>
      <c r="W28" s="66"/>
      <c r="X28" s="66"/>
      <c r="Y28" s="66"/>
      <c r="Z28" s="66"/>
      <c r="AA28" s="66"/>
      <c r="AB28" s="66"/>
      <c r="AC28" s="66"/>
      <c r="AD28" s="66"/>
      <c r="AE28" s="66"/>
      <c r="AF28" s="67"/>
    </row>
    <row r="29" spans="1:35" ht="14.4" customHeight="1" x14ac:dyDescent="0.3">
      <c r="A29" s="107"/>
      <c r="B29" s="66"/>
      <c r="C29" s="66"/>
      <c r="D29" s="66"/>
      <c r="E29" s="66"/>
      <c r="F29" s="66"/>
      <c r="G29" s="66"/>
      <c r="H29" s="66"/>
      <c r="I29" s="66"/>
      <c r="J29" s="66"/>
      <c r="K29" s="66"/>
      <c r="L29" s="66"/>
      <c r="M29" s="66"/>
      <c r="N29" s="66"/>
      <c r="O29" s="66"/>
      <c r="P29" s="66"/>
      <c r="Q29" s="66"/>
      <c r="R29" s="66"/>
      <c r="S29" s="66"/>
      <c r="T29" s="66"/>
      <c r="U29" s="66"/>
      <c r="V29" s="66"/>
      <c r="W29" s="66"/>
      <c r="X29" s="66"/>
      <c r="Y29" s="66"/>
      <c r="Z29" s="66"/>
      <c r="AA29" s="66"/>
      <c r="AB29" s="66"/>
      <c r="AC29" s="66"/>
      <c r="AD29" s="66"/>
      <c r="AE29" s="66"/>
      <c r="AF29" s="67"/>
    </row>
    <row r="30" spans="1:35" ht="14.4" customHeight="1" x14ac:dyDescent="0.3">
      <c r="A30" s="107"/>
      <c r="B30" s="66"/>
      <c r="C30" s="66"/>
      <c r="D30" s="66"/>
      <c r="E30" s="66"/>
      <c r="F30" s="66"/>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7"/>
    </row>
    <row r="31" spans="1:35" ht="14.4" customHeight="1" x14ac:dyDescent="0.3">
      <c r="A31" s="107"/>
      <c r="B31" s="66"/>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7"/>
    </row>
    <row r="32" spans="1:35" ht="6.6" customHeight="1" x14ac:dyDescent="0.3">
      <c r="A32" s="107"/>
      <c r="B32" s="66"/>
      <c r="C32" s="66"/>
      <c r="D32" s="66"/>
      <c r="E32" s="66"/>
      <c r="F32" s="66"/>
      <c r="G32" s="66"/>
      <c r="H32" s="66"/>
      <c r="I32" s="66"/>
      <c r="J32" s="66"/>
      <c r="K32" s="66"/>
      <c r="L32" s="66"/>
      <c r="M32" s="66"/>
      <c r="N32" s="66"/>
      <c r="O32" s="66"/>
      <c r="P32" s="66"/>
      <c r="Q32" s="66"/>
      <c r="R32" s="66"/>
      <c r="S32" s="66"/>
      <c r="T32" s="66"/>
      <c r="U32" s="66"/>
      <c r="V32" s="66"/>
      <c r="W32" s="66"/>
      <c r="X32" s="66"/>
      <c r="Y32" s="66"/>
      <c r="Z32" s="66"/>
      <c r="AA32" s="66"/>
      <c r="AB32" s="66"/>
      <c r="AC32" s="66"/>
      <c r="AD32" s="66"/>
      <c r="AE32" s="66"/>
      <c r="AF32" s="67"/>
    </row>
    <row r="33" spans="1:32" ht="14.4" customHeight="1" x14ac:dyDescent="0.3">
      <c r="A33" s="107"/>
      <c r="B33" s="66"/>
      <c r="C33" s="66"/>
      <c r="D33" s="101" t="s">
        <v>173</v>
      </c>
      <c r="E33" s="101"/>
      <c r="F33" s="101"/>
      <c r="G33" s="101"/>
      <c r="H33" s="101"/>
      <c r="I33" s="101"/>
      <c r="J33" s="101"/>
      <c r="K33" s="101"/>
      <c r="L33" s="66"/>
      <c r="M33" s="105" t="s">
        <v>278</v>
      </c>
      <c r="N33" s="105"/>
      <c r="O33" s="105"/>
      <c r="P33" s="105"/>
      <c r="Q33" s="105"/>
      <c r="R33" s="105"/>
      <c r="S33" s="105"/>
      <c r="T33" s="66"/>
      <c r="U33" s="66"/>
      <c r="V33" s="66"/>
      <c r="W33" s="66"/>
      <c r="X33" s="66"/>
      <c r="Y33" s="66"/>
      <c r="Z33" s="66"/>
      <c r="AA33" s="66"/>
      <c r="AB33" s="66"/>
      <c r="AC33" s="66"/>
      <c r="AD33" s="66"/>
      <c r="AE33" s="66"/>
      <c r="AF33" s="67"/>
    </row>
    <row r="34" spans="1:32" ht="45" customHeight="1" x14ac:dyDescent="0.3">
      <c r="A34" s="107"/>
      <c r="B34" s="66"/>
      <c r="C34" s="66"/>
      <c r="D34" s="101"/>
      <c r="E34" s="101"/>
      <c r="F34" s="101"/>
      <c r="G34" s="101"/>
      <c r="H34" s="101"/>
      <c r="I34" s="101"/>
      <c r="J34" s="101"/>
      <c r="K34" s="101"/>
      <c r="L34" s="66"/>
      <c r="M34" s="105"/>
      <c r="N34" s="105"/>
      <c r="O34" s="105"/>
      <c r="P34" s="105"/>
      <c r="Q34" s="105"/>
      <c r="R34" s="105"/>
      <c r="S34" s="105"/>
      <c r="T34" s="66"/>
      <c r="U34" s="66"/>
      <c r="V34" s="66"/>
      <c r="W34" s="106" t="s">
        <v>222</v>
      </c>
      <c r="X34" s="106"/>
      <c r="Y34" s="106"/>
      <c r="Z34" s="89"/>
      <c r="AA34" s="106" t="s">
        <v>221</v>
      </c>
      <c r="AB34" s="106"/>
      <c r="AC34" s="106"/>
      <c r="AD34" s="66"/>
      <c r="AE34" s="66"/>
      <c r="AF34" s="67"/>
    </row>
    <row r="35" spans="1:32" ht="14.4" customHeight="1" x14ac:dyDescent="0.3">
      <c r="A35" s="107"/>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7"/>
    </row>
    <row r="36" spans="1:32" ht="14.4" customHeight="1" x14ac:dyDescent="0.3">
      <c r="A36" s="107"/>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7"/>
    </row>
    <row r="37" spans="1:32" ht="14.4" customHeight="1" x14ac:dyDescent="0.3">
      <c r="A37" s="107"/>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c r="AF37" s="67"/>
    </row>
    <row r="38" spans="1:32" ht="14.4" customHeight="1" x14ac:dyDescent="0.3">
      <c r="A38" s="107"/>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c r="AF38" s="67"/>
    </row>
    <row r="39" spans="1:32" ht="14.4" customHeight="1" x14ac:dyDescent="0.3">
      <c r="A39" s="107"/>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c r="AF39" s="67"/>
    </row>
    <row r="40" spans="1:32" ht="14.4" customHeight="1" x14ac:dyDescent="0.3">
      <c r="A40" s="107"/>
      <c r="B40" s="66"/>
      <c r="C40" s="66"/>
      <c r="D40" s="66"/>
      <c r="E40" s="66"/>
      <c r="F40" s="66"/>
      <c r="G40" s="66"/>
      <c r="H40" s="66"/>
      <c r="I40" s="66"/>
      <c r="J40" s="66"/>
      <c r="K40" s="66"/>
      <c r="L40" s="66"/>
      <c r="M40" s="66"/>
      <c r="N40" s="66"/>
      <c r="O40" s="66"/>
      <c r="P40" s="66" t="s">
        <v>174</v>
      </c>
      <c r="Q40" s="66"/>
      <c r="R40" s="66"/>
      <c r="S40" s="66"/>
      <c r="T40" s="66"/>
      <c r="U40" s="66"/>
      <c r="V40" s="66"/>
      <c r="W40" s="66"/>
      <c r="X40" s="66"/>
      <c r="Y40" s="66"/>
      <c r="Z40" s="66"/>
      <c r="AA40" s="66"/>
      <c r="AB40" s="66"/>
      <c r="AC40" s="66"/>
      <c r="AD40" s="66"/>
      <c r="AE40" s="66"/>
      <c r="AF40" s="67"/>
    </row>
    <row r="41" spans="1:32" ht="14.4" customHeight="1" x14ac:dyDescent="0.3">
      <c r="A41" s="107"/>
      <c r="B41" s="66"/>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7"/>
    </row>
    <row r="42" spans="1:32" ht="14.4" customHeight="1" x14ac:dyDescent="0.3">
      <c r="A42" s="107"/>
      <c r="B42" s="66"/>
      <c r="C42" s="66"/>
      <c r="D42" s="66"/>
      <c r="E42" s="66"/>
      <c r="F42" s="66"/>
      <c r="G42" s="66"/>
      <c r="H42" s="66"/>
      <c r="I42" s="66"/>
      <c r="J42" s="66"/>
      <c r="K42" s="66"/>
      <c r="L42" s="66"/>
      <c r="M42" s="66"/>
      <c r="N42" s="66"/>
      <c r="O42" s="66"/>
      <c r="P42" s="66"/>
      <c r="Q42" s="66"/>
      <c r="R42" s="66"/>
      <c r="S42" s="66"/>
      <c r="T42" s="66"/>
      <c r="U42" s="66"/>
      <c r="V42" s="66"/>
      <c r="W42" s="66"/>
      <c r="X42" s="66"/>
      <c r="Y42" s="66"/>
      <c r="Z42" s="66"/>
      <c r="AA42" s="66"/>
      <c r="AB42" s="66"/>
      <c r="AC42" s="66"/>
      <c r="AD42" s="66"/>
      <c r="AE42" s="66"/>
      <c r="AF42" s="67"/>
    </row>
    <row r="43" spans="1:32" ht="14.4" customHeight="1" x14ac:dyDescent="0.3">
      <c r="A43" s="107"/>
      <c r="B43" s="66"/>
      <c r="C43" s="66"/>
      <c r="D43" s="66"/>
      <c r="E43" s="66"/>
      <c r="F43" s="66"/>
      <c r="G43" s="66"/>
      <c r="H43" s="66"/>
      <c r="I43" s="66"/>
      <c r="J43" s="66"/>
      <c r="K43" s="66"/>
      <c r="L43" s="66"/>
      <c r="M43" s="66"/>
      <c r="N43" s="66"/>
      <c r="O43" s="66"/>
      <c r="P43" s="66"/>
      <c r="Q43" s="66"/>
      <c r="R43" s="66"/>
      <c r="S43" s="66"/>
      <c r="T43" s="66"/>
      <c r="U43" s="66"/>
      <c r="V43" s="66"/>
      <c r="W43" s="66"/>
      <c r="X43" s="66"/>
      <c r="Y43" s="66"/>
      <c r="Z43" s="66"/>
      <c r="AA43" s="66"/>
      <c r="AB43" s="66"/>
      <c r="AC43" s="66"/>
      <c r="AD43" s="66"/>
      <c r="AE43" s="66"/>
      <c r="AF43" s="67"/>
    </row>
    <row r="44" spans="1:32" ht="14.4" customHeight="1" x14ac:dyDescent="0.3">
      <c r="A44" s="107"/>
      <c r="B44" s="66"/>
      <c r="C44" s="66"/>
      <c r="D44" s="66"/>
      <c r="E44" s="66"/>
      <c r="F44" s="66"/>
      <c r="G44" s="66"/>
      <c r="H44" s="66"/>
      <c r="I44" s="66"/>
      <c r="J44" s="66"/>
      <c r="K44" s="66"/>
      <c r="L44" s="66"/>
      <c r="M44" s="66"/>
      <c r="N44" s="66"/>
      <c r="O44" s="66"/>
      <c r="P44" s="66"/>
      <c r="Q44" s="66"/>
      <c r="R44" s="66"/>
      <c r="S44" s="66"/>
      <c r="T44" s="66"/>
      <c r="U44" s="66"/>
      <c r="V44" s="66"/>
      <c r="W44" s="66"/>
      <c r="X44" s="66"/>
      <c r="Y44" s="66"/>
      <c r="Z44" s="66"/>
      <c r="AA44" s="66"/>
      <c r="AB44" s="66"/>
      <c r="AC44" s="66"/>
      <c r="AD44" s="66"/>
      <c r="AE44" s="66"/>
      <c r="AF44" s="67"/>
    </row>
    <row r="45" spans="1:32" ht="14.4" customHeight="1" x14ac:dyDescent="0.3">
      <c r="A45" s="107"/>
      <c r="B45" s="66"/>
      <c r="C45" s="66"/>
      <c r="D45" s="66"/>
      <c r="E45" s="66"/>
      <c r="F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7"/>
    </row>
    <row r="46" spans="1:32" ht="14.4" customHeight="1" x14ac:dyDescent="0.3">
      <c r="A46" s="107"/>
      <c r="B46" s="6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7"/>
    </row>
    <row r="47" spans="1:32" ht="14.4" customHeight="1" x14ac:dyDescent="0.3">
      <c r="A47" s="107"/>
      <c r="B47" s="66"/>
      <c r="C47" s="66"/>
      <c r="D47" s="66"/>
      <c r="E47" s="66"/>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c r="AE47" s="66"/>
      <c r="AF47" s="67"/>
    </row>
    <row r="48" spans="1:32" ht="14.4" customHeight="1" x14ac:dyDescent="0.3">
      <c r="A48" s="107"/>
      <c r="B48" s="66"/>
      <c r="C48" s="66"/>
      <c r="D48" s="66"/>
      <c r="E48" s="66"/>
      <c r="F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7"/>
    </row>
    <row r="49" spans="1:32" ht="14.4" customHeight="1" x14ac:dyDescent="0.3">
      <c r="A49" s="107"/>
      <c r="B49" s="66"/>
      <c r="C49" s="66"/>
      <c r="D49" s="66"/>
      <c r="E49" s="66"/>
      <c r="F49" s="66"/>
      <c r="G49" s="66"/>
      <c r="H49" s="66"/>
      <c r="I49" s="66"/>
      <c r="J49" s="66"/>
      <c r="K49" s="66"/>
      <c r="L49" s="66"/>
      <c r="M49" s="66"/>
      <c r="N49" s="66"/>
      <c r="O49" s="66"/>
      <c r="P49" s="66"/>
      <c r="Q49" s="66"/>
      <c r="R49" s="66"/>
      <c r="S49" s="66"/>
      <c r="T49" s="66"/>
      <c r="U49" s="66"/>
      <c r="V49" s="66"/>
      <c r="W49" s="66"/>
      <c r="X49" s="66"/>
      <c r="Y49" s="66"/>
      <c r="Z49" s="66"/>
      <c r="AA49" s="66"/>
      <c r="AB49" s="66"/>
      <c r="AC49" s="66"/>
      <c r="AD49" s="66"/>
      <c r="AE49" s="66"/>
      <c r="AF49" s="67"/>
    </row>
    <row r="50" spans="1:32" ht="43.2" customHeight="1" x14ac:dyDescent="0.3">
      <c r="A50" s="107"/>
      <c r="B50" s="66"/>
      <c r="C50" s="66"/>
      <c r="D50" s="66"/>
      <c r="E50" s="66"/>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7"/>
    </row>
    <row r="51" spans="1:32" ht="25.8" x14ac:dyDescent="0.5">
      <c r="A51" s="81" t="s">
        <v>182</v>
      </c>
      <c r="B51" s="69"/>
      <c r="C51" s="69"/>
      <c r="D51" s="69"/>
      <c r="E51" s="69"/>
      <c r="F51" s="69"/>
      <c r="G51" s="69"/>
      <c r="H51" s="69"/>
      <c r="I51" s="69"/>
      <c r="J51" s="69"/>
      <c r="K51" s="69"/>
      <c r="L51" s="69"/>
      <c r="M51" s="69"/>
      <c r="N51" s="69"/>
      <c r="O51" s="69"/>
      <c r="P51" s="69"/>
      <c r="Q51" s="69"/>
      <c r="R51" s="69"/>
      <c r="S51" s="69"/>
      <c r="T51" s="69"/>
      <c r="U51" s="69"/>
      <c r="V51" s="69"/>
      <c r="W51" s="69"/>
      <c r="X51" s="69"/>
      <c r="Y51" s="69"/>
      <c r="Z51" s="69"/>
      <c r="AA51" s="69"/>
      <c r="AB51" s="69"/>
      <c r="AC51" s="69"/>
      <c r="AD51" s="69"/>
      <c r="AE51" s="69"/>
      <c r="AF51" s="70"/>
    </row>
    <row r="52" spans="1:32" ht="25.8" x14ac:dyDescent="0.5">
      <c r="A52" s="81"/>
      <c r="B52" s="69"/>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c r="AF52" s="70"/>
    </row>
    <row r="53" spans="1:32" ht="25.8" x14ac:dyDescent="0.5">
      <c r="A53" s="82" t="s">
        <v>175</v>
      </c>
      <c r="B53" s="80"/>
      <c r="C53" s="80"/>
      <c r="D53" s="80"/>
      <c r="E53" s="80"/>
      <c r="F53" s="80"/>
      <c r="G53" s="80"/>
      <c r="H53" s="80"/>
      <c r="I53" s="80"/>
      <c r="J53" s="80"/>
      <c r="K53" s="80"/>
      <c r="L53" s="80"/>
      <c r="M53" s="80"/>
      <c r="N53" s="80"/>
      <c r="O53" s="80"/>
      <c r="P53" s="80"/>
      <c r="Q53" s="80"/>
      <c r="R53" s="80"/>
      <c r="S53" s="80"/>
      <c r="T53" s="80"/>
      <c r="U53" s="80"/>
      <c r="V53" s="80"/>
      <c r="W53" s="80"/>
      <c r="X53" s="80"/>
      <c r="Y53" s="80"/>
      <c r="Z53" s="80"/>
      <c r="AA53" s="80"/>
      <c r="AB53" s="80"/>
      <c r="AC53" s="80"/>
      <c r="AD53" s="80"/>
      <c r="AE53" s="69"/>
      <c r="AF53" s="70"/>
    </row>
    <row r="54" spans="1:32" ht="25.8" x14ac:dyDescent="0.5">
      <c r="A54" s="82" t="s">
        <v>176</v>
      </c>
      <c r="B54" s="80"/>
      <c r="C54" s="80"/>
      <c r="D54" s="80"/>
      <c r="E54" s="80"/>
      <c r="F54" s="80"/>
      <c r="G54" s="80"/>
      <c r="H54" s="80"/>
      <c r="I54" s="80"/>
      <c r="J54" s="80"/>
      <c r="K54" s="80"/>
      <c r="L54" s="80"/>
      <c r="M54" s="80"/>
      <c r="N54" s="80"/>
      <c r="O54" s="80"/>
      <c r="P54" s="80"/>
      <c r="Q54" s="80"/>
      <c r="R54" s="80"/>
      <c r="S54" s="80"/>
      <c r="T54" s="80"/>
      <c r="U54" s="80"/>
      <c r="V54" s="80"/>
      <c r="W54" s="80"/>
      <c r="X54" s="80"/>
      <c r="Y54" s="80"/>
      <c r="Z54" s="80"/>
      <c r="AA54" s="80"/>
      <c r="AB54" s="80"/>
      <c r="AC54" s="80"/>
      <c r="AD54" s="80"/>
      <c r="AE54" s="69"/>
      <c r="AF54" s="70"/>
    </row>
    <row r="55" spans="1:32" ht="25.8" x14ac:dyDescent="0.5">
      <c r="A55" s="82" t="s">
        <v>177</v>
      </c>
      <c r="B55" s="80"/>
      <c r="C55" s="80"/>
      <c r="D55" s="80"/>
      <c r="E55" s="80"/>
      <c r="F55" s="80"/>
      <c r="G55" s="80"/>
      <c r="H55" s="80"/>
      <c r="I55" s="80"/>
      <c r="J55" s="80"/>
      <c r="K55" s="80"/>
      <c r="L55" s="80"/>
      <c r="M55" s="80"/>
      <c r="N55" s="80"/>
      <c r="O55" s="80"/>
      <c r="P55" s="80"/>
      <c r="Q55" s="80"/>
      <c r="R55" s="80"/>
      <c r="S55" s="80"/>
      <c r="T55" s="80"/>
      <c r="U55" s="80"/>
      <c r="V55" s="80"/>
      <c r="W55" s="80"/>
      <c r="X55" s="80"/>
      <c r="Y55" s="80"/>
      <c r="Z55" s="80"/>
      <c r="AA55" s="80"/>
      <c r="AB55" s="80"/>
      <c r="AC55" s="80"/>
      <c r="AD55" s="80"/>
      <c r="AE55" s="69"/>
      <c r="AF55" s="70"/>
    </row>
    <row r="56" spans="1:32" ht="25.8" x14ac:dyDescent="0.5">
      <c r="A56" s="82" t="s">
        <v>178</v>
      </c>
      <c r="B56" s="80"/>
      <c r="C56" s="80"/>
      <c r="D56" s="80"/>
      <c r="E56" s="80"/>
      <c r="F56" s="80"/>
      <c r="G56" s="80"/>
      <c r="H56" s="80"/>
      <c r="I56" s="80"/>
      <c r="J56" s="80"/>
      <c r="K56" s="80"/>
      <c r="L56" s="80"/>
      <c r="M56" s="80"/>
      <c r="N56" s="80"/>
      <c r="O56" s="80"/>
      <c r="P56" s="80"/>
      <c r="Q56" s="80"/>
      <c r="R56" s="80"/>
      <c r="S56" s="80"/>
      <c r="T56" s="80"/>
      <c r="U56" s="80"/>
      <c r="V56" s="80"/>
      <c r="W56" s="80"/>
      <c r="X56" s="80"/>
      <c r="Y56" s="80"/>
      <c r="Z56" s="80"/>
      <c r="AA56" s="80"/>
      <c r="AB56" s="80"/>
      <c r="AC56" s="80"/>
      <c r="AD56" s="80"/>
      <c r="AE56" s="69"/>
      <c r="AF56" s="70"/>
    </row>
    <row r="57" spans="1:32" ht="25.8" x14ac:dyDescent="0.5">
      <c r="A57" s="82" t="s">
        <v>179</v>
      </c>
      <c r="B57" s="80"/>
      <c r="C57" s="80"/>
      <c r="D57" s="80"/>
      <c r="E57" s="80"/>
      <c r="F57" s="80"/>
      <c r="G57" s="80"/>
      <c r="H57" s="80"/>
      <c r="I57" s="80"/>
      <c r="J57" s="80"/>
      <c r="K57" s="80"/>
      <c r="L57" s="80"/>
      <c r="M57" s="80"/>
      <c r="N57" s="80"/>
      <c r="O57" s="80"/>
      <c r="P57" s="80"/>
      <c r="Q57" s="80"/>
      <c r="R57" s="80"/>
      <c r="S57" s="80"/>
      <c r="T57" s="80"/>
      <c r="U57" s="80"/>
      <c r="V57" s="80"/>
      <c r="W57" s="80"/>
      <c r="X57" s="80"/>
      <c r="Y57" s="80"/>
      <c r="Z57" s="80"/>
      <c r="AA57" s="80"/>
      <c r="AB57" s="80"/>
      <c r="AC57" s="80"/>
      <c r="AD57" s="80"/>
      <c r="AE57" s="69"/>
      <c r="AF57" s="70"/>
    </row>
    <row r="58" spans="1:32" ht="25.8" x14ac:dyDescent="0.5">
      <c r="A58" s="82" t="s">
        <v>180</v>
      </c>
      <c r="B58" s="80"/>
      <c r="C58" s="80"/>
      <c r="D58" s="80"/>
      <c r="E58" s="80"/>
      <c r="F58" s="80"/>
      <c r="G58" s="80"/>
      <c r="H58" s="80"/>
      <c r="I58" s="80"/>
      <c r="J58" s="80"/>
      <c r="K58" s="80"/>
      <c r="L58" s="80"/>
      <c r="M58" s="80"/>
      <c r="N58" s="80"/>
      <c r="O58" s="80"/>
      <c r="P58" s="80"/>
      <c r="Q58" s="80"/>
      <c r="R58" s="80"/>
      <c r="S58" s="80"/>
      <c r="T58" s="80"/>
      <c r="U58" s="80"/>
      <c r="V58" s="80"/>
      <c r="W58" s="80"/>
      <c r="X58" s="80"/>
      <c r="Y58" s="80"/>
      <c r="Z58" s="80"/>
      <c r="AA58" s="80"/>
      <c r="AB58" s="80"/>
      <c r="AC58" s="80"/>
      <c r="AD58" s="80"/>
      <c r="AE58" s="69"/>
      <c r="AF58" s="70"/>
    </row>
    <row r="59" spans="1:32" ht="25.8" x14ac:dyDescent="0.5">
      <c r="A59" s="82" t="s">
        <v>181</v>
      </c>
      <c r="B59" s="80"/>
      <c r="C59" s="80"/>
      <c r="D59" s="80"/>
      <c r="E59" s="80"/>
      <c r="F59" s="80"/>
      <c r="G59" s="80"/>
      <c r="H59" s="80"/>
      <c r="I59" s="80"/>
      <c r="J59" s="80"/>
      <c r="K59" s="80"/>
      <c r="L59" s="80"/>
      <c r="M59" s="80"/>
      <c r="N59" s="80"/>
      <c r="O59" s="80"/>
      <c r="P59" s="80"/>
      <c r="Q59" s="80"/>
      <c r="R59" s="80"/>
      <c r="S59" s="80"/>
      <c r="T59" s="80"/>
      <c r="U59" s="80"/>
      <c r="V59" s="80"/>
      <c r="W59" s="80"/>
      <c r="X59" s="80"/>
      <c r="Y59" s="80"/>
      <c r="Z59" s="80"/>
      <c r="AA59" s="80"/>
      <c r="AB59" s="80"/>
      <c r="AC59" s="80"/>
      <c r="AD59" s="80"/>
      <c r="AE59" s="69"/>
      <c r="AF59" s="70"/>
    </row>
    <row r="60" spans="1:32" x14ac:dyDescent="0.3">
      <c r="A60" s="68"/>
      <c r="B60" s="69"/>
      <c r="C60" s="69"/>
      <c r="D60" s="69"/>
      <c r="E60" s="69"/>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70"/>
    </row>
    <row r="61" spans="1:32" x14ac:dyDescent="0.3">
      <c r="A61" s="68"/>
      <c r="B61" s="69"/>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70"/>
    </row>
    <row r="62" spans="1:32" x14ac:dyDescent="0.3">
      <c r="A62" s="68"/>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70"/>
    </row>
    <row r="63" spans="1:32" ht="15.6" x14ac:dyDescent="0.3">
      <c r="A63" s="71"/>
      <c r="B63" s="72"/>
      <c r="C63" s="72"/>
      <c r="D63" s="72"/>
      <c r="E63" s="72"/>
      <c r="F63" s="72"/>
      <c r="G63" s="72"/>
      <c r="H63" s="72"/>
      <c r="I63" s="72"/>
      <c r="J63" s="72"/>
      <c r="K63" s="72"/>
      <c r="L63" s="72"/>
      <c r="M63" s="72"/>
      <c r="N63" s="72"/>
      <c r="O63" s="72"/>
      <c r="P63" s="72"/>
      <c r="Q63" s="72"/>
      <c r="R63" s="72"/>
      <c r="S63" s="72"/>
      <c r="T63" s="72"/>
      <c r="U63" s="72"/>
      <c r="V63" s="72"/>
      <c r="W63" s="72"/>
      <c r="X63" s="72"/>
      <c r="Y63" s="72"/>
      <c r="Z63" s="72"/>
      <c r="AA63" s="72"/>
      <c r="AB63" s="72"/>
      <c r="AC63" s="72"/>
      <c r="AD63" s="72"/>
      <c r="AE63" s="72"/>
      <c r="AF63" s="73"/>
    </row>
    <row r="64" spans="1:32" ht="15.6" x14ac:dyDescent="0.3">
      <c r="A64" s="71" t="s">
        <v>165</v>
      </c>
      <c r="B64" s="72"/>
      <c r="C64" s="72"/>
      <c r="D64" s="72"/>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c r="AE64" s="72"/>
      <c r="AF64" s="73"/>
    </row>
    <row r="65" spans="1:32" ht="15.6" x14ac:dyDescent="0.3">
      <c r="A65" s="71" t="s">
        <v>169</v>
      </c>
      <c r="B65" s="72"/>
      <c r="C65" s="72"/>
      <c r="D65" s="72"/>
      <c r="E65" s="72"/>
      <c r="F65" s="72"/>
      <c r="G65" s="72"/>
      <c r="H65" s="72"/>
      <c r="I65" s="72"/>
      <c r="J65" s="72"/>
      <c r="K65" s="72"/>
      <c r="L65" s="72"/>
      <c r="M65" s="72"/>
      <c r="N65" s="72"/>
      <c r="O65" s="72"/>
      <c r="P65" s="72"/>
      <c r="Q65" s="72"/>
      <c r="R65" s="72"/>
      <c r="S65" s="72"/>
      <c r="T65" s="72"/>
      <c r="U65" s="72"/>
      <c r="V65" s="72"/>
      <c r="W65" s="72"/>
      <c r="X65" s="72"/>
      <c r="Y65" s="72"/>
      <c r="Z65" s="72"/>
      <c r="AA65" s="72"/>
      <c r="AB65" s="72"/>
      <c r="AC65" s="72"/>
      <c r="AD65" s="72"/>
      <c r="AE65" s="72"/>
      <c r="AF65" s="73"/>
    </row>
    <row r="66" spans="1:32" ht="16.2" thickBot="1" x14ac:dyDescent="0.35">
      <c r="A66" s="74" t="s">
        <v>168</v>
      </c>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6"/>
    </row>
  </sheetData>
  <mergeCells count="10">
    <mergeCell ref="A6:AF6"/>
    <mergeCell ref="V13:AB14"/>
    <mergeCell ref="C13:K14"/>
    <mergeCell ref="M13:S14"/>
    <mergeCell ref="D33:K34"/>
    <mergeCell ref="A7:AF7"/>
    <mergeCell ref="M33:S34"/>
    <mergeCell ref="AA34:AC34"/>
    <mergeCell ref="W34:Y34"/>
    <mergeCell ref="A13:A5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1DFC2-2AD8-4639-B324-0A677DB2186C}">
  <dimension ref="A2:A50"/>
  <sheetViews>
    <sheetView topLeftCell="A32" workbookViewId="0">
      <selection activeCell="A40" sqref="A40:A50"/>
    </sheetView>
  </sheetViews>
  <sheetFormatPr defaultRowHeight="14.4" x14ac:dyDescent="0.3"/>
  <sheetData>
    <row r="2" spans="1:1" x14ac:dyDescent="0.3">
      <c r="A2" t="s">
        <v>280</v>
      </c>
    </row>
    <row r="4" spans="1:1" x14ac:dyDescent="0.3">
      <c r="A4" s="95" t="s">
        <v>281</v>
      </c>
    </row>
    <row r="6" spans="1:1" x14ac:dyDescent="0.3">
      <c r="A6" t="s">
        <v>282</v>
      </c>
    </row>
    <row r="7" spans="1:1" x14ac:dyDescent="0.3">
      <c r="A7" s="78"/>
    </row>
    <row r="8" spans="1:1" x14ac:dyDescent="0.3">
      <c r="A8" s="78" t="s">
        <v>283</v>
      </c>
    </row>
    <row r="9" spans="1:1" x14ac:dyDescent="0.3">
      <c r="A9" s="78" t="s">
        <v>284</v>
      </c>
    </row>
    <row r="11" spans="1:1" x14ac:dyDescent="0.3">
      <c r="A11" t="s">
        <v>285</v>
      </c>
    </row>
    <row r="13" spans="1:1" x14ac:dyDescent="0.3">
      <c r="A13" s="83" t="s">
        <v>286</v>
      </c>
    </row>
    <row r="14" spans="1:1" x14ac:dyDescent="0.3">
      <c r="A14" s="78"/>
    </row>
    <row r="15" spans="1:1" x14ac:dyDescent="0.3">
      <c r="A15" s="78" t="s">
        <v>287</v>
      </c>
    </row>
    <row r="16" spans="1:1" x14ac:dyDescent="0.3">
      <c r="A16" s="78" t="s">
        <v>288</v>
      </c>
    </row>
    <row r="17" spans="1:1" x14ac:dyDescent="0.3">
      <c r="A17" s="78" t="s">
        <v>289</v>
      </c>
    </row>
    <row r="19" spans="1:1" x14ac:dyDescent="0.3">
      <c r="A19" s="83" t="s">
        <v>290</v>
      </c>
    </row>
    <row r="20" spans="1:1" x14ac:dyDescent="0.3">
      <c r="A20" s="78"/>
    </row>
    <row r="21" spans="1:1" x14ac:dyDescent="0.3">
      <c r="A21" s="78" t="s">
        <v>291</v>
      </c>
    </row>
    <row r="22" spans="1:1" x14ac:dyDescent="0.3">
      <c r="A22" s="78" t="s">
        <v>292</v>
      </c>
    </row>
    <row r="23" spans="1:1" x14ac:dyDescent="0.3">
      <c r="A23" s="78" t="s">
        <v>293</v>
      </c>
    </row>
    <row r="25" spans="1:1" x14ac:dyDescent="0.3">
      <c r="A25" s="83" t="s">
        <v>294</v>
      </c>
    </row>
    <row r="26" spans="1:1" x14ac:dyDescent="0.3">
      <c r="A26" s="78"/>
    </row>
    <row r="27" spans="1:1" x14ac:dyDescent="0.3">
      <c r="A27" s="78" t="s">
        <v>295</v>
      </c>
    </row>
    <row r="28" spans="1:1" x14ac:dyDescent="0.3">
      <c r="A28" s="78" t="s">
        <v>296</v>
      </c>
    </row>
    <row r="30" spans="1:1" x14ac:dyDescent="0.3">
      <c r="A30" t="s">
        <v>297</v>
      </c>
    </row>
    <row r="31" spans="1:1" x14ac:dyDescent="0.3">
      <c r="A31" s="78"/>
    </row>
    <row r="32" spans="1:1" x14ac:dyDescent="0.3">
      <c r="A32" s="79" t="s">
        <v>298</v>
      </c>
    </row>
    <row r="33" spans="1:1" x14ac:dyDescent="0.3">
      <c r="A33" s="79" t="s">
        <v>299</v>
      </c>
    </row>
    <row r="35" spans="1:1" x14ac:dyDescent="0.3">
      <c r="A35" t="s">
        <v>300</v>
      </c>
    </row>
    <row r="37" spans="1:1" x14ac:dyDescent="0.3">
      <c r="A37" s="95" t="s">
        <v>301</v>
      </c>
    </row>
    <row r="40" spans="1:1" x14ac:dyDescent="0.3">
      <c r="A40" t="s">
        <v>269</v>
      </c>
    </row>
    <row r="41" spans="1:1" x14ac:dyDescent="0.3">
      <c r="A41" t="s">
        <v>270</v>
      </c>
    </row>
    <row r="42" spans="1:1" x14ac:dyDescent="0.3">
      <c r="A42" t="s">
        <v>271</v>
      </c>
    </row>
    <row r="43" spans="1:1" x14ac:dyDescent="0.3">
      <c r="A43" t="s">
        <v>272</v>
      </c>
    </row>
    <row r="44" spans="1:1" x14ac:dyDescent="0.3">
      <c r="A44" t="s">
        <v>273</v>
      </c>
    </row>
    <row r="45" spans="1:1" x14ac:dyDescent="0.3">
      <c r="A45" t="s">
        <v>274</v>
      </c>
    </row>
    <row r="46" spans="1:1" x14ac:dyDescent="0.3">
      <c r="A46" t="s">
        <v>275</v>
      </c>
    </row>
    <row r="47" spans="1:1" x14ac:dyDescent="0.3">
      <c r="A47" t="s">
        <v>276</v>
      </c>
    </row>
    <row r="48" spans="1:1" x14ac:dyDescent="0.3">
      <c r="A48" t="s">
        <v>277</v>
      </c>
    </row>
    <row r="50" spans="1:1" x14ac:dyDescent="0.3">
      <c r="A50" t="s">
        <v>279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5C11A-A1C7-4C31-9311-6A98A2F01D06}">
  <dimension ref="A1:H27"/>
  <sheetViews>
    <sheetView topLeftCell="AK3" workbookViewId="0">
      <selection activeCell="C64" activeCellId="1" sqref="A64:A74 C64:C74"/>
    </sheetView>
  </sheetViews>
  <sheetFormatPr defaultRowHeight="14.4" x14ac:dyDescent="0.3"/>
  <cols>
    <col min="2" max="2" width="33.21875" bestFit="1" customWidth="1"/>
    <col min="3" max="3" width="12.109375" bestFit="1" customWidth="1"/>
  </cols>
  <sheetData>
    <row r="1" spans="1:8" x14ac:dyDescent="0.3">
      <c r="A1" s="85" t="s">
        <v>2</v>
      </c>
      <c r="B1" s="85" t="s">
        <v>189</v>
      </c>
      <c r="C1" t="s">
        <v>29</v>
      </c>
      <c r="D1" t="s">
        <v>47</v>
      </c>
      <c r="E1" t="s">
        <v>53</v>
      </c>
      <c r="F1" t="s">
        <v>54</v>
      </c>
      <c r="G1" t="s">
        <v>26</v>
      </c>
      <c r="H1" t="s">
        <v>55</v>
      </c>
    </row>
    <row r="2" spans="1:8" x14ac:dyDescent="0.3">
      <c r="A2" s="85" t="s">
        <v>190</v>
      </c>
      <c r="B2" s="85">
        <v>54.79</v>
      </c>
      <c r="C2" t="e">
        <f>INDEX(Sheet2!$E$83:$AL$109,
       MATCH('Crude oil'!$A2, Sheet2!$E$83:$E$109, 0),
       MATCH('Crude oil'!C$1, Sheet2!$E$83:$AL$83, 0))</f>
        <v>#N/A</v>
      </c>
      <c r="D2" t="e">
        <f>INDEX(Sheet2!$E$83:$AL$109,
       MATCH('Crude oil'!$A2, Sheet2!$E$83:$E$109, 0),
       MATCH('Crude oil'!D$1, Sheet2!$E$83:$AL$83, 0))</f>
        <v>#N/A</v>
      </c>
      <c r="E2" t="e">
        <f>INDEX(Sheet2!$E$83:$AL$109,
       MATCH('Crude oil'!$A2, Sheet2!$E$83:$E$109, 0),
       MATCH('Crude oil'!E$1, Sheet2!$E$83:$AL$83, 0))</f>
        <v>#N/A</v>
      </c>
      <c r="F2" t="e">
        <f>INDEX(Sheet2!$E$83:$AL$109,
       MATCH('Crude oil'!$A2, Sheet2!$E$83:$E$109, 0),
       MATCH('Crude oil'!F$1, Sheet2!$E$83:$AL$83, 0))</f>
        <v>#N/A</v>
      </c>
      <c r="G2" t="e">
        <f>INDEX(Sheet2!$E$83:$AL$109,
       MATCH('Crude oil'!$A2, Sheet2!$E$83:$E$109, 0),
       MATCH('Crude oil'!G$1, Sheet2!$E$83:$AL$83, 0))</f>
        <v>#N/A</v>
      </c>
      <c r="H2" t="e">
        <f>INDEX(Sheet2!$E$83:$AL$109,
       MATCH('Crude oil'!$A2, Sheet2!$E$83:$E$109, 0),
       MATCH('Crude oil'!H$1, Sheet2!$E$83:$AL$83, 0))</f>
        <v>#N/A</v>
      </c>
    </row>
    <row r="3" spans="1:8" x14ac:dyDescent="0.3">
      <c r="A3" s="85" t="s">
        <v>191</v>
      </c>
      <c r="B3" s="85">
        <v>61.22</v>
      </c>
      <c r="C3" t="e">
        <f>INDEX(Sheet2!$E$83:$AL$109,
       MATCH('Crude oil'!$A3, Sheet2!$E$83:$E$109, 0),
       MATCH('Crude oil'!C$1, Sheet2!$E$83:$AL$83, 0))</f>
        <v>#N/A</v>
      </c>
      <c r="D3" t="e">
        <f>INDEX(Sheet2!$E$83:$AL$109,
       MATCH('Crude oil'!$A3, Sheet2!$E$83:$E$109, 0),
       MATCH('Crude oil'!D$1, Sheet2!$E$83:$AL$83, 0))</f>
        <v>#N/A</v>
      </c>
      <c r="E3" t="e">
        <f>INDEX(Sheet2!$E$83:$AL$109,
       MATCH('Crude oil'!$A3, Sheet2!$E$83:$E$109, 0),
       MATCH('Crude oil'!E$1, Sheet2!$E$83:$AL$83, 0))</f>
        <v>#N/A</v>
      </c>
      <c r="F3" t="e">
        <f>INDEX(Sheet2!$E$83:$AL$109,
       MATCH('Crude oil'!$A3, Sheet2!$E$83:$E$109, 0),
       MATCH('Crude oil'!F$1, Sheet2!$E$83:$AL$83, 0))</f>
        <v>#N/A</v>
      </c>
      <c r="G3" t="e">
        <f>INDEX(Sheet2!$E$83:$AL$109,
       MATCH('Crude oil'!$A3, Sheet2!$E$83:$E$109, 0),
       MATCH('Crude oil'!G$1, Sheet2!$E$83:$AL$83, 0))</f>
        <v>#N/A</v>
      </c>
      <c r="H3" t="e">
        <f>INDEX(Sheet2!$E$83:$AL$109,
       MATCH('Crude oil'!$A3, Sheet2!$E$83:$E$109, 0),
       MATCH('Crude oil'!H$1, Sheet2!$E$83:$AL$83, 0))</f>
        <v>#N/A</v>
      </c>
    </row>
    <row r="4" spans="1:8" x14ac:dyDescent="0.3">
      <c r="A4" s="85" t="s">
        <v>192</v>
      </c>
      <c r="B4" s="85">
        <v>64.73</v>
      </c>
      <c r="C4">
        <f>INDEX(Sheet2!$E$83:$AL$109,
       MATCH('Crude oil'!$A4, Sheet2!$E$83:$E$109, 0),
       MATCH('Crude oil'!C$1, Sheet2!$E$83:$AL$83, 0))</f>
        <v>156.80000000000001</v>
      </c>
      <c r="D4">
        <f>INDEX(Sheet2!$E$83:$AL$109,
       MATCH('Crude oil'!$A4, Sheet2!$E$83:$E$109, 0),
       MATCH('Crude oil'!D$1, Sheet2!$E$83:$AL$83, 0))</f>
        <v>2039.3999999999999</v>
      </c>
      <c r="E4">
        <f>INDEX(Sheet2!$E$83:$AL$109,
       MATCH('Crude oil'!$A4, Sheet2!$E$83:$E$109, 0),
       MATCH('Crude oil'!E$1, Sheet2!$E$83:$AL$83, 0))</f>
        <v>155.5</v>
      </c>
      <c r="F4">
        <f>INDEX(Sheet2!$E$83:$AL$109,
       MATCH('Crude oil'!$A4, Sheet2!$E$83:$E$109, 0),
       MATCH('Crude oil'!F$1, Sheet2!$E$83:$AL$83, 0))</f>
        <v>146.19999999999999</v>
      </c>
      <c r="G4">
        <f>INDEX(Sheet2!$E$83:$AL$109,
       MATCH('Crude oil'!$A4, Sheet2!$E$83:$E$109, 0),
       MATCH('Crude oil'!G$1, Sheet2!$E$83:$AL$83, 0))</f>
        <v>160.19999999999999</v>
      </c>
      <c r="H4">
        <f>INDEX(Sheet2!$E$83:$AL$109,
       MATCH('Crude oil'!$A4, Sheet2!$E$83:$E$109, 0),
       MATCH('Crude oil'!H$1, Sheet2!$E$83:$AL$83, 0))</f>
        <v>1583.1999999999998</v>
      </c>
    </row>
    <row r="5" spans="1:8" x14ac:dyDescent="0.3">
      <c r="A5" s="85" t="s">
        <v>193</v>
      </c>
      <c r="B5" s="85">
        <v>63.4</v>
      </c>
      <c r="C5">
        <f>INDEX(Sheet2!$E$83:$AL$109,
       MATCH('Crude oil'!$A5, Sheet2!$E$83:$E$109, 0),
       MATCH('Crude oil'!C$1, Sheet2!$E$83:$AL$83, 0))</f>
        <v>157.80000000000001</v>
      </c>
      <c r="D5">
        <f>INDEX(Sheet2!$E$83:$AL$109,
       MATCH('Crude oil'!$A5, Sheet2!$E$83:$E$109, 0),
       MATCH('Crude oil'!D$1, Sheet2!$E$83:$AL$83, 0))</f>
        <v>2064.1</v>
      </c>
      <c r="E5">
        <f>INDEX(Sheet2!$E$83:$AL$109,
       MATCH('Crude oil'!$A5, Sheet2!$E$83:$E$109, 0),
       MATCH('Crude oil'!E$1, Sheet2!$E$83:$AL$83, 0))</f>
        <v>155.6</v>
      </c>
      <c r="F5">
        <f>INDEX(Sheet2!$E$83:$AL$109,
       MATCH('Crude oil'!$A5, Sheet2!$E$83:$E$109, 0),
       MATCH('Crude oil'!F$1, Sheet2!$E$83:$AL$83, 0))</f>
        <v>146.6</v>
      </c>
      <c r="G5">
        <f>INDEX(Sheet2!$E$83:$AL$109,
       MATCH('Crude oil'!$A5, Sheet2!$E$83:$E$109, 0),
       MATCH('Crude oil'!G$1, Sheet2!$E$83:$AL$83, 0))</f>
        <v>160.30000000000001</v>
      </c>
      <c r="H5">
        <f>INDEX(Sheet2!$E$83:$AL$109,
       MATCH('Crude oil'!$A5, Sheet2!$E$83:$E$109, 0),
       MATCH('Crude oil'!H$1, Sheet2!$E$83:$AL$83, 0))</f>
        <v>1591.9000000000003</v>
      </c>
    </row>
    <row r="6" spans="1:8" x14ac:dyDescent="0.3">
      <c r="A6" s="85" t="s">
        <v>194</v>
      </c>
      <c r="B6" s="85">
        <v>66.95</v>
      </c>
      <c r="C6">
        <f>INDEX(Sheet2!$E$83:$AL$109,
       MATCH('Crude oil'!$A6, Sheet2!$E$83:$E$109, 0),
       MATCH('Crude oil'!C$1, Sheet2!$E$83:$AL$83, 0))</f>
        <v>160.4</v>
      </c>
      <c r="D6">
        <f>INDEX(Sheet2!$E$83:$AL$109,
       MATCH('Crude oil'!$A6, Sheet2!$E$83:$E$109, 0),
       MATCH('Crude oil'!D$1, Sheet2!$E$83:$AL$83, 0))</f>
        <v>2105.7000000000003</v>
      </c>
      <c r="E6">
        <f>INDEX(Sheet2!$E$83:$AL$109,
       MATCH('Crude oil'!$A6, Sheet2!$E$83:$E$109, 0),
       MATCH('Crude oil'!E$1, Sheet2!$E$83:$AL$83, 0))</f>
        <v>159.4</v>
      </c>
      <c r="F6">
        <f>INDEX(Sheet2!$E$83:$AL$109,
       MATCH('Crude oil'!$A6, Sheet2!$E$83:$E$109, 0),
       MATCH('Crude oil'!F$1, Sheet2!$E$83:$AL$83, 0))</f>
        <v>148.9</v>
      </c>
      <c r="G6">
        <f>INDEX(Sheet2!$E$83:$AL$109,
       MATCH('Crude oil'!$A6, Sheet2!$E$83:$E$109, 0),
       MATCH('Crude oil'!G$1, Sheet2!$E$83:$AL$83, 0))</f>
        <v>161.19999999999999</v>
      </c>
      <c r="H6">
        <f>INDEX(Sheet2!$E$83:$AL$109,
       MATCH('Crude oil'!$A6, Sheet2!$E$83:$E$109, 0),
       MATCH('Crude oil'!H$1, Sheet2!$E$83:$AL$83, 0))</f>
        <v>1619.4999999999998</v>
      </c>
    </row>
    <row r="7" spans="1:8" x14ac:dyDescent="0.3">
      <c r="A7" s="85" t="s">
        <v>195</v>
      </c>
      <c r="B7" s="85">
        <v>71.98</v>
      </c>
      <c r="C7">
        <f>INDEX(Sheet2!$E$83:$AL$109,
       MATCH('Crude oil'!$A7, Sheet2!$E$83:$E$109, 0),
       MATCH('Crude oil'!C$1, Sheet2!$E$83:$AL$83, 0))</f>
        <v>161.30000000000001</v>
      </c>
      <c r="D7">
        <f>INDEX(Sheet2!$E$83:$AL$109,
       MATCH('Crude oil'!$A7, Sheet2!$E$83:$E$109, 0),
       MATCH('Crude oil'!D$1, Sheet2!$E$83:$AL$83, 0))</f>
        <v>2133.9</v>
      </c>
      <c r="E7">
        <f>INDEX(Sheet2!$E$83:$AL$109,
       MATCH('Crude oil'!$A7, Sheet2!$E$83:$E$109, 0),
       MATCH('Crude oil'!E$1, Sheet2!$E$83:$AL$83, 0))</f>
        <v>159.80000000000001</v>
      </c>
      <c r="F7">
        <f>INDEX(Sheet2!$E$83:$AL$109,
       MATCH('Crude oil'!$A7, Sheet2!$E$83:$E$109, 0),
       MATCH('Crude oil'!F$1, Sheet2!$E$83:$AL$83, 0))</f>
        <v>150.69999999999999</v>
      </c>
      <c r="G7">
        <f>INDEX(Sheet2!$E$83:$AL$109,
       MATCH('Crude oil'!$A7, Sheet2!$E$83:$E$109, 0),
       MATCH('Crude oil'!G$1, Sheet2!$E$83:$AL$83, 0))</f>
        <v>161.69999999999999</v>
      </c>
      <c r="H7">
        <f>INDEX(Sheet2!$E$83:$AL$109,
       MATCH('Crude oil'!$A7, Sheet2!$E$83:$E$109, 0),
       MATCH('Crude oil'!H$1, Sheet2!$E$83:$AL$83, 0))</f>
        <v>1618.3999999999999</v>
      </c>
    </row>
    <row r="8" spans="1:8" x14ac:dyDescent="0.3">
      <c r="A8" s="85" t="s">
        <v>196</v>
      </c>
      <c r="B8" s="85">
        <v>73.540000000000006</v>
      </c>
      <c r="C8">
        <f>INDEX(Sheet2!$E$83:$AL$109,
       MATCH('Crude oil'!$A8, Sheet2!$E$83:$E$109, 0),
       MATCH('Crude oil'!C$1, Sheet2!$E$83:$AL$83, 0))</f>
        <v>162.5</v>
      </c>
      <c r="D8">
        <f>INDEX(Sheet2!$E$83:$AL$109,
       MATCH('Crude oil'!$A8, Sheet2!$E$83:$E$109, 0),
       MATCH('Crude oil'!D$1, Sheet2!$E$83:$AL$83, 0))</f>
        <v>2147</v>
      </c>
      <c r="E8">
        <f>INDEX(Sheet2!$E$83:$AL$109,
       MATCH('Crude oil'!$A8, Sheet2!$E$83:$E$109, 0),
       MATCH('Crude oil'!E$1, Sheet2!$E$83:$AL$83, 0))</f>
        <v>160.69999999999999</v>
      </c>
      <c r="F8">
        <f>INDEX(Sheet2!$E$83:$AL$109,
       MATCH('Crude oil'!$A8, Sheet2!$E$83:$E$109, 0),
       MATCH('Crude oil'!F$1, Sheet2!$E$83:$AL$83, 0))</f>
        <v>153.1</v>
      </c>
      <c r="G8">
        <f>INDEX(Sheet2!$E$83:$AL$109,
       MATCH('Crude oil'!$A8, Sheet2!$E$83:$E$109, 0),
       MATCH('Crude oil'!G$1, Sheet2!$E$83:$AL$83, 0))</f>
        <v>163.19999999999999</v>
      </c>
      <c r="H8">
        <f>INDEX(Sheet2!$E$83:$AL$109,
       MATCH('Crude oil'!$A8, Sheet2!$E$83:$E$109, 0),
       MATCH('Crude oil'!H$1, Sheet2!$E$83:$AL$83, 0))</f>
        <v>1627.1999999999998</v>
      </c>
    </row>
    <row r="9" spans="1:8" x14ac:dyDescent="0.3">
      <c r="A9" s="85" t="s">
        <v>197</v>
      </c>
      <c r="B9" s="85">
        <v>69.8</v>
      </c>
      <c r="C9">
        <f>INDEX(Sheet2!$E$83:$AL$109,
       MATCH('Crude oil'!$A9, Sheet2!$E$83:$E$109, 0),
       MATCH('Crude oil'!C$1, Sheet2!$E$83:$AL$83, 0))</f>
        <v>163.19999999999999</v>
      </c>
      <c r="D9">
        <f>INDEX(Sheet2!$E$83:$AL$109,
       MATCH('Crude oil'!$A9, Sheet2!$E$83:$E$109, 0),
       MATCH('Crude oil'!D$1, Sheet2!$E$83:$AL$83, 0))</f>
        <v>2142</v>
      </c>
      <c r="E9">
        <f>INDEX(Sheet2!$E$83:$AL$109,
       MATCH('Crude oil'!$A9, Sheet2!$E$83:$E$109, 0),
       MATCH('Crude oil'!E$1, Sheet2!$E$83:$AL$83, 0))</f>
        <v>162.6</v>
      </c>
      <c r="F9">
        <f>INDEX(Sheet2!$E$83:$AL$109,
       MATCH('Crude oil'!$A9, Sheet2!$E$83:$E$109, 0),
       MATCH('Crude oil'!F$1, Sheet2!$E$83:$AL$83, 0))</f>
        <v>154</v>
      </c>
      <c r="G9">
        <f>INDEX(Sheet2!$E$83:$AL$109,
       MATCH('Crude oil'!$A9, Sheet2!$E$83:$E$109, 0),
       MATCH('Crude oil'!G$1, Sheet2!$E$83:$AL$83, 0))</f>
        <v>163.80000000000001</v>
      </c>
      <c r="H9">
        <f>INDEX(Sheet2!$E$83:$AL$109,
       MATCH('Crude oil'!$A9, Sheet2!$E$83:$E$109, 0),
       MATCH('Crude oil'!H$1, Sheet2!$E$83:$AL$83, 0))</f>
        <v>1640.7</v>
      </c>
    </row>
    <row r="10" spans="1:8" x14ac:dyDescent="0.3">
      <c r="A10" s="85" t="s">
        <v>198</v>
      </c>
      <c r="B10" s="85">
        <v>73.13</v>
      </c>
      <c r="C10">
        <f>INDEX(Sheet2!$E$83:$AL$109,
       MATCH('Crude oil'!$A10, Sheet2!$E$83:$E$109, 0),
       MATCH('Crude oil'!C$1, Sheet2!$E$83:$AL$83, 0))</f>
        <v>163.19999999999999</v>
      </c>
      <c r="D10">
        <f>INDEX(Sheet2!$E$83:$AL$109,
       MATCH('Crude oil'!$A10, Sheet2!$E$83:$E$109, 0),
       MATCH('Crude oil'!D$1, Sheet2!$E$83:$AL$83, 0))</f>
        <v>2142</v>
      </c>
      <c r="E10">
        <f>INDEX(Sheet2!$E$83:$AL$109,
       MATCH('Crude oil'!$A10, Sheet2!$E$83:$E$109, 0),
       MATCH('Crude oil'!E$1, Sheet2!$E$83:$AL$83, 0))</f>
        <v>162.6</v>
      </c>
      <c r="F10">
        <f>INDEX(Sheet2!$E$83:$AL$109,
       MATCH('Crude oil'!$A10, Sheet2!$E$83:$E$109, 0),
       MATCH('Crude oil'!F$1, Sheet2!$E$83:$AL$83, 0))</f>
        <v>154</v>
      </c>
      <c r="G10">
        <f>INDEX(Sheet2!$E$83:$AL$109,
       MATCH('Crude oil'!$A10, Sheet2!$E$83:$E$109, 0),
       MATCH('Crude oil'!G$1, Sheet2!$E$83:$AL$83, 0))</f>
        <v>163.69999999999999</v>
      </c>
      <c r="H10">
        <f>INDEX(Sheet2!$E$83:$AL$109,
       MATCH('Crude oil'!$A10, Sheet2!$E$83:$E$109, 0),
       MATCH('Crude oil'!H$1, Sheet2!$E$83:$AL$83, 0))</f>
        <v>1641</v>
      </c>
    </row>
    <row r="11" spans="1:8" x14ac:dyDescent="0.3">
      <c r="A11" s="85" t="s">
        <v>199</v>
      </c>
      <c r="B11" s="85">
        <v>82.11</v>
      </c>
      <c r="C11">
        <f>INDEX(Sheet2!$E$83:$AL$109,
       MATCH('Crude oil'!$A11, Sheet2!$E$83:$E$109, 0),
       MATCH('Crude oil'!C$1, Sheet2!$E$83:$AL$83, 0))</f>
        <v>165.5</v>
      </c>
      <c r="D11">
        <f>INDEX(Sheet2!$E$83:$AL$109,
       MATCH('Crude oil'!$A11, Sheet2!$E$83:$E$109, 0),
       MATCH('Crude oil'!D$1, Sheet2!$E$83:$AL$83, 0))</f>
        <v>2175.5</v>
      </c>
      <c r="E11">
        <f>INDEX(Sheet2!$E$83:$AL$109,
       MATCH('Crude oil'!$A11, Sheet2!$E$83:$E$109, 0),
       MATCH('Crude oil'!E$1, Sheet2!$E$83:$AL$83, 0))</f>
        <v>164.2</v>
      </c>
      <c r="F11">
        <f>INDEX(Sheet2!$E$83:$AL$109,
       MATCH('Crude oil'!$A11, Sheet2!$E$83:$E$109, 0),
       MATCH('Crude oil'!F$1, Sheet2!$E$83:$AL$83, 0))</f>
        <v>155.69999999999999</v>
      </c>
      <c r="G11">
        <f>INDEX(Sheet2!$E$83:$AL$109,
       MATCH('Crude oil'!$A11, Sheet2!$E$83:$E$109, 0),
       MATCH('Crude oil'!G$1, Sheet2!$E$83:$AL$83, 0))</f>
        <v>163.9</v>
      </c>
      <c r="H11">
        <f>INDEX(Sheet2!$E$83:$AL$109,
       MATCH('Crude oil'!$A11, Sheet2!$E$83:$E$109, 0),
       MATCH('Crude oil'!H$1, Sheet2!$E$83:$AL$83, 0))</f>
        <v>1650.4999999999998</v>
      </c>
    </row>
    <row r="12" spans="1:8" x14ac:dyDescent="0.3">
      <c r="A12" s="85" t="s">
        <v>200</v>
      </c>
      <c r="B12" s="85">
        <v>80.64</v>
      </c>
      <c r="C12">
        <f>INDEX(Sheet2!$E$83:$AL$109,
       MATCH('Crude oil'!$A12, Sheet2!$E$83:$E$109, 0),
       MATCH('Crude oil'!C$1, Sheet2!$E$83:$AL$83, 0))</f>
        <v>166.7</v>
      </c>
      <c r="D12">
        <f>INDEX(Sheet2!$E$83:$AL$109,
       MATCH('Crude oil'!$A12, Sheet2!$E$83:$E$109, 0),
       MATCH('Crude oil'!D$1, Sheet2!$E$83:$AL$83, 0))</f>
        <v>2194.1</v>
      </c>
      <c r="E12">
        <f>INDEX(Sheet2!$E$83:$AL$109,
       MATCH('Crude oil'!$A12, Sheet2!$E$83:$E$109, 0),
       MATCH('Crude oil'!E$1, Sheet2!$E$83:$AL$83, 0))</f>
        <v>163.9</v>
      </c>
      <c r="F12">
        <f>INDEX(Sheet2!$E$83:$AL$109,
       MATCH('Crude oil'!$A12, Sheet2!$E$83:$E$109, 0),
       MATCH('Crude oil'!F$1, Sheet2!$E$83:$AL$83, 0))</f>
        <v>154.80000000000001</v>
      </c>
      <c r="G12">
        <f>INDEX(Sheet2!$E$83:$AL$109,
       MATCH('Crude oil'!$A12, Sheet2!$E$83:$E$109, 0),
       MATCH('Crude oil'!G$1, Sheet2!$E$83:$AL$83, 0))</f>
        <v>164.3</v>
      </c>
      <c r="H12">
        <f>INDEX(Sheet2!$E$83:$AL$109,
       MATCH('Crude oil'!$A12, Sheet2!$E$83:$E$109, 0),
       MATCH('Crude oil'!H$1, Sheet2!$E$83:$AL$83, 0))</f>
        <v>1660.1000000000001</v>
      </c>
    </row>
    <row r="13" spans="1:8" x14ac:dyDescent="0.3">
      <c r="A13" s="85" t="s">
        <v>201</v>
      </c>
      <c r="B13" s="85">
        <v>73.3</v>
      </c>
      <c r="C13">
        <f>INDEX(Sheet2!$E$83:$AL$109,
       MATCH('Crude oil'!$A13, Sheet2!$E$83:$E$109, 0),
       MATCH('Crude oil'!C$1, Sheet2!$E$83:$AL$83, 0))</f>
        <v>166.2</v>
      </c>
      <c r="D13">
        <f>INDEX(Sheet2!$E$83:$AL$109,
       MATCH('Crude oil'!$A13, Sheet2!$E$83:$E$109, 0),
       MATCH('Crude oil'!D$1, Sheet2!$E$83:$AL$83, 0))</f>
        <v>2180.9</v>
      </c>
      <c r="E13">
        <f>INDEX(Sheet2!$E$83:$AL$109,
       MATCH('Crude oil'!$A13, Sheet2!$E$83:$E$109, 0),
       MATCH('Crude oil'!E$1, Sheet2!$E$83:$AL$83, 0))</f>
        <v>164.1</v>
      </c>
      <c r="F13">
        <f>INDEX(Sheet2!$E$83:$AL$109,
       MATCH('Crude oil'!$A13, Sheet2!$E$83:$E$109, 0),
       MATCH('Crude oil'!F$1, Sheet2!$E$83:$AL$83, 0))</f>
        <v>155.69999999999999</v>
      </c>
      <c r="G13">
        <f>INDEX(Sheet2!$E$83:$AL$109,
       MATCH('Crude oil'!$A13, Sheet2!$E$83:$E$109, 0),
       MATCH('Crude oil'!G$1, Sheet2!$E$83:$AL$83, 0))</f>
        <v>164.4</v>
      </c>
      <c r="H13">
        <f>INDEX(Sheet2!$E$83:$AL$109,
       MATCH('Crude oil'!$A13, Sheet2!$E$83:$E$109, 0),
       MATCH('Crude oil'!H$1, Sheet2!$E$83:$AL$83, 0))</f>
        <v>1665.9999999999995</v>
      </c>
    </row>
    <row r="14" spans="1:8" x14ac:dyDescent="0.3">
      <c r="A14" s="85" t="s">
        <v>202</v>
      </c>
      <c r="B14" s="85">
        <v>84.67</v>
      </c>
      <c r="C14">
        <f>INDEX(Sheet2!$E$83:$AL$109,
       MATCH('Crude oil'!$A14, Sheet2!$E$83:$E$109, 0),
       MATCH('Crude oil'!C$1, Sheet2!$E$83:$AL$83, 0))</f>
        <v>165.7</v>
      </c>
      <c r="D14">
        <f>INDEX(Sheet2!$E$83:$AL$109,
       MATCH('Crude oil'!$A14, Sheet2!$E$83:$E$109, 0),
       MATCH('Crude oil'!D$1, Sheet2!$E$83:$AL$83, 0))</f>
        <v>2164.1999999999998</v>
      </c>
      <c r="E14">
        <f>INDEX(Sheet2!$E$83:$AL$109,
       MATCH('Crude oil'!$A14, Sheet2!$E$83:$E$109, 0),
       MATCH('Crude oil'!E$1, Sheet2!$E$83:$AL$83, 0))</f>
        <v>164.2</v>
      </c>
      <c r="F14">
        <f>INDEX(Sheet2!$E$83:$AL$109,
       MATCH('Crude oil'!$A14, Sheet2!$E$83:$E$109, 0),
       MATCH('Crude oil'!F$1, Sheet2!$E$83:$AL$83, 0))</f>
        <v>156.5</v>
      </c>
      <c r="G14">
        <f>INDEX(Sheet2!$E$83:$AL$109,
       MATCH('Crude oil'!$A14, Sheet2!$E$83:$E$109, 0),
       MATCH('Crude oil'!G$1, Sheet2!$E$83:$AL$83, 0))</f>
        <v>164.7</v>
      </c>
      <c r="H14">
        <f>INDEX(Sheet2!$E$83:$AL$109,
       MATCH('Crude oil'!$A14, Sheet2!$E$83:$E$109, 0),
       MATCH('Crude oil'!H$1, Sheet2!$E$83:$AL$83, 0))</f>
        <v>1675.2</v>
      </c>
    </row>
    <row r="15" spans="1:8" x14ac:dyDescent="0.3">
      <c r="A15" s="85" t="s">
        <v>203</v>
      </c>
      <c r="B15" s="85">
        <v>94.07</v>
      </c>
      <c r="C15">
        <f>INDEX(Sheet2!$E$83:$AL$109,
       MATCH('Crude oil'!$A15, Sheet2!$E$83:$E$109, 0),
       MATCH('Crude oil'!C$1, Sheet2!$E$83:$AL$83, 0))</f>
        <v>166.1</v>
      </c>
      <c r="D15">
        <f>INDEX(Sheet2!$E$83:$AL$109,
       MATCH('Crude oil'!$A15, Sheet2!$E$83:$E$109, 0),
       MATCH('Crude oil'!D$1, Sheet2!$E$83:$AL$83, 0))</f>
        <v>2161.2000000000003</v>
      </c>
      <c r="E15">
        <f>INDEX(Sheet2!$E$83:$AL$109,
       MATCH('Crude oil'!$A15, Sheet2!$E$83:$E$109, 0),
       MATCH('Crude oil'!E$1, Sheet2!$E$83:$AL$83, 0))</f>
        <v>165.7</v>
      </c>
      <c r="F15">
        <f>INDEX(Sheet2!$E$83:$AL$109,
       MATCH('Crude oil'!$A15, Sheet2!$E$83:$E$109, 0),
       MATCH('Crude oil'!F$1, Sheet2!$E$83:$AL$83, 0))</f>
        <v>156.9</v>
      </c>
      <c r="G15">
        <f>INDEX(Sheet2!$E$83:$AL$109,
       MATCH('Crude oil'!$A15, Sheet2!$E$83:$E$109, 0),
       MATCH('Crude oil'!G$1, Sheet2!$E$83:$AL$83, 0))</f>
        <v>165.4</v>
      </c>
      <c r="H15">
        <f>INDEX(Sheet2!$E$83:$AL$109,
       MATCH('Crude oil'!$A15, Sheet2!$E$83:$E$109, 0),
       MATCH('Crude oil'!H$1, Sheet2!$E$83:$AL$83, 0))</f>
        <v>1685.1000000000001</v>
      </c>
    </row>
    <row r="16" spans="1:8" x14ac:dyDescent="0.3">
      <c r="A16" s="85" t="s">
        <v>204</v>
      </c>
      <c r="B16" s="85">
        <v>112.87</v>
      </c>
      <c r="C16">
        <f>INDEX(Sheet2!$E$83:$AL$109,
       MATCH('Crude oil'!$A16, Sheet2!$E$83:$E$109, 0),
       MATCH('Crude oil'!C$1, Sheet2!$E$83:$AL$83, 0))</f>
        <v>167.7</v>
      </c>
      <c r="D16">
        <f>INDEX(Sheet2!$E$83:$AL$109,
       MATCH('Crude oil'!$A16, Sheet2!$E$83:$E$109, 0),
       MATCH('Crude oil'!D$1, Sheet2!$E$83:$AL$83, 0))</f>
        <v>2184.2000000000003</v>
      </c>
      <c r="E16">
        <f>INDEX(Sheet2!$E$83:$AL$109,
       MATCH('Crude oil'!$A16, Sheet2!$E$83:$E$109, 0),
       MATCH('Crude oil'!E$1, Sheet2!$E$83:$AL$83, 0))</f>
        <v>167.2</v>
      </c>
      <c r="F16">
        <f>INDEX(Sheet2!$E$83:$AL$109,
       MATCH('Crude oil'!$A16, Sheet2!$E$83:$E$109, 0),
       MATCH('Crude oil'!F$1, Sheet2!$E$83:$AL$83, 0))</f>
        <v>157.9</v>
      </c>
      <c r="G16">
        <f>INDEX(Sheet2!$E$83:$AL$109,
       MATCH('Crude oil'!$A16, Sheet2!$E$83:$E$109, 0),
       MATCH('Crude oil'!G$1, Sheet2!$E$83:$AL$83, 0))</f>
        <v>166</v>
      </c>
      <c r="H16">
        <f>INDEX(Sheet2!$E$83:$AL$109,
       MATCH('Crude oil'!$A16, Sheet2!$E$83:$E$109, 0),
       MATCH('Crude oil'!H$1, Sheet2!$E$83:$AL$83, 0))</f>
        <v>1697.6999999999998</v>
      </c>
    </row>
    <row r="17" spans="1:8" x14ac:dyDescent="0.3">
      <c r="A17" s="85" t="s">
        <v>205</v>
      </c>
      <c r="B17" s="85">
        <v>102.97</v>
      </c>
      <c r="C17">
        <f>INDEX(Sheet2!$E$83:$AL$109,
       MATCH('Crude oil'!$A17, Sheet2!$E$83:$E$109, 0),
       MATCH('Crude oil'!C$1, Sheet2!$E$83:$AL$83, 0))</f>
        <v>170.1</v>
      </c>
      <c r="D17">
        <f>INDEX(Sheet2!$E$83:$AL$109,
       MATCH('Crude oil'!$A17, Sheet2!$E$83:$E$109, 0),
       MATCH('Crude oil'!D$1, Sheet2!$E$83:$AL$83, 0))</f>
        <v>2214.3000000000002</v>
      </c>
      <c r="E17">
        <f>INDEX(Sheet2!$E$83:$AL$109,
       MATCH('Crude oil'!$A17, Sheet2!$E$83:$E$109, 0),
       MATCH('Crude oil'!E$1, Sheet2!$E$83:$AL$83, 0))</f>
        <v>172.2</v>
      </c>
      <c r="F17">
        <f>INDEX(Sheet2!$E$83:$AL$109,
       MATCH('Crude oil'!$A17, Sheet2!$E$83:$E$109, 0),
       MATCH('Crude oil'!F$1, Sheet2!$E$83:$AL$83, 0))</f>
        <v>162.6</v>
      </c>
      <c r="G17">
        <f>INDEX(Sheet2!$E$83:$AL$109,
       MATCH('Crude oil'!$A17, Sheet2!$E$83:$E$109, 0),
       MATCH('Crude oil'!G$1, Sheet2!$E$83:$AL$83, 0))</f>
        <v>166.9</v>
      </c>
      <c r="H17">
        <f>INDEX(Sheet2!$E$83:$AL$109,
       MATCH('Crude oil'!$A17, Sheet2!$E$83:$E$109, 0),
       MATCH('Crude oil'!H$1, Sheet2!$E$83:$AL$83, 0))</f>
        <v>1712.1</v>
      </c>
    </row>
    <row r="18" spans="1:8" x14ac:dyDescent="0.3">
      <c r="A18" s="85" t="s">
        <v>206</v>
      </c>
      <c r="B18" s="85">
        <v>109.51</v>
      </c>
      <c r="C18">
        <f>INDEX(Sheet2!$E$83:$AL$109,
       MATCH('Crude oil'!$A18, Sheet2!$E$83:$E$109, 0),
       MATCH('Crude oil'!C$1, Sheet2!$E$83:$AL$83, 0))</f>
        <v>171.7</v>
      </c>
      <c r="D18">
        <f>INDEX(Sheet2!$E$83:$AL$109,
       MATCH('Crude oil'!$A18, Sheet2!$E$83:$E$109, 0),
       MATCH('Crude oil'!D$1, Sheet2!$E$83:$AL$83, 0))</f>
        <v>2238.9000000000005</v>
      </c>
      <c r="E18">
        <f>INDEX(Sheet2!$E$83:$AL$109,
       MATCH('Crude oil'!$A18, Sheet2!$E$83:$E$109, 0),
       MATCH('Crude oil'!E$1, Sheet2!$E$83:$AL$83, 0))</f>
        <v>174.6</v>
      </c>
      <c r="F18">
        <f>INDEX(Sheet2!$E$83:$AL$109,
       MATCH('Crude oil'!$A18, Sheet2!$E$83:$E$109, 0),
       MATCH('Crude oil'!F$1, Sheet2!$E$83:$AL$83, 0))</f>
        <v>163</v>
      </c>
      <c r="G18">
        <f>INDEX(Sheet2!$E$83:$AL$109,
       MATCH('Crude oil'!$A18, Sheet2!$E$83:$E$109, 0),
       MATCH('Crude oil'!G$1, Sheet2!$E$83:$AL$83, 0))</f>
        <v>167.9</v>
      </c>
      <c r="H18">
        <f>INDEX(Sheet2!$E$83:$AL$109,
       MATCH('Crude oil'!$A18, Sheet2!$E$83:$E$109, 0),
       MATCH('Crude oil'!H$1, Sheet2!$E$83:$AL$83, 0))</f>
        <v>1721.2</v>
      </c>
    </row>
    <row r="19" spans="1:8" x14ac:dyDescent="0.3">
      <c r="A19" s="85" t="s">
        <v>207</v>
      </c>
      <c r="B19" s="85">
        <v>116.01</v>
      </c>
      <c r="C19">
        <f>INDEX(Sheet2!$E$83:$AL$109,
       MATCH('Crude oil'!$A19, Sheet2!$E$83:$E$109, 0),
       MATCH('Crude oil'!C$1, Sheet2!$E$83:$AL$83, 0))</f>
        <v>172.6</v>
      </c>
      <c r="D19">
        <f>INDEX(Sheet2!$E$83:$AL$109,
       MATCH('Crude oil'!$A19, Sheet2!$E$83:$E$109, 0),
       MATCH('Crude oil'!D$1, Sheet2!$E$83:$AL$83, 0))</f>
        <v>2261.9</v>
      </c>
      <c r="E19">
        <f>INDEX(Sheet2!$E$83:$AL$109,
       MATCH('Crude oil'!$A19, Sheet2!$E$83:$E$109, 0),
       MATCH('Crude oil'!E$1, Sheet2!$E$83:$AL$83, 0))</f>
        <v>176</v>
      </c>
      <c r="F19">
        <f>INDEX(Sheet2!$E$83:$AL$109,
       MATCH('Crude oil'!$A19, Sheet2!$E$83:$E$109, 0),
       MATCH('Crude oil'!F$1, Sheet2!$E$83:$AL$83, 0))</f>
        <v>161.1</v>
      </c>
      <c r="G19">
        <f>INDEX(Sheet2!$E$83:$AL$109,
       MATCH('Crude oil'!$A19, Sheet2!$E$83:$E$109, 0),
       MATCH('Crude oil'!G$1, Sheet2!$E$83:$AL$83, 0))</f>
        <v>169</v>
      </c>
      <c r="H19">
        <f>INDEX(Sheet2!$E$83:$AL$109,
       MATCH('Crude oil'!$A19, Sheet2!$E$83:$E$109, 0),
       MATCH('Crude oil'!H$1, Sheet2!$E$83:$AL$83, 0))</f>
        <v>1728.6000000000001</v>
      </c>
    </row>
    <row r="20" spans="1:8" x14ac:dyDescent="0.3">
      <c r="A20" s="85" t="s">
        <v>208</v>
      </c>
      <c r="B20" s="85">
        <v>105.49</v>
      </c>
      <c r="C20">
        <f>INDEX(Sheet2!$E$83:$AL$109,
       MATCH('Crude oil'!$A20, Sheet2!$E$83:$E$109, 0),
       MATCH('Crude oil'!C$1, Sheet2!$E$83:$AL$83, 0))</f>
        <v>173.4</v>
      </c>
      <c r="D20">
        <f>INDEX(Sheet2!$E$83:$AL$109,
       MATCH('Crude oil'!$A20, Sheet2!$E$83:$E$109, 0),
       MATCH('Crude oil'!D$1, Sheet2!$E$83:$AL$83, 0))</f>
        <v>2266.3000000000002</v>
      </c>
      <c r="E20">
        <f>INDEX(Sheet2!$E$83:$AL$109,
       MATCH('Crude oil'!$A20, Sheet2!$E$83:$E$109, 0),
       MATCH('Crude oil'!E$1, Sheet2!$E$83:$AL$83, 0))</f>
        <v>179.6</v>
      </c>
      <c r="F20">
        <f>INDEX(Sheet2!$E$83:$AL$109,
       MATCH('Crude oil'!$A20, Sheet2!$E$83:$E$109, 0),
       MATCH('Crude oil'!F$1, Sheet2!$E$83:$AL$83, 0))</f>
        <v>161.6</v>
      </c>
      <c r="G20">
        <f>INDEX(Sheet2!$E$83:$AL$109,
       MATCH('Crude oil'!$A20, Sheet2!$E$83:$E$109, 0),
       MATCH('Crude oil'!G$1, Sheet2!$E$83:$AL$83, 0))</f>
        <v>171.4</v>
      </c>
      <c r="H20">
        <f>INDEX(Sheet2!$E$83:$AL$109,
       MATCH('Crude oil'!$A20, Sheet2!$E$83:$E$109, 0),
       MATCH('Crude oil'!H$1, Sheet2!$E$83:$AL$83, 0))</f>
        <v>1737.2</v>
      </c>
    </row>
    <row r="21" spans="1:8" x14ac:dyDescent="0.3">
      <c r="A21" s="85" t="s">
        <v>209</v>
      </c>
      <c r="B21" s="85">
        <v>97.4</v>
      </c>
      <c r="C21">
        <f>INDEX(Sheet2!$E$83:$AL$109,
       MATCH('Crude oil'!$A21, Sheet2!$E$83:$E$109, 0),
       MATCH('Crude oil'!C$1, Sheet2!$E$83:$AL$83, 0))</f>
        <v>174.3</v>
      </c>
      <c r="D21">
        <f>INDEX(Sheet2!$E$83:$AL$109,
       MATCH('Crude oil'!$A21, Sheet2!$E$83:$E$109, 0),
       MATCH('Crude oil'!D$1, Sheet2!$E$83:$AL$83, 0))</f>
        <v>2269.2000000000003</v>
      </c>
      <c r="E21">
        <f>INDEX(Sheet2!$E$83:$AL$109,
       MATCH('Crude oil'!$A21, Sheet2!$E$83:$E$109, 0),
       MATCH('Crude oil'!E$1, Sheet2!$E$83:$AL$83, 0))</f>
        <v>178.8</v>
      </c>
      <c r="F21">
        <f>INDEX(Sheet2!$E$83:$AL$109,
       MATCH('Crude oil'!$A21, Sheet2!$E$83:$E$109, 0),
       MATCH('Crude oil'!F$1, Sheet2!$E$83:$AL$83, 0))</f>
        <v>161.9</v>
      </c>
      <c r="G21">
        <f>INDEX(Sheet2!$E$83:$AL$109,
       MATCH('Crude oil'!$A21, Sheet2!$E$83:$E$109, 0),
       MATCH('Crude oil'!G$1, Sheet2!$E$83:$AL$83, 0))</f>
        <v>172.3</v>
      </c>
      <c r="H21">
        <f>INDEX(Sheet2!$E$83:$AL$109,
       MATCH('Crude oil'!$A21, Sheet2!$E$83:$E$109, 0),
       MATCH('Crude oil'!H$1, Sheet2!$E$83:$AL$83, 0))</f>
        <v>1747.2</v>
      </c>
    </row>
    <row r="22" spans="1:8" x14ac:dyDescent="0.3">
      <c r="A22" s="85" t="s">
        <v>210</v>
      </c>
      <c r="B22" s="85">
        <v>90.71</v>
      </c>
      <c r="C22">
        <f>INDEX(Sheet2!$E$83:$AL$109,
       MATCH('Crude oil'!$A22, Sheet2!$E$83:$E$109, 0),
       MATCH('Crude oil'!C$1, Sheet2!$E$83:$AL$83, 0))</f>
        <v>175.3</v>
      </c>
      <c r="D22">
        <f>INDEX(Sheet2!$E$83:$AL$109,
       MATCH('Crude oil'!$A22, Sheet2!$E$83:$E$109, 0),
       MATCH('Crude oil'!D$1, Sheet2!$E$83:$AL$83, 0))</f>
        <v>2280.9</v>
      </c>
      <c r="E22">
        <f>INDEX(Sheet2!$E$83:$AL$109,
       MATCH('Crude oil'!$A22, Sheet2!$E$83:$E$109, 0),
       MATCH('Crude oil'!E$1, Sheet2!$E$83:$AL$83, 0))</f>
        <v>179.5</v>
      </c>
      <c r="F22">
        <f>INDEX(Sheet2!$E$83:$AL$109,
       MATCH('Crude oil'!$A22, Sheet2!$E$83:$E$109, 0),
       MATCH('Crude oil'!F$1, Sheet2!$E$83:$AL$83, 0))</f>
        <v>162.30000000000001</v>
      </c>
      <c r="G22">
        <f>INDEX(Sheet2!$E$83:$AL$109,
       MATCH('Crude oil'!$A22, Sheet2!$E$83:$E$109, 0),
       MATCH('Crude oil'!G$1, Sheet2!$E$83:$AL$83, 0))</f>
        <v>173.1</v>
      </c>
      <c r="H22">
        <f>INDEX(Sheet2!$E$83:$AL$109,
       MATCH('Crude oil'!$A22, Sheet2!$E$83:$E$109, 0),
       MATCH('Crude oil'!H$1, Sheet2!$E$83:$AL$83, 0))</f>
        <v>1756</v>
      </c>
    </row>
    <row r="23" spans="1:8" x14ac:dyDescent="0.3">
      <c r="A23" s="85" t="s">
        <v>211</v>
      </c>
      <c r="B23" s="85">
        <v>91.7</v>
      </c>
      <c r="C23">
        <f>INDEX(Sheet2!$E$83:$AL$109,
       MATCH('Crude oil'!$A23, Sheet2!$E$83:$E$109, 0),
       MATCH('Crude oil'!C$1, Sheet2!$E$83:$AL$83, 0))</f>
        <v>176.7</v>
      </c>
      <c r="D23">
        <f>INDEX(Sheet2!$E$83:$AL$109,
       MATCH('Crude oil'!$A23, Sheet2!$E$83:$E$109, 0),
       MATCH('Crude oil'!D$1, Sheet2!$E$83:$AL$83, 0))</f>
        <v>2297.3000000000002</v>
      </c>
      <c r="E23">
        <f>INDEX(Sheet2!$E$83:$AL$109,
       MATCH('Crude oil'!$A23, Sheet2!$E$83:$E$109, 0),
       MATCH('Crude oil'!E$1, Sheet2!$E$83:$AL$83, 0))</f>
        <v>180.5</v>
      </c>
      <c r="F23">
        <f>INDEX(Sheet2!$E$83:$AL$109,
       MATCH('Crude oil'!$A23, Sheet2!$E$83:$E$109, 0),
       MATCH('Crude oil'!F$1, Sheet2!$E$83:$AL$83, 0))</f>
        <v>162.9</v>
      </c>
      <c r="G23">
        <f>INDEX(Sheet2!$E$83:$AL$109,
       MATCH('Crude oil'!$A23, Sheet2!$E$83:$E$109, 0),
       MATCH('Crude oil'!G$1, Sheet2!$E$83:$AL$83, 0))</f>
        <v>173.4</v>
      </c>
      <c r="H23">
        <f>INDEX(Sheet2!$E$83:$AL$109,
       MATCH('Crude oil'!$A23, Sheet2!$E$83:$E$109, 0),
       MATCH('Crude oil'!H$1, Sheet2!$E$83:$AL$83, 0))</f>
        <v>1765.6000000000001</v>
      </c>
    </row>
    <row r="24" spans="1:8" x14ac:dyDescent="0.3">
      <c r="A24" s="85" t="s">
        <v>212</v>
      </c>
      <c r="B24" s="85">
        <v>87.55</v>
      </c>
      <c r="C24">
        <f>INDEX(Sheet2!$E$83:$AL$109,
       MATCH('Crude oil'!$A24, Sheet2!$E$83:$E$109, 0),
       MATCH('Crude oil'!C$1, Sheet2!$E$83:$AL$83, 0))</f>
        <v>176.5</v>
      </c>
      <c r="D24">
        <f>INDEX(Sheet2!$E$83:$AL$109,
       MATCH('Crude oil'!$A24, Sheet2!$E$83:$E$109, 0),
       MATCH('Crude oil'!D$1, Sheet2!$E$83:$AL$83, 0))</f>
        <v>2296.8000000000002</v>
      </c>
      <c r="E24">
        <f>INDEX(Sheet2!$E$83:$AL$109,
       MATCH('Crude oil'!$A24, Sheet2!$E$83:$E$109, 0),
       MATCH('Crude oil'!E$1, Sheet2!$E$83:$AL$83, 0))</f>
        <v>181.3</v>
      </c>
      <c r="F24">
        <f>INDEX(Sheet2!$E$83:$AL$109,
       MATCH('Crude oil'!$A24, Sheet2!$E$83:$E$109, 0),
       MATCH('Crude oil'!F$1, Sheet2!$E$83:$AL$83, 0))</f>
        <v>163</v>
      </c>
      <c r="G24">
        <f>INDEX(Sheet2!$E$83:$AL$109,
       MATCH('Crude oil'!$A24, Sheet2!$E$83:$E$109, 0),
       MATCH('Crude oil'!G$1, Sheet2!$E$83:$AL$83, 0))</f>
        <v>173.7</v>
      </c>
      <c r="H24">
        <f>INDEX(Sheet2!$E$83:$AL$109,
       MATCH('Crude oil'!$A24, Sheet2!$E$83:$E$109, 0),
       MATCH('Crude oil'!H$1, Sheet2!$E$83:$AL$83, 0))</f>
        <v>1774.5</v>
      </c>
    </row>
    <row r="25" spans="1:8" x14ac:dyDescent="0.3">
      <c r="A25" s="85" t="s">
        <v>213</v>
      </c>
      <c r="B25" s="85">
        <v>78.099999999999994</v>
      </c>
      <c r="C25">
        <f>INDEX(Sheet2!$E$83:$AL$109,
       MATCH('Crude oil'!$A25, Sheet2!$E$83:$E$109, 0),
       MATCH('Crude oil'!C$1, Sheet2!$E$83:$AL$83, 0))</f>
        <v>175.7</v>
      </c>
      <c r="D25">
        <f>INDEX(Sheet2!$E$83:$AL$109,
       MATCH('Crude oil'!$A25, Sheet2!$E$83:$E$109, 0),
       MATCH('Crude oil'!D$1, Sheet2!$E$83:$AL$83, 0))</f>
        <v>2283.4</v>
      </c>
      <c r="E25">
        <f>INDEX(Sheet2!$E$83:$AL$109,
       MATCH('Crude oil'!$A25, Sheet2!$E$83:$E$109, 0),
       MATCH('Crude oil'!E$1, Sheet2!$E$83:$AL$83, 0))</f>
        <v>182</v>
      </c>
      <c r="F25">
        <f>INDEX(Sheet2!$E$83:$AL$109,
       MATCH('Crude oil'!$A25, Sheet2!$E$83:$E$109, 0),
       MATCH('Crude oil'!F$1, Sheet2!$E$83:$AL$83, 0))</f>
        <v>163.4</v>
      </c>
      <c r="G25">
        <f>INDEX(Sheet2!$E$83:$AL$109,
       MATCH('Crude oil'!$A25, Sheet2!$E$83:$E$109, 0),
       MATCH('Crude oil'!G$1, Sheet2!$E$83:$AL$83, 0))</f>
        <v>174.1</v>
      </c>
      <c r="H25">
        <f>INDEX(Sheet2!$E$83:$AL$109,
       MATCH('Crude oil'!$A25, Sheet2!$E$83:$E$109, 0),
       MATCH('Crude oil'!H$1, Sheet2!$E$83:$AL$83, 0))</f>
        <v>1781.8999999999999</v>
      </c>
    </row>
    <row r="26" spans="1:8" x14ac:dyDescent="0.3">
      <c r="A26" s="85" t="s">
        <v>214</v>
      </c>
      <c r="B26" s="85">
        <v>80.92</v>
      </c>
      <c r="C26">
        <f>INDEX(Sheet2!$E$83:$AL$109,
       MATCH('Crude oil'!$A26, Sheet2!$E$83:$E$109, 0),
       MATCH('Crude oil'!C$1, Sheet2!$E$83:$AL$83, 0))</f>
        <v>176.5</v>
      </c>
      <c r="D26">
        <f>INDEX(Sheet2!$E$83:$AL$109,
       MATCH('Crude oil'!$A26, Sheet2!$E$83:$E$109, 0),
       MATCH('Crude oil'!D$1, Sheet2!$E$83:$AL$83, 0))</f>
        <v>2292.6999999999998</v>
      </c>
      <c r="E26">
        <f>INDEX(Sheet2!$E$83:$AL$109,
       MATCH('Crude oil'!$A26, Sheet2!$E$83:$E$109, 0),
       MATCH('Crude oil'!E$1, Sheet2!$E$83:$AL$83, 0))</f>
        <v>182</v>
      </c>
      <c r="F26">
        <f>INDEX(Sheet2!$E$83:$AL$109,
       MATCH('Crude oil'!$A26, Sheet2!$E$83:$E$109, 0),
       MATCH('Crude oil'!F$1, Sheet2!$E$83:$AL$83, 0))</f>
        <v>163.6</v>
      </c>
      <c r="G26">
        <f>INDEX(Sheet2!$E$83:$AL$109,
       MATCH('Crude oil'!$A26, Sheet2!$E$83:$E$109, 0),
       MATCH('Crude oil'!G$1, Sheet2!$E$83:$AL$83, 0))</f>
        <v>174.3</v>
      </c>
      <c r="H26">
        <f>INDEX(Sheet2!$E$83:$AL$109,
       MATCH('Crude oil'!$A26, Sheet2!$E$83:$E$109, 0),
       MATCH('Crude oil'!H$1, Sheet2!$E$83:$AL$83, 0))</f>
        <v>1792.6999999999998</v>
      </c>
    </row>
    <row r="27" spans="1:8" x14ac:dyDescent="0.3">
      <c r="A27" s="85" t="s">
        <v>215</v>
      </c>
      <c r="B27" s="85">
        <v>82.28</v>
      </c>
      <c r="C27">
        <f>INDEX(Sheet2!$E$83:$AL$109,
       MATCH('Crude oil'!$A27, Sheet2!$E$83:$E$109, 0),
       MATCH('Crude oil'!C$1, Sheet2!$E$83:$AL$83, 0))</f>
        <v>177.2</v>
      </c>
      <c r="D27">
        <f>INDEX(Sheet2!$E$83:$AL$109,
       MATCH('Crude oil'!$A27, Sheet2!$E$83:$E$109, 0),
       MATCH('Crude oil'!D$1, Sheet2!$E$83:$AL$83, 0))</f>
        <v>2279.1</v>
      </c>
      <c r="E27">
        <f>INDEX(Sheet2!$E$83:$AL$109,
       MATCH('Crude oil'!$A27, Sheet2!$E$83:$E$109, 0),
       MATCH('Crude oil'!E$1, Sheet2!$E$83:$AL$83, 0))</f>
        <v>182.1</v>
      </c>
      <c r="F27">
        <f>INDEX(Sheet2!$E$83:$AL$109,
       MATCH('Crude oil'!$A27, Sheet2!$E$83:$E$109, 0),
       MATCH('Crude oil'!F$1, Sheet2!$E$83:$AL$83, 0))</f>
        <v>164.2</v>
      </c>
      <c r="G27">
        <f>INDEX(Sheet2!$E$83:$AL$109,
       MATCH('Crude oil'!$A27, Sheet2!$E$83:$E$109, 0),
       MATCH('Crude oil'!G$1, Sheet2!$E$83:$AL$83, 0))</f>
        <v>175</v>
      </c>
      <c r="H27">
        <f>INDEX(Sheet2!$E$83:$AL$109,
       MATCH('Crude oil'!$A27, Sheet2!$E$83:$E$109, 0),
       MATCH('Crude oil'!H$1, Sheet2!$E$83:$AL$83, 0))</f>
        <v>1807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42B5A-0676-4197-B103-32AA15C009CF}">
  <dimension ref="A1:G93"/>
  <sheetViews>
    <sheetView topLeftCell="C81" workbookViewId="0">
      <selection sqref="A1:B15"/>
    </sheetView>
  </sheetViews>
  <sheetFormatPr defaultRowHeight="14.4" x14ac:dyDescent="0.3"/>
  <cols>
    <col min="2" max="2" width="30.21875" customWidth="1"/>
    <col min="4" max="4" width="87.44140625" customWidth="1"/>
  </cols>
  <sheetData>
    <row r="1" spans="1:4" x14ac:dyDescent="0.3">
      <c r="A1" s="1" t="s">
        <v>3</v>
      </c>
      <c r="D1" s="2" t="s">
        <v>48</v>
      </c>
    </row>
    <row r="2" spans="1:4" x14ac:dyDescent="0.3">
      <c r="A2" s="1" t="s">
        <v>4</v>
      </c>
      <c r="D2" s="3"/>
    </row>
    <row r="3" spans="1:4" x14ac:dyDescent="0.3">
      <c r="A3" s="1" t="s">
        <v>5</v>
      </c>
      <c r="D3" s="4" t="s">
        <v>3</v>
      </c>
    </row>
    <row r="4" spans="1:4" x14ac:dyDescent="0.3">
      <c r="A4" s="1" t="s">
        <v>6</v>
      </c>
      <c r="D4" s="4" t="s">
        <v>4</v>
      </c>
    </row>
    <row r="5" spans="1:4" x14ac:dyDescent="0.3">
      <c r="A5" s="1" t="s">
        <v>7</v>
      </c>
      <c r="D5" s="4" t="s">
        <v>5</v>
      </c>
    </row>
    <row r="6" spans="1:4" x14ac:dyDescent="0.3">
      <c r="A6" s="1" t="s">
        <v>8</v>
      </c>
      <c r="D6" s="4" t="s">
        <v>6</v>
      </c>
    </row>
    <row r="7" spans="1:4" x14ac:dyDescent="0.3">
      <c r="A7" s="1" t="s">
        <v>9</v>
      </c>
      <c r="D7" s="4" t="s">
        <v>7</v>
      </c>
    </row>
    <row r="8" spans="1:4" x14ac:dyDescent="0.3">
      <c r="A8" s="1" t="s">
        <v>10</v>
      </c>
      <c r="D8" s="4" t="s">
        <v>8</v>
      </c>
    </row>
    <row r="9" spans="1:4" x14ac:dyDescent="0.3">
      <c r="A9" s="1" t="s">
        <v>11</v>
      </c>
      <c r="D9" s="4" t="s">
        <v>9</v>
      </c>
    </row>
    <row r="10" spans="1:4" x14ac:dyDescent="0.3">
      <c r="A10" s="1" t="s">
        <v>12</v>
      </c>
      <c r="D10" s="4" t="s">
        <v>10</v>
      </c>
    </row>
    <row r="11" spans="1:4" x14ac:dyDescent="0.3">
      <c r="A11" s="1" t="s">
        <v>13</v>
      </c>
      <c r="D11" s="4" t="s">
        <v>11</v>
      </c>
    </row>
    <row r="12" spans="1:4" x14ac:dyDescent="0.3">
      <c r="A12" s="1" t="s">
        <v>14</v>
      </c>
      <c r="D12" s="4" t="s">
        <v>12</v>
      </c>
    </row>
    <row r="13" spans="1:4" x14ac:dyDescent="0.3">
      <c r="A13" s="1" t="s">
        <v>15</v>
      </c>
      <c r="D13" s="4" t="s">
        <v>13</v>
      </c>
    </row>
    <row r="14" spans="1:4" x14ac:dyDescent="0.3">
      <c r="A14" s="1" t="s">
        <v>16</v>
      </c>
      <c r="D14" s="4" t="s">
        <v>14</v>
      </c>
    </row>
    <row r="15" spans="1:4" x14ac:dyDescent="0.3">
      <c r="A15" s="1" t="s">
        <v>17</v>
      </c>
      <c r="D15" s="4" t="s">
        <v>15</v>
      </c>
    </row>
    <row r="16" spans="1:4" x14ac:dyDescent="0.3">
      <c r="A16" s="1" t="s">
        <v>18</v>
      </c>
    </row>
    <row r="17" spans="1:4" x14ac:dyDescent="0.3">
      <c r="A17" s="1" t="s">
        <v>19</v>
      </c>
      <c r="D17" s="2" t="s">
        <v>49</v>
      </c>
    </row>
    <row r="18" spans="1:4" x14ac:dyDescent="0.3">
      <c r="A18" t="s">
        <v>20</v>
      </c>
      <c r="D18" s="3"/>
    </row>
    <row r="19" spans="1:4" x14ac:dyDescent="0.3">
      <c r="A19" t="s">
        <v>21</v>
      </c>
      <c r="D19" s="4" t="s">
        <v>21</v>
      </c>
    </row>
    <row r="20" spans="1:4" x14ac:dyDescent="0.3">
      <c r="A20" t="s">
        <v>22</v>
      </c>
    </row>
    <row r="21" spans="1:4" x14ac:dyDescent="0.3">
      <c r="A21" t="s">
        <v>23</v>
      </c>
      <c r="D21" s="2" t="s">
        <v>50</v>
      </c>
    </row>
    <row r="22" spans="1:4" x14ac:dyDescent="0.3">
      <c r="A22" t="s">
        <v>24</v>
      </c>
      <c r="D22" s="3"/>
    </row>
    <row r="23" spans="1:4" x14ac:dyDescent="0.3">
      <c r="A23" t="s">
        <v>25</v>
      </c>
      <c r="D23" s="4" t="s">
        <v>51</v>
      </c>
    </row>
    <row r="24" spans="1:4" x14ac:dyDescent="0.3">
      <c r="A24" t="s">
        <v>26</v>
      </c>
    </row>
    <row r="25" spans="1:4" x14ac:dyDescent="0.3">
      <c r="A25" t="s">
        <v>27</v>
      </c>
      <c r="D25" s="2" t="s">
        <v>52</v>
      </c>
    </row>
    <row r="26" spans="1:4" x14ac:dyDescent="0.3">
      <c r="A26" t="s">
        <v>28</v>
      </c>
      <c r="D26" s="3"/>
    </row>
    <row r="27" spans="1:4" x14ac:dyDescent="0.3">
      <c r="D27" s="4" t="s">
        <v>16</v>
      </c>
    </row>
    <row r="28" spans="1:4" x14ac:dyDescent="0.3">
      <c r="D28" s="4" t="s">
        <v>17</v>
      </c>
    </row>
    <row r="29" spans="1:4" x14ac:dyDescent="0.3">
      <c r="D29" s="4" t="s">
        <v>18</v>
      </c>
    </row>
    <row r="30" spans="1:4" x14ac:dyDescent="0.3">
      <c r="D30" s="4" t="s">
        <v>19</v>
      </c>
    </row>
    <row r="31" spans="1:4" x14ac:dyDescent="0.3">
      <c r="D31" s="4" t="s">
        <v>20</v>
      </c>
    </row>
    <row r="32" spans="1:4" x14ac:dyDescent="0.3">
      <c r="D32" s="4" t="s">
        <v>22</v>
      </c>
    </row>
    <row r="33" spans="4:4" x14ac:dyDescent="0.3">
      <c r="D33" s="4" t="s">
        <v>23</v>
      </c>
    </row>
    <row r="34" spans="4:4" x14ac:dyDescent="0.3">
      <c r="D34" s="4" t="s">
        <v>25</v>
      </c>
    </row>
    <row r="35" spans="4:4" x14ac:dyDescent="0.3">
      <c r="D35" s="4" t="s">
        <v>26</v>
      </c>
    </row>
    <row r="36" spans="4:4" x14ac:dyDescent="0.3">
      <c r="D36" s="4" t="s">
        <v>27</v>
      </c>
    </row>
    <row r="37" spans="4:4" x14ac:dyDescent="0.3">
      <c r="D37" s="4" t="s">
        <v>28</v>
      </c>
    </row>
    <row r="64" spans="2:4" x14ac:dyDescent="0.3">
      <c r="B64" s="18" t="s">
        <v>62</v>
      </c>
      <c r="D64" s="20" t="s">
        <v>70</v>
      </c>
    </row>
    <row r="65" spans="2:4" x14ac:dyDescent="0.3">
      <c r="B65" s="4"/>
      <c r="D65" s="3"/>
    </row>
    <row r="66" spans="2:4" ht="28.8" x14ac:dyDescent="0.3">
      <c r="B66" s="19" t="s">
        <v>63</v>
      </c>
      <c r="D66" s="18" t="s">
        <v>71</v>
      </c>
    </row>
    <row r="67" spans="2:4" ht="28.8" x14ac:dyDescent="0.3">
      <c r="B67" s="19" t="s">
        <v>64</v>
      </c>
      <c r="D67" s="4"/>
    </row>
    <row r="68" spans="2:4" ht="38.4" x14ac:dyDescent="0.3">
      <c r="B68" s="19" t="s">
        <v>65</v>
      </c>
      <c r="D68" s="19" t="s">
        <v>72</v>
      </c>
    </row>
    <row r="69" spans="2:4" ht="19.2" x14ac:dyDescent="0.3">
      <c r="B69" s="19" t="s">
        <v>66</v>
      </c>
      <c r="D69" s="18" t="s">
        <v>73</v>
      </c>
    </row>
    <row r="70" spans="2:4" x14ac:dyDescent="0.3">
      <c r="B70" s="18" t="s">
        <v>67</v>
      </c>
      <c r="D70" s="4"/>
    </row>
    <row r="71" spans="2:4" x14ac:dyDescent="0.3">
      <c r="B71" s="4"/>
      <c r="D71" s="19" t="s">
        <v>74</v>
      </c>
    </row>
    <row r="72" spans="2:4" ht="19.2" x14ac:dyDescent="0.3">
      <c r="B72" s="19" t="s">
        <v>68</v>
      </c>
      <c r="D72" s="19" t="s">
        <v>75</v>
      </c>
    </row>
    <row r="73" spans="2:4" ht="19.2" x14ac:dyDescent="0.3">
      <c r="B73" s="19" t="s">
        <v>69</v>
      </c>
      <c r="D73" s="19" t="s">
        <v>76</v>
      </c>
    </row>
    <row r="74" spans="2:4" x14ac:dyDescent="0.3">
      <c r="D74" s="19" t="s">
        <v>77</v>
      </c>
    </row>
    <row r="75" spans="2:4" x14ac:dyDescent="0.3">
      <c r="D75" s="18" t="s">
        <v>78</v>
      </c>
    </row>
    <row r="76" spans="2:4" x14ac:dyDescent="0.3">
      <c r="D76" s="4"/>
    </row>
    <row r="77" spans="2:4" x14ac:dyDescent="0.3">
      <c r="D77" s="19" t="s">
        <v>79</v>
      </c>
    </row>
    <row r="78" spans="2:4" x14ac:dyDescent="0.3">
      <c r="D78" s="18" t="s">
        <v>80</v>
      </c>
    </row>
    <row r="79" spans="2:4" x14ac:dyDescent="0.3">
      <c r="D79" s="4"/>
    </row>
    <row r="80" spans="2:4" x14ac:dyDescent="0.3">
      <c r="D80" s="19" t="s">
        <v>81</v>
      </c>
    </row>
    <row r="81" spans="4:7" x14ac:dyDescent="0.3">
      <c r="D81" s="19" t="s">
        <v>82</v>
      </c>
    </row>
    <row r="82" spans="4:7" x14ac:dyDescent="0.3">
      <c r="D82" s="18" t="s">
        <v>83</v>
      </c>
    </row>
    <row r="83" spans="4:7" x14ac:dyDescent="0.3">
      <c r="D83" s="4"/>
    </row>
    <row r="84" spans="4:7" ht="19.2" x14ac:dyDescent="0.3">
      <c r="D84" s="19" t="s">
        <v>84</v>
      </c>
    </row>
    <row r="86" spans="4:7" x14ac:dyDescent="0.3">
      <c r="D86" s="18" t="s">
        <v>85</v>
      </c>
    </row>
    <row r="87" spans="4:7" ht="19.2" x14ac:dyDescent="0.3">
      <c r="D87" s="21" t="s">
        <v>1</v>
      </c>
      <c r="E87" s="21" t="s">
        <v>86</v>
      </c>
      <c r="F87" s="21" t="s">
        <v>87</v>
      </c>
      <c r="G87" s="21" t="s">
        <v>88</v>
      </c>
    </row>
    <row r="88" spans="4:7" x14ac:dyDescent="0.3">
      <c r="D88" s="22">
        <v>2017</v>
      </c>
      <c r="E88" s="22">
        <v>100</v>
      </c>
      <c r="F88" s="22">
        <v>105</v>
      </c>
      <c r="G88" s="22">
        <v>5</v>
      </c>
    </row>
    <row r="89" spans="4:7" x14ac:dyDescent="0.3">
      <c r="D89" s="22">
        <v>2018</v>
      </c>
      <c r="E89" s="22">
        <v>105</v>
      </c>
      <c r="F89" s="22">
        <v>110</v>
      </c>
      <c r="G89" s="22">
        <v>4.76</v>
      </c>
    </row>
    <row r="90" spans="4:7" x14ac:dyDescent="0.3">
      <c r="D90" s="22">
        <v>2019</v>
      </c>
      <c r="E90" s="22">
        <v>110</v>
      </c>
      <c r="F90" s="22">
        <v>115</v>
      </c>
      <c r="G90" s="22">
        <v>4.54</v>
      </c>
    </row>
    <row r="91" spans="4:7" x14ac:dyDescent="0.3">
      <c r="D91" s="22">
        <v>2020</v>
      </c>
      <c r="E91" s="22">
        <v>115</v>
      </c>
      <c r="F91" s="22">
        <v>125</v>
      </c>
      <c r="G91" s="22">
        <v>8.6999999999999993</v>
      </c>
    </row>
    <row r="92" spans="4:7" x14ac:dyDescent="0.3">
      <c r="D92" s="22">
        <v>2021</v>
      </c>
      <c r="E92" s="22">
        <v>125</v>
      </c>
      <c r="F92" s="22">
        <v>130</v>
      </c>
      <c r="G92" s="22">
        <v>4</v>
      </c>
    </row>
    <row r="93" spans="4:7" ht="19.2" x14ac:dyDescent="0.3">
      <c r="D93" s="18" t="s">
        <v>89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44CAB-35ED-4B09-B6EE-E8DD8BAD8F3B}">
  <dimension ref="A1:AI16"/>
  <sheetViews>
    <sheetView topLeftCell="A2" workbookViewId="0">
      <selection sqref="A1:B15"/>
    </sheetView>
  </sheetViews>
  <sheetFormatPr defaultRowHeight="14.4" x14ac:dyDescent="0.3"/>
  <sheetData>
    <row r="1" spans="1:35" x14ac:dyDescent="0.3">
      <c r="A1" t="s">
        <v>0</v>
      </c>
      <c r="B1" t="s">
        <v>1</v>
      </c>
      <c r="C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t="s">
        <v>20</v>
      </c>
      <c r="V1" t="s">
        <v>21</v>
      </c>
      <c r="W1" t="s">
        <v>22</v>
      </c>
      <c r="X1" t="s">
        <v>23</v>
      </c>
      <c r="Y1" t="s">
        <v>24</v>
      </c>
      <c r="Z1" t="s">
        <v>25</v>
      </c>
      <c r="AA1" t="s">
        <v>26</v>
      </c>
      <c r="AB1" t="s">
        <v>27</v>
      </c>
      <c r="AC1" t="s">
        <v>28</v>
      </c>
      <c r="AD1" t="s">
        <v>29</v>
      </c>
      <c r="AE1" t="s">
        <v>47</v>
      </c>
      <c r="AF1" t="s">
        <v>53</v>
      </c>
      <c r="AG1" t="s">
        <v>54</v>
      </c>
      <c r="AH1" t="s">
        <v>26</v>
      </c>
      <c r="AI1" t="s">
        <v>55</v>
      </c>
    </row>
    <row r="2" spans="1:35" x14ac:dyDescent="0.3">
      <c r="A2" t="s">
        <v>30</v>
      </c>
      <c r="B2">
        <v>2023</v>
      </c>
      <c r="C2" t="s">
        <v>31</v>
      </c>
      <c r="D2">
        <v>174</v>
      </c>
      <c r="E2">
        <v>208.3</v>
      </c>
      <c r="F2">
        <v>192.9</v>
      </c>
      <c r="G2">
        <v>174.3</v>
      </c>
      <c r="H2">
        <v>192.6</v>
      </c>
      <c r="I2">
        <v>156.30000000000001</v>
      </c>
      <c r="J2">
        <v>142.9</v>
      </c>
      <c r="K2">
        <v>170.7</v>
      </c>
      <c r="L2">
        <v>120.3</v>
      </c>
      <c r="M2">
        <v>210.5</v>
      </c>
      <c r="N2">
        <v>176.9</v>
      </c>
      <c r="O2">
        <v>188.5</v>
      </c>
      <c r="P2">
        <v>175</v>
      </c>
      <c r="Q2">
        <v>196.9</v>
      </c>
      <c r="R2">
        <v>189</v>
      </c>
      <c r="S2">
        <v>186.3</v>
      </c>
      <c r="T2">
        <v>188.6</v>
      </c>
      <c r="U2">
        <v>172.1</v>
      </c>
      <c r="V2">
        <v>183.2</v>
      </c>
      <c r="W2">
        <v>177.2</v>
      </c>
      <c r="X2">
        <v>184.7</v>
      </c>
      <c r="Y2">
        <v>168.2</v>
      </c>
      <c r="Z2">
        <v>171.8</v>
      </c>
      <c r="AA2">
        <v>177.8</v>
      </c>
      <c r="AB2">
        <v>178.4</v>
      </c>
      <c r="AC2">
        <v>176.5</v>
      </c>
      <c r="AD2">
        <v>177.8</v>
      </c>
      <c r="AE2">
        <v>2283.2000000000003</v>
      </c>
      <c r="AF2">
        <v>183.2</v>
      </c>
      <c r="AG2">
        <v>168.2</v>
      </c>
      <c r="AH2">
        <v>177.8</v>
      </c>
      <c r="AI2">
        <v>1821.5000000000002</v>
      </c>
    </row>
    <row r="3" spans="1:35" x14ac:dyDescent="0.3">
      <c r="A3" t="s">
        <v>32</v>
      </c>
      <c r="B3">
        <v>2023</v>
      </c>
      <c r="C3" t="s">
        <v>31</v>
      </c>
      <c r="D3">
        <v>173.3</v>
      </c>
      <c r="E3">
        <v>215.2</v>
      </c>
      <c r="F3">
        <v>197</v>
      </c>
      <c r="G3">
        <v>175.2</v>
      </c>
      <c r="H3">
        <v>178</v>
      </c>
      <c r="I3">
        <v>160.5</v>
      </c>
      <c r="J3">
        <v>175.3</v>
      </c>
      <c r="K3">
        <v>171.2</v>
      </c>
      <c r="L3">
        <v>122.7</v>
      </c>
      <c r="M3">
        <v>204.3</v>
      </c>
      <c r="N3">
        <v>163.69999999999999</v>
      </c>
      <c r="O3">
        <v>194.3</v>
      </c>
      <c r="P3">
        <v>179.5</v>
      </c>
      <c r="Q3">
        <v>201.6</v>
      </c>
      <c r="R3">
        <v>178.7</v>
      </c>
      <c r="S3">
        <v>165.3</v>
      </c>
      <c r="T3">
        <v>176.6</v>
      </c>
      <c r="U3">
        <v>172.1</v>
      </c>
      <c r="V3">
        <v>180.1</v>
      </c>
      <c r="W3">
        <v>168</v>
      </c>
      <c r="X3">
        <v>178.5</v>
      </c>
      <c r="Y3">
        <v>159.5</v>
      </c>
      <c r="Z3">
        <v>167.8</v>
      </c>
      <c r="AA3">
        <v>171.8</v>
      </c>
      <c r="AB3">
        <v>178.8</v>
      </c>
      <c r="AC3">
        <v>168.9</v>
      </c>
      <c r="AD3">
        <v>174.9</v>
      </c>
      <c r="AE3">
        <v>2310.2000000000003</v>
      </c>
      <c r="AF3">
        <v>180.1</v>
      </c>
      <c r="AG3">
        <v>159.5</v>
      </c>
      <c r="AH3">
        <v>171.8</v>
      </c>
      <c r="AI3">
        <v>1756.3</v>
      </c>
    </row>
    <row r="4" spans="1:35" x14ac:dyDescent="0.3">
      <c r="A4" t="s">
        <v>33</v>
      </c>
      <c r="B4">
        <v>2023</v>
      </c>
      <c r="C4" t="s">
        <v>31</v>
      </c>
      <c r="D4">
        <v>173.8</v>
      </c>
      <c r="E4">
        <v>210.7</v>
      </c>
      <c r="F4">
        <v>194.5</v>
      </c>
      <c r="G4">
        <v>174.6</v>
      </c>
      <c r="H4">
        <v>187.2</v>
      </c>
      <c r="I4">
        <v>158.30000000000001</v>
      </c>
      <c r="J4">
        <v>153.9</v>
      </c>
      <c r="K4">
        <v>170.9</v>
      </c>
      <c r="L4">
        <v>121.1</v>
      </c>
      <c r="M4">
        <v>208.4</v>
      </c>
      <c r="N4">
        <v>171.4</v>
      </c>
      <c r="O4">
        <v>191.2</v>
      </c>
      <c r="P4">
        <v>176.7</v>
      </c>
      <c r="Q4">
        <v>198.2</v>
      </c>
      <c r="R4">
        <v>184.9</v>
      </c>
      <c r="S4">
        <v>177.6</v>
      </c>
      <c r="T4">
        <v>183.8</v>
      </c>
      <c r="U4">
        <v>172.1</v>
      </c>
      <c r="V4">
        <v>182</v>
      </c>
      <c r="W4">
        <v>172.9</v>
      </c>
      <c r="X4">
        <v>182.3</v>
      </c>
      <c r="Y4">
        <v>163.6</v>
      </c>
      <c r="Z4">
        <v>169.5</v>
      </c>
      <c r="AA4">
        <v>174.3</v>
      </c>
      <c r="AB4">
        <v>178.6</v>
      </c>
      <c r="AC4">
        <v>172.8</v>
      </c>
      <c r="AD4">
        <v>176.5</v>
      </c>
      <c r="AE4">
        <v>2292.6999999999998</v>
      </c>
      <c r="AF4">
        <v>182</v>
      </c>
      <c r="AG4">
        <v>163.6</v>
      </c>
      <c r="AH4">
        <v>174.3</v>
      </c>
      <c r="AI4">
        <v>1792.6999999999998</v>
      </c>
    </row>
    <row r="5" spans="1:35" x14ac:dyDescent="0.3">
      <c r="A5" t="s">
        <v>30</v>
      </c>
      <c r="B5">
        <v>2023</v>
      </c>
      <c r="C5" t="s">
        <v>34</v>
      </c>
      <c r="D5">
        <v>174.2</v>
      </c>
      <c r="E5">
        <v>205.2</v>
      </c>
      <c r="F5">
        <v>173.9</v>
      </c>
      <c r="G5">
        <v>177</v>
      </c>
      <c r="H5">
        <v>183.4</v>
      </c>
      <c r="I5">
        <v>167.2</v>
      </c>
      <c r="J5">
        <v>140.9</v>
      </c>
      <c r="K5">
        <v>170.4</v>
      </c>
      <c r="L5">
        <v>119.1</v>
      </c>
      <c r="M5">
        <v>212.1</v>
      </c>
      <c r="N5">
        <v>177.6</v>
      </c>
      <c r="O5">
        <v>189.9</v>
      </c>
      <c r="P5">
        <v>174.8</v>
      </c>
      <c r="Q5">
        <v>198.3</v>
      </c>
      <c r="R5">
        <v>190</v>
      </c>
      <c r="S5">
        <v>187</v>
      </c>
      <c r="T5">
        <v>189.6</v>
      </c>
      <c r="U5">
        <v>173.5</v>
      </c>
      <c r="V5">
        <v>181.6</v>
      </c>
      <c r="W5">
        <v>178.6</v>
      </c>
      <c r="X5">
        <v>186.6</v>
      </c>
      <c r="Y5">
        <v>169</v>
      </c>
      <c r="Z5">
        <v>172.8</v>
      </c>
      <c r="AA5">
        <v>178.5</v>
      </c>
      <c r="AB5">
        <v>180.7</v>
      </c>
      <c r="AC5">
        <v>177.9</v>
      </c>
      <c r="AD5">
        <v>178</v>
      </c>
      <c r="AE5">
        <v>2265.6999999999998</v>
      </c>
      <c r="AF5">
        <v>181.6</v>
      </c>
      <c r="AG5">
        <v>169</v>
      </c>
      <c r="AH5">
        <v>178.5</v>
      </c>
      <c r="AI5">
        <v>1835</v>
      </c>
    </row>
    <row r="6" spans="1:35" x14ac:dyDescent="0.3">
      <c r="A6" t="s">
        <v>32</v>
      </c>
      <c r="B6">
        <v>2023</v>
      </c>
      <c r="C6" t="s">
        <v>34</v>
      </c>
      <c r="D6">
        <v>174.7</v>
      </c>
      <c r="E6">
        <v>212.2</v>
      </c>
      <c r="F6">
        <v>177.2</v>
      </c>
      <c r="G6">
        <v>177.9</v>
      </c>
      <c r="H6">
        <v>172.2</v>
      </c>
      <c r="I6">
        <v>172.1</v>
      </c>
      <c r="J6">
        <v>175.8</v>
      </c>
      <c r="K6">
        <v>172.2</v>
      </c>
      <c r="L6">
        <v>121.9</v>
      </c>
      <c r="M6">
        <v>204.8</v>
      </c>
      <c r="N6">
        <v>164.9</v>
      </c>
      <c r="O6">
        <v>196.6</v>
      </c>
      <c r="P6">
        <v>180.7</v>
      </c>
      <c r="Q6">
        <v>202.7</v>
      </c>
      <c r="R6">
        <v>180.3</v>
      </c>
      <c r="S6">
        <v>167</v>
      </c>
      <c r="T6">
        <v>178.2</v>
      </c>
      <c r="U6">
        <v>173.5</v>
      </c>
      <c r="V6">
        <v>182.8</v>
      </c>
      <c r="W6">
        <v>169.2</v>
      </c>
      <c r="X6">
        <v>180.8</v>
      </c>
      <c r="Y6">
        <v>159.80000000000001</v>
      </c>
      <c r="Z6">
        <v>168.4</v>
      </c>
      <c r="AA6">
        <v>172.5</v>
      </c>
      <c r="AB6">
        <v>181.4</v>
      </c>
      <c r="AC6">
        <v>170</v>
      </c>
      <c r="AD6">
        <v>176.3</v>
      </c>
      <c r="AE6">
        <v>2303.1999999999998</v>
      </c>
      <c r="AF6">
        <v>182.8</v>
      </c>
      <c r="AG6">
        <v>159.80000000000001</v>
      </c>
      <c r="AH6">
        <v>172.5</v>
      </c>
      <c r="AI6">
        <v>1771.5000000000002</v>
      </c>
    </row>
    <row r="7" spans="1:35" x14ac:dyDescent="0.3">
      <c r="A7" t="s">
        <v>33</v>
      </c>
      <c r="B7">
        <v>2023</v>
      </c>
      <c r="C7" t="s">
        <v>34</v>
      </c>
      <c r="D7">
        <v>174.4</v>
      </c>
      <c r="E7">
        <v>207.7</v>
      </c>
      <c r="F7">
        <v>175.2</v>
      </c>
      <c r="G7">
        <v>177.3</v>
      </c>
      <c r="H7">
        <v>179.3</v>
      </c>
      <c r="I7">
        <v>169.5</v>
      </c>
      <c r="J7">
        <v>152.69999999999999</v>
      </c>
      <c r="K7">
        <v>171</v>
      </c>
      <c r="L7">
        <v>120</v>
      </c>
      <c r="M7">
        <v>209.7</v>
      </c>
      <c r="N7">
        <v>172.3</v>
      </c>
      <c r="O7">
        <v>193</v>
      </c>
      <c r="P7">
        <v>177</v>
      </c>
      <c r="Q7">
        <v>199.5</v>
      </c>
      <c r="R7">
        <v>186.2</v>
      </c>
      <c r="S7">
        <v>178.7</v>
      </c>
      <c r="T7">
        <v>185.1</v>
      </c>
      <c r="U7">
        <v>173.5</v>
      </c>
      <c r="V7">
        <v>182.1</v>
      </c>
      <c r="W7">
        <v>174.2</v>
      </c>
      <c r="X7">
        <v>184.4</v>
      </c>
      <c r="Y7">
        <v>164.2</v>
      </c>
      <c r="Z7">
        <v>170.3</v>
      </c>
      <c r="AA7">
        <v>175</v>
      </c>
      <c r="AB7">
        <v>181</v>
      </c>
      <c r="AC7">
        <v>174.1</v>
      </c>
      <c r="AD7">
        <v>177.2</v>
      </c>
      <c r="AE7">
        <v>2279.1</v>
      </c>
      <c r="AF7">
        <v>182.1</v>
      </c>
      <c r="AG7">
        <v>164.2</v>
      </c>
      <c r="AH7">
        <v>175</v>
      </c>
      <c r="AI7">
        <v>1807</v>
      </c>
    </row>
    <row r="8" spans="1:35" x14ac:dyDescent="0.3">
      <c r="A8" t="s">
        <v>30</v>
      </c>
      <c r="B8">
        <v>2023</v>
      </c>
      <c r="C8" t="s">
        <v>35</v>
      </c>
      <c r="D8">
        <v>174.3</v>
      </c>
      <c r="E8">
        <v>205.2</v>
      </c>
      <c r="F8">
        <v>173.9</v>
      </c>
      <c r="G8">
        <v>177</v>
      </c>
      <c r="H8">
        <v>183.3</v>
      </c>
      <c r="I8">
        <v>167.2</v>
      </c>
      <c r="J8">
        <v>140.9</v>
      </c>
      <c r="K8">
        <v>170.5</v>
      </c>
      <c r="L8">
        <v>119.1</v>
      </c>
      <c r="M8">
        <v>212.1</v>
      </c>
      <c r="N8">
        <v>177.6</v>
      </c>
      <c r="O8">
        <v>189.9</v>
      </c>
      <c r="P8">
        <v>174.8</v>
      </c>
      <c r="Q8">
        <v>198.4</v>
      </c>
      <c r="R8">
        <v>190</v>
      </c>
      <c r="S8">
        <v>187</v>
      </c>
      <c r="T8">
        <v>189.6</v>
      </c>
      <c r="U8">
        <v>173.5</v>
      </c>
      <c r="V8">
        <v>181.4</v>
      </c>
      <c r="W8">
        <v>178.6</v>
      </c>
      <c r="X8">
        <v>186.6</v>
      </c>
      <c r="Y8">
        <v>169</v>
      </c>
      <c r="Z8">
        <v>172.8</v>
      </c>
      <c r="AA8">
        <v>178.5</v>
      </c>
      <c r="AB8">
        <v>180.7</v>
      </c>
      <c r="AC8">
        <v>177.9</v>
      </c>
      <c r="AD8">
        <v>178</v>
      </c>
      <c r="AE8">
        <v>2265.8000000000002</v>
      </c>
      <c r="AF8">
        <v>181.4</v>
      </c>
      <c r="AG8">
        <v>169</v>
      </c>
      <c r="AH8">
        <v>178.5</v>
      </c>
      <c r="AI8">
        <v>1835.1</v>
      </c>
    </row>
    <row r="9" spans="1:35" x14ac:dyDescent="0.3">
      <c r="A9" t="s">
        <v>32</v>
      </c>
      <c r="B9">
        <v>2023</v>
      </c>
      <c r="C9" t="s">
        <v>35</v>
      </c>
      <c r="D9">
        <v>174.7</v>
      </c>
      <c r="E9">
        <v>212.2</v>
      </c>
      <c r="F9">
        <v>177.2</v>
      </c>
      <c r="G9">
        <v>177.9</v>
      </c>
      <c r="H9">
        <v>172.2</v>
      </c>
      <c r="I9">
        <v>172.1</v>
      </c>
      <c r="J9">
        <v>175.9</v>
      </c>
      <c r="K9">
        <v>172.2</v>
      </c>
      <c r="L9">
        <v>121.9</v>
      </c>
      <c r="M9">
        <v>204.8</v>
      </c>
      <c r="N9">
        <v>164.9</v>
      </c>
      <c r="O9">
        <v>196.6</v>
      </c>
      <c r="P9">
        <v>180.8</v>
      </c>
      <c r="Q9">
        <v>202.7</v>
      </c>
      <c r="R9">
        <v>180.2</v>
      </c>
      <c r="S9">
        <v>167</v>
      </c>
      <c r="T9">
        <v>178.2</v>
      </c>
      <c r="U9">
        <v>173.5</v>
      </c>
      <c r="V9">
        <v>182.6</v>
      </c>
      <c r="W9">
        <v>169.2</v>
      </c>
      <c r="X9">
        <v>180.8</v>
      </c>
      <c r="Y9">
        <v>159.80000000000001</v>
      </c>
      <c r="Z9">
        <v>168.4</v>
      </c>
      <c r="AA9">
        <v>172.5</v>
      </c>
      <c r="AB9">
        <v>181.5</v>
      </c>
      <c r="AC9">
        <v>170</v>
      </c>
      <c r="AD9">
        <v>176.3</v>
      </c>
      <c r="AE9">
        <v>2303.4</v>
      </c>
      <c r="AF9">
        <v>182.6</v>
      </c>
      <c r="AG9">
        <v>159.80000000000001</v>
      </c>
      <c r="AH9">
        <v>172.5</v>
      </c>
      <c r="AI9">
        <v>1771.5</v>
      </c>
    </row>
    <row r="10" spans="1:35" x14ac:dyDescent="0.3">
      <c r="A10" t="s">
        <v>33</v>
      </c>
      <c r="B10">
        <v>2023</v>
      </c>
      <c r="C10" t="s">
        <v>35</v>
      </c>
      <c r="D10">
        <v>174.4</v>
      </c>
      <c r="E10">
        <v>207.7</v>
      </c>
      <c r="F10">
        <v>175.2</v>
      </c>
      <c r="G10">
        <v>177.3</v>
      </c>
      <c r="H10">
        <v>179.2</v>
      </c>
      <c r="I10">
        <v>169.5</v>
      </c>
      <c r="J10">
        <v>152.80000000000001</v>
      </c>
      <c r="K10">
        <v>171.1</v>
      </c>
      <c r="L10">
        <v>120</v>
      </c>
      <c r="M10">
        <v>209.7</v>
      </c>
      <c r="N10">
        <v>172.3</v>
      </c>
      <c r="O10">
        <v>193</v>
      </c>
      <c r="P10">
        <v>177</v>
      </c>
      <c r="Q10">
        <v>199.5</v>
      </c>
      <c r="R10">
        <v>186.1</v>
      </c>
      <c r="S10">
        <v>178.7</v>
      </c>
      <c r="T10">
        <v>185.1</v>
      </c>
      <c r="U10">
        <v>173.5</v>
      </c>
      <c r="V10">
        <v>181.9</v>
      </c>
      <c r="W10">
        <v>174.2</v>
      </c>
      <c r="X10">
        <v>184.4</v>
      </c>
      <c r="Y10">
        <v>164.2</v>
      </c>
      <c r="Z10">
        <v>170.3</v>
      </c>
      <c r="AA10">
        <v>175</v>
      </c>
      <c r="AB10">
        <v>181</v>
      </c>
      <c r="AC10">
        <v>174.1</v>
      </c>
      <c r="AD10">
        <v>177.2</v>
      </c>
      <c r="AE10">
        <v>2279.1999999999998</v>
      </c>
      <c r="AF10">
        <v>181.9</v>
      </c>
      <c r="AG10">
        <v>164.2</v>
      </c>
      <c r="AH10">
        <v>175</v>
      </c>
      <c r="AI10">
        <v>1806.8999999999999</v>
      </c>
    </row>
    <row r="11" spans="1:35" x14ac:dyDescent="0.3">
      <c r="A11" t="s">
        <v>30</v>
      </c>
      <c r="B11">
        <v>2023</v>
      </c>
      <c r="C11" t="s">
        <v>36</v>
      </c>
      <c r="D11">
        <v>173.3</v>
      </c>
      <c r="E11">
        <v>206.9</v>
      </c>
      <c r="F11">
        <v>167.9</v>
      </c>
      <c r="G11">
        <v>178.2</v>
      </c>
      <c r="H11">
        <v>178.5</v>
      </c>
      <c r="I11">
        <v>173.7</v>
      </c>
      <c r="J11">
        <v>142.80000000000001</v>
      </c>
      <c r="K11">
        <v>172.8</v>
      </c>
      <c r="L11">
        <v>120.4</v>
      </c>
      <c r="M11">
        <v>215.5</v>
      </c>
      <c r="N11">
        <v>178.2</v>
      </c>
      <c r="O11">
        <v>190.5</v>
      </c>
      <c r="P11">
        <v>175.5</v>
      </c>
      <c r="Q11">
        <v>199.5</v>
      </c>
      <c r="R11">
        <v>190.7</v>
      </c>
      <c r="S11">
        <v>187.3</v>
      </c>
      <c r="T11">
        <v>190.2</v>
      </c>
      <c r="U11">
        <v>175.2</v>
      </c>
      <c r="V11">
        <v>181.5</v>
      </c>
      <c r="W11">
        <v>179.1</v>
      </c>
      <c r="X11">
        <v>187.2</v>
      </c>
      <c r="Y11">
        <v>169.4</v>
      </c>
      <c r="Z11">
        <v>173.2</v>
      </c>
      <c r="AA11">
        <v>179.4</v>
      </c>
      <c r="AB11">
        <v>183.8</v>
      </c>
      <c r="AC11">
        <v>178.9</v>
      </c>
      <c r="AD11">
        <v>178.8</v>
      </c>
      <c r="AE11">
        <v>2274.1999999999998</v>
      </c>
      <c r="AF11">
        <v>181.5</v>
      </c>
      <c r="AG11">
        <v>169.4</v>
      </c>
      <c r="AH11">
        <v>179.4</v>
      </c>
      <c r="AI11">
        <v>1845.1000000000001</v>
      </c>
    </row>
    <row r="12" spans="1:35" x14ac:dyDescent="0.3">
      <c r="A12" t="s">
        <v>32</v>
      </c>
      <c r="B12">
        <v>2023</v>
      </c>
      <c r="C12" t="s">
        <v>36</v>
      </c>
      <c r="D12">
        <v>174.8</v>
      </c>
      <c r="E12">
        <v>213.7</v>
      </c>
      <c r="F12">
        <v>172.4</v>
      </c>
      <c r="G12">
        <v>178.8</v>
      </c>
      <c r="H12">
        <v>168.7</v>
      </c>
      <c r="I12">
        <v>179.2</v>
      </c>
      <c r="J12">
        <v>179.9</v>
      </c>
      <c r="K12">
        <v>174.7</v>
      </c>
      <c r="L12">
        <v>123.1</v>
      </c>
      <c r="M12">
        <v>207.8</v>
      </c>
      <c r="N12">
        <v>165.5</v>
      </c>
      <c r="O12">
        <v>197</v>
      </c>
      <c r="P12">
        <v>182.1</v>
      </c>
      <c r="Q12">
        <v>203.5</v>
      </c>
      <c r="R12">
        <v>181</v>
      </c>
      <c r="S12">
        <v>167.7</v>
      </c>
      <c r="T12">
        <v>178.9</v>
      </c>
      <c r="U12">
        <v>175.2</v>
      </c>
      <c r="V12">
        <v>182.1</v>
      </c>
      <c r="W12">
        <v>169.6</v>
      </c>
      <c r="X12">
        <v>181.5</v>
      </c>
      <c r="Y12">
        <v>160.1</v>
      </c>
      <c r="Z12">
        <v>168.8</v>
      </c>
      <c r="AA12">
        <v>174.2</v>
      </c>
      <c r="AB12">
        <v>184.4</v>
      </c>
      <c r="AC12">
        <v>170.9</v>
      </c>
      <c r="AD12">
        <v>177.4</v>
      </c>
      <c r="AE12">
        <v>2317.7000000000003</v>
      </c>
      <c r="AF12">
        <v>182.1</v>
      </c>
      <c r="AG12">
        <v>160.1</v>
      </c>
      <c r="AH12">
        <v>174.2</v>
      </c>
      <c r="AI12">
        <v>1781.5</v>
      </c>
    </row>
    <row r="13" spans="1:35" x14ac:dyDescent="0.3">
      <c r="A13" t="s">
        <v>33</v>
      </c>
      <c r="B13">
        <v>2023</v>
      </c>
      <c r="C13" t="s">
        <v>36</v>
      </c>
      <c r="D13">
        <v>173.8</v>
      </c>
      <c r="E13">
        <v>209.3</v>
      </c>
      <c r="F13">
        <v>169.6</v>
      </c>
      <c r="G13">
        <v>178.4</v>
      </c>
      <c r="H13">
        <v>174.9</v>
      </c>
      <c r="I13">
        <v>176.3</v>
      </c>
      <c r="J13">
        <v>155.4</v>
      </c>
      <c r="K13">
        <v>173.4</v>
      </c>
      <c r="L13">
        <v>121.3</v>
      </c>
      <c r="M13">
        <v>212.9</v>
      </c>
      <c r="N13">
        <v>172.9</v>
      </c>
      <c r="O13">
        <v>193.5</v>
      </c>
      <c r="P13">
        <v>177.9</v>
      </c>
      <c r="Q13">
        <v>200.6</v>
      </c>
      <c r="R13">
        <v>186.9</v>
      </c>
      <c r="S13">
        <v>179.2</v>
      </c>
      <c r="T13">
        <v>185.7</v>
      </c>
      <c r="U13">
        <v>175.2</v>
      </c>
      <c r="V13">
        <v>181.7</v>
      </c>
      <c r="W13">
        <v>174.6</v>
      </c>
      <c r="X13">
        <v>185</v>
      </c>
      <c r="Y13">
        <v>164.5</v>
      </c>
      <c r="Z13">
        <v>170.7</v>
      </c>
      <c r="AA13">
        <v>176.4</v>
      </c>
      <c r="AB13">
        <v>184</v>
      </c>
      <c r="AC13">
        <v>175</v>
      </c>
      <c r="AD13">
        <v>178.1</v>
      </c>
      <c r="AE13">
        <v>2289.6000000000004</v>
      </c>
      <c r="AF13">
        <v>181.7</v>
      </c>
      <c r="AG13">
        <v>164.5</v>
      </c>
      <c r="AH13">
        <v>176.4</v>
      </c>
      <c r="AI13">
        <v>1816.9</v>
      </c>
    </row>
    <row r="14" spans="1:35" x14ac:dyDescent="0.3">
      <c r="A14" t="s">
        <v>30</v>
      </c>
      <c r="B14">
        <v>2023</v>
      </c>
      <c r="C14" t="s">
        <v>37</v>
      </c>
      <c r="D14">
        <v>173.2</v>
      </c>
      <c r="E14">
        <v>211.5</v>
      </c>
      <c r="F14">
        <v>171</v>
      </c>
      <c r="G14">
        <v>179.6</v>
      </c>
      <c r="H14">
        <v>173.3</v>
      </c>
      <c r="I14">
        <v>169</v>
      </c>
      <c r="J14">
        <v>148.69999999999999</v>
      </c>
      <c r="K14">
        <v>174.9</v>
      </c>
      <c r="L14">
        <v>121.9</v>
      </c>
      <c r="M14">
        <v>221</v>
      </c>
      <c r="N14">
        <v>178.7</v>
      </c>
      <c r="O14">
        <v>191.1</v>
      </c>
      <c r="P14">
        <v>176.8</v>
      </c>
      <c r="Q14">
        <v>199.9</v>
      </c>
      <c r="R14">
        <v>191.2</v>
      </c>
      <c r="S14">
        <v>187.9</v>
      </c>
      <c r="T14">
        <v>190.8</v>
      </c>
      <c r="U14">
        <v>175.6</v>
      </c>
      <c r="V14">
        <v>182.5</v>
      </c>
      <c r="W14">
        <v>179.8</v>
      </c>
      <c r="X14">
        <v>187.8</v>
      </c>
      <c r="Y14">
        <v>169.7</v>
      </c>
      <c r="Z14">
        <v>173.8</v>
      </c>
      <c r="AA14">
        <v>180.3</v>
      </c>
      <c r="AB14">
        <v>184.9</v>
      </c>
      <c r="AC14">
        <v>179.5</v>
      </c>
      <c r="AD14">
        <v>179.8</v>
      </c>
      <c r="AE14">
        <v>2290.7000000000007</v>
      </c>
      <c r="AF14">
        <v>182.5</v>
      </c>
      <c r="AG14">
        <v>169.7</v>
      </c>
      <c r="AH14">
        <v>180.3</v>
      </c>
      <c r="AI14">
        <v>1851.2</v>
      </c>
    </row>
    <row r="15" spans="1:35" x14ac:dyDescent="0.3">
      <c r="A15" t="s">
        <v>32</v>
      </c>
      <c r="B15">
        <v>2023</v>
      </c>
      <c r="C15" t="s">
        <v>37</v>
      </c>
      <c r="D15">
        <v>174.7</v>
      </c>
      <c r="E15">
        <v>219.4</v>
      </c>
      <c r="F15">
        <v>176.7</v>
      </c>
      <c r="G15">
        <v>179.4</v>
      </c>
      <c r="H15">
        <v>164.4</v>
      </c>
      <c r="I15">
        <v>175.8</v>
      </c>
      <c r="J15">
        <v>185</v>
      </c>
      <c r="K15">
        <v>176.9</v>
      </c>
      <c r="L15">
        <v>124.2</v>
      </c>
      <c r="M15">
        <v>211.9</v>
      </c>
      <c r="N15">
        <v>165.9</v>
      </c>
      <c r="O15">
        <v>197.7</v>
      </c>
      <c r="P15">
        <v>183.1</v>
      </c>
      <c r="Q15">
        <v>204.2</v>
      </c>
      <c r="R15">
        <v>181.3</v>
      </c>
      <c r="S15">
        <v>168.1</v>
      </c>
      <c r="T15">
        <v>179.3</v>
      </c>
      <c r="U15">
        <v>175.6</v>
      </c>
      <c r="V15">
        <v>183.4</v>
      </c>
      <c r="W15">
        <v>170.1</v>
      </c>
      <c r="X15">
        <v>182.2</v>
      </c>
      <c r="Y15">
        <v>160.4</v>
      </c>
      <c r="Z15">
        <v>169.2</v>
      </c>
      <c r="AA15">
        <v>174.8</v>
      </c>
      <c r="AB15">
        <v>185.6</v>
      </c>
      <c r="AC15">
        <v>171.6</v>
      </c>
      <c r="AD15">
        <v>178.2</v>
      </c>
      <c r="AE15">
        <v>2335.1</v>
      </c>
      <c r="AF15">
        <v>183.4</v>
      </c>
      <c r="AG15">
        <v>160.4</v>
      </c>
      <c r="AH15">
        <v>174.8</v>
      </c>
      <c r="AI15">
        <v>1787.2</v>
      </c>
    </row>
    <row r="16" spans="1:35" x14ac:dyDescent="0.3">
      <c r="A16" t="s">
        <v>33</v>
      </c>
      <c r="B16">
        <v>2023</v>
      </c>
      <c r="C16" t="s">
        <v>37</v>
      </c>
      <c r="D16">
        <v>173.7</v>
      </c>
      <c r="E16">
        <v>214.3</v>
      </c>
      <c r="F16">
        <v>173.2</v>
      </c>
      <c r="G16">
        <v>179.5</v>
      </c>
      <c r="H16">
        <v>170</v>
      </c>
      <c r="I16">
        <v>172.2</v>
      </c>
      <c r="J16">
        <v>161</v>
      </c>
      <c r="K16">
        <v>175.6</v>
      </c>
      <c r="L16">
        <v>122.7</v>
      </c>
      <c r="M16">
        <v>218</v>
      </c>
      <c r="N16">
        <v>173.4</v>
      </c>
      <c r="O16">
        <v>194.2</v>
      </c>
      <c r="P16">
        <v>179.1</v>
      </c>
      <c r="Q16">
        <v>201</v>
      </c>
      <c r="R16">
        <v>187.3</v>
      </c>
      <c r="S16">
        <v>179.7</v>
      </c>
      <c r="T16">
        <v>186.2</v>
      </c>
      <c r="U16">
        <v>175.6</v>
      </c>
      <c r="V16">
        <v>182.8</v>
      </c>
      <c r="W16">
        <v>175.2</v>
      </c>
      <c r="X16">
        <v>185.7</v>
      </c>
      <c r="Y16">
        <v>164.8</v>
      </c>
      <c r="Z16">
        <v>171.2</v>
      </c>
      <c r="AA16">
        <v>177.1</v>
      </c>
      <c r="AB16">
        <v>185.2</v>
      </c>
      <c r="AC16">
        <v>175.7</v>
      </c>
      <c r="AD16">
        <v>179.1</v>
      </c>
      <c r="AE16">
        <v>2306.9</v>
      </c>
      <c r="AF16">
        <v>182.8</v>
      </c>
      <c r="AG16">
        <v>164.8</v>
      </c>
      <c r="AH16">
        <v>177.1</v>
      </c>
      <c r="AI16">
        <v>1822.8000000000002</v>
      </c>
    </row>
  </sheetData>
  <phoneticPr fontId="20"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F41E1-E479-4861-904B-F5B2CE07C263}">
  <dimension ref="A1:H17"/>
  <sheetViews>
    <sheetView workbookViewId="0">
      <selection activeCell="B3" sqref="B3"/>
    </sheetView>
  </sheetViews>
  <sheetFormatPr defaultRowHeight="14.4" x14ac:dyDescent="0.3"/>
  <cols>
    <col min="1" max="1" width="13.6640625" bestFit="1" customWidth="1"/>
    <col min="2" max="2" width="9.44140625" customWidth="1"/>
    <col min="3" max="3" width="10.33203125" customWidth="1"/>
    <col min="4" max="4" width="8.33203125" customWidth="1"/>
    <col min="5" max="6" width="8" bestFit="1" customWidth="1"/>
    <col min="7" max="7" width="7.109375" customWidth="1"/>
    <col min="8" max="8" width="12.33203125" customWidth="1"/>
  </cols>
  <sheetData>
    <row r="1" spans="1:8" x14ac:dyDescent="0.3">
      <c r="A1" s="5"/>
      <c r="B1" s="108">
        <v>2023</v>
      </c>
      <c r="C1" s="109"/>
      <c r="D1" s="109"/>
      <c r="E1" s="109"/>
      <c r="F1" s="109"/>
      <c r="G1" s="109"/>
      <c r="H1" s="110"/>
    </row>
    <row r="2" spans="1:8" x14ac:dyDescent="0.3">
      <c r="A2" s="10" t="s">
        <v>57</v>
      </c>
      <c r="B2" s="11" t="s">
        <v>31</v>
      </c>
      <c r="C2" s="11" t="s">
        <v>34</v>
      </c>
      <c r="D2" s="11" t="s">
        <v>35</v>
      </c>
      <c r="E2" s="11" t="s">
        <v>36</v>
      </c>
      <c r="F2" s="11" t="s">
        <v>37</v>
      </c>
      <c r="G2" s="12" t="s">
        <v>58</v>
      </c>
      <c r="H2" s="13" t="s">
        <v>59</v>
      </c>
    </row>
    <row r="3" spans="1:8" x14ac:dyDescent="0.3">
      <c r="A3" s="8" t="s">
        <v>47</v>
      </c>
      <c r="B3" s="6">
        <f>SUMIFS(Sheet3!$AE$2:$AE$16,Sheet3!$C$2:$C$16,B$2)</f>
        <v>6886.1</v>
      </c>
      <c r="C3" s="6">
        <f>SUMIFS(Sheet3!$AE$2:$AE$16,Sheet3!$C$2:$C$16,C$2)</f>
        <v>6848</v>
      </c>
      <c r="D3" s="6">
        <f>SUMIFS(Sheet3!$AE$2:$AE$16,Sheet3!$C$2:$C$16,D$2)</f>
        <v>6848.4000000000005</v>
      </c>
      <c r="E3" s="6">
        <f>SUMIFS(Sheet3!$AE$2:$AE$16,Sheet3!$C$2:$C$16,E$2)</f>
        <v>6881.5</v>
      </c>
      <c r="F3" s="6">
        <f>SUMIFS(Sheet3!$AE$2:$AE$16,Sheet3!$C$2:$C$16,F$2)</f>
        <v>6932.7000000000007</v>
      </c>
      <c r="G3" s="7">
        <f t="shared" ref="G3:G8" si="0">SUM(B3:F3)</f>
        <v>34396.699999999997</v>
      </c>
      <c r="H3" s="9">
        <f t="shared" ref="H3:H8" si="1">(G3/$G$8)</f>
        <v>0.49609504016015021</v>
      </c>
    </row>
    <row r="4" spans="1:8" x14ac:dyDescent="0.3">
      <c r="A4" s="8" t="s">
        <v>53</v>
      </c>
      <c r="B4" s="6">
        <f>SUMIFS(Sheet3!$AF$2:$AF$16,Sheet3!$C$2:$C$16,B$2)</f>
        <v>545.29999999999995</v>
      </c>
      <c r="C4" s="6">
        <f>SUMIFS(Sheet3!$AF$2:$AF$16,Sheet3!$C$2:$C$16,C$2)</f>
        <v>546.5</v>
      </c>
      <c r="D4" s="6">
        <f>SUMIFS(Sheet3!$AF$2:$AF$16,Sheet3!$C$2:$C$16,D$2)</f>
        <v>545.9</v>
      </c>
      <c r="E4" s="6">
        <f>SUMIFS(Sheet3!$AF$2:$AF$16,Sheet3!$C$2:$C$16,E$2)</f>
        <v>545.29999999999995</v>
      </c>
      <c r="F4" s="6">
        <f>SUMIFS(Sheet3!$AF$2:$AF$16,Sheet3!$C$2:$C$16,F$2)</f>
        <v>548.70000000000005</v>
      </c>
      <c r="G4" s="7">
        <f t="shared" si="0"/>
        <v>2731.7</v>
      </c>
      <c r="H4" s="9">
        <f t="shared" si="1"/>
        <v>3.9398628973287622E-2</v>
      </c>
    </row>
    <row r="5" spans="1:8" x14ac:dyDescent="0.3">
      <c r="A5" s="8" t="s">
        <v>54</v>
      </c>
      <c r="B5" s="6">
        <f>SUMIFS(Sheet3!$AG$2:$AG$16,Sheet3!$C$2:$C$16,B$2)</f>
        <v>491.29999999999995</v>
      </c>
      <c r="C5" s="6">
        <f>SUMIFS(Sheet3!$AG$2:$AG$16,Sheet3!$C$2:$C$16,C$2)</f>
        <v>493</v>
      </c>
      <c r="D5" s="6">
        <f>SUMIFS(Sheet3!$AG$2:$AG$16,Sheet3!$C$2:$C$16,D$2)</f>
        <v>493</v>
      </c>
      <c r="E5" s="6">
        <f>SUMIFS(Sheet3!$AG$2:$AG$16,Sheet3!$C$2:$C$16,E$2)</f>
        <v>494</v>
      </c>
      <c r="F5" s="6">
        <f>SUMIFS(Sheet3!$AG$2:$AG$16,Sheet3!$C$2:$C$16,F$2)</f>
        <v>494.90000000000003</v>
      </c>
      <c r="G5" s="7">
        <f t="shared" si="0"/>
        <v>2466.1999999999998</v>
      </c>
      <c r="H5" s="9">
        <f t="shared" si="1"/>
        <v>3.5569388576315822E-2</v>
      </c>
    </row>
    <row r="6" spans="1:8" x14ac:dyDescent="0.3">
      <c r="A6" s="8" t="s">
        <v>26</v>
      </c>
      <c r="B6" s="6">
        <f>SUMIFS(Sheet3!$AH$2:$AH$16,Sheet3!$C$2:$C$16,B$2)</f>
        <v>523.90000000000009</v>
      </c>
      <c r="C6" s="6">
        <f>SUMIFS(Sheet3!$AH$2:$AH$16,Sheet3!$C$2:$C$16,C$2)</f>
        <v>526</v>
      </c>
      <c r="D6" s="6">
        <f>SUMIFS(Sheet3!$AH$2:$AH$16,Sheet3!$C$2:$C$16,D$2)</f>
        <v>526</v>
      </c>
      <c r="E6" s="6">
        <f>SUMIFS(Sheet3!$AH$2:$AH$16,Sheet3!$C$2:$C$16,E$2)</f>
        <v>530</v>
      </c>
      <c r="F6" s="6">
        <f>SUMIFS(Sheet3!$AH$2:$AH$16,Sheet3!$C$2:$C$16,F$2)</f>
        <v>532.20000000000005</v>
      </c>
      <c r="G6" s="7">
        <f t="shared" si="0"/>
        <v>2638.1000000000004</v>
      </c>
      <c r="H6" s="9">
        <f t="shared" si="1"/>
        <v>3.8048659477406051E-2</v>
      </c>
    </row>
    <row r="7" spans="1:8" x14ac:dyDescent="0.3">
      <c r="A7" s="8" t="s">
        <v>55</v>
      </c>
      <c r="B7" s="6">
        <f>SUMIFS(Sheet3!$AI$2:$AI$16,Sheet3!$C$2:$C$16,B$2)</f>
        <v>5370.5</v>
      </c>
      <c r="C7" s="6">
        <f>SUMIFS(Sheet3!$AI$2:$AI$16,Sheet3!$C$2:$C$16,C$2)</f>
        <v>5413.5</v>
      </c>
      <c r="D7" s="6">
        <f>SUMIFS(Sheet3!$AI$2:$AI$16,Sheet3!$C$2:$C$16,D$2)</f>
        <v>5413.5</v>
      </c>
      <c r="E7" s="6">
        <f>SUMIFS(Sheet3!$AI$2:$AI$16,Sheet3!$C$2:$C$16,E$2)</f>
        <v>5443.5</v>
      </c>
      <c r="F7" s="6">
        <f>SUMIFS(Sheet3!$AI$2:$AI$16,Sheet3!$C$2:$C$16,F$2)</f>
        <v>5461.2000000000007</v>
      </c>
      <c r="G7" s="7">
        <f t="shared" si="0"/>
        <v>27102.2</v>
      </c>
      <c r="H7" s="9">
        <f t="shared" si="1"/>
        <v>0.39088828281284033</v>
      </c>
    </row>
    <row r="8" spans="1:8" x14ac:dyDescent="0.3">
      <c r="A8" s="14" t="s">
        <v>58</v>
      </c>
      <c r="B8" s="15">
        <f>SUM(B3:B7)</f>
        <v>13817.1</v>
      </c>
      <c r="C8" s="15">
        <f>SUM(C3:C7)</f>
        <v>13827</v>
      </c>
      <c r="D8" s="15">
        <f>SUM(D3:D7)</f>
        <v>13826.8</v>
      </c>
      <c r="E8" s="15">
        <f>SUM(E3:E7)</f>
        <v>13894.3</v>
      </c>
      <c r="F8" s="15">
        <f>SUM(F3:F7)</f>
        <v>13969.7</v>
      </c>
      <c r="G8" s="16">
        <f t="shared" si="0"/>
        <v>69334.899999999994</v>
      </c>
      <c r="H8" s="17">
        <f t="shared" si="1"/>
        <v>1</v>
      </c>
    </row>
    <row r="11" spans="1:8" x14ac:dyDescent="0.3">
      <c r="B11" s="112" t="s">
        <v>61</v>
      </c>
      <c r="C11" s="112"/>
      <c r="D11" s="112"/>
      <c r="E11" s="112"/>
    </row>
    <row r="12" spans="1:8" x14ac:dyDescent="0.3">
      <c r="B12" s="111" t="s">
        <v>60</v>
      </c>
      <c r="C12" s="111"/>
      <c r="D12" s="111"/>
      <c r="E12" s="111"/>
    </row>
    <row r="13" spans="1:8" x14ac:dyDescent="0.3">
      <c r="B13" s="111"/>
      <c r="C13" s="111"/>
      <c r="D13" s="111"/>
      <c r="E13" s="111"/>
    </row>
    <row r="14" spans="1:8" x14ac:dyDescent="0.3">
      <c r="B14" s="111"/>
      <c r="C14" s="111"/>
      <c r="D14" s="111"/>
      <c r="E14" s="111"/>
    </row>
    <row r="15" spans="1:8" x14ac:dyDescent="0.3">
      <c r="B15" s="111"/>
      <c r="C15" s="111"/>
      <c r="D15" s="111"/>
      <c r="E15" s="111"/>
    </row>
    <row r="16" spans="1:8" x14ac:dyDescent="0.3">
      <c r="B16" s="111"/>
      <c r="C16" s="111"/>
      <c r="D16" s="111"/>
      <c r="E16" s="111"/>
    </row>
    <row r="17" spans="2:5" x14ac:dyDescent="0.3">
      <c r="B17" s="111"/>
      <c r="C17" s="111"/>
      <c r="D17" s="111"/>
      <c r="E17" s="111"/>
    </row>
  </sheetData>
  <mergeCells count="3">
    <mergeCell ref="B1:H1"/>
    <mergeCell ref="B12:E17"/>
    <mergeCell ref="B11:E11"/>
  </mergeCells>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49176-BAF9-4B73-B09F-8FA96CD806D4}">
  <dimension ref="C2:X20"/>
  <sheetViews>
    <sheetView topLeftCell="G21" workbookViewId="0">
      <selection activeCell="AA35" sqref="AA35"/>
    </sheetView>
  </sheetViews>
  <sheetFormatPr defaultRowHeight="14.4" x14ac:dyDescent="0.3"/>
  <sheetData>
    <row r="2" spans="3:24" x14ac:dyDescent="0.3">
      <c r="E2" t="s">
        <v>31</v>
      </c>
      <c r="F2" t="s">
        <v>45</v>
      </c>
      <c r="I2" t="s">
        <v>47</v>
      </c>
      <c r="K2" t="s">
        <v>31</v>
      </c>
      <c r="L2" t="s">
        <v>45</v>
      </c>
      <c r="O2" t="s">
        <v>90</v>
      </c>
      <c r="Q2" t="s">
        <v>31</v>
      </c>
      <c r="R2" t="s">
        <v>45</v>
      </c>
    </row>
    <row r="3" spans="3:24" ht="19.2" x14ac:dyDescent="0.3">
      <c r="D3" s="23" t="s">
        <v>1</v>
      </c>
      <c r="E3" s="23" t="s">
        <v>86</v>
      </c>
      <c r="F3" s="23" t="s">
        <v>87</v>
      </c>
      <c r="G3" s="23" t="s">
        <v>88</v>
      </c>
      <c r="I3" s="23" t="s">
        <v>57</v>
      </c>
      <c r="J3" s="23" t="s">
        <v>1</v>
      </c>
      <c r="K3" s="23" t="s">
        <v>86</v>
      </c>
      <c r="L3" s="23" t="s">
        <v>87</v>
      </c>
      <c r="M3" s="23" t="s">
        <v>88</v>
      </c>
      <c r="O3" s="23" t="s">
        <v>57</v>
      </c>
      <c r="P3" s="23" t="s">
        <v>1</v>
      </c>
      <c r="Q3" s="23" t="s">
        <v>86</v>
      </c>
      <c r="R3" s="23" t="s">
        <v>87</v>
      </c>
      <c r="S3" s="23" t="s">
        <v>88</v>
      </c>
    </row>
    <row r="4" spans="3:24" x14ac:dyDescent="0.3">
      <c r="D4" s="24">
        <v>2017</v>
      </c>
      <c r="E4" s="24">
        <f>AVERAGEIFS('Main Data'!$AG:$AG, 'Main Data'!$C:$C, 'Problem Statement 2'!$D4, 'Main Data'!$D:$D, 'Problem Statement 2'!E$2,'Main Data'!$A:$A,"Rural+Urban")</f>
        <v>130.30000000000001</v>
      </c>
      <c r="F4" s="24">
        <f>AVERAGEIFS('Main Data'!$AG:$AG, 'Main Data'!$C:$C, 'Problem Statement 2'!$D4, 'Main Data'!$D:$D, 'Problem Statement 2'!F$2,'Main Data'!$A:$A,"Rural+Urban")</f>
        <v>137.19999999999999</v>
      </c>
      <c r="G4" s="25">
        <f>(F4-E4)/E4</f>
        <v>5.295471987720627E-2</v>
      </c>
      <c r="I4" s="24" t="s">
        <v>47</v>
      </c>
      <c r="J4" s="24">
        <v>2017</v>
      </c>
      <c r="K4" s="24">
        <f>AVERAGEIFS('Main Data'!$AH:$AH, 'Main Data'!$C:$C, 'Problem Statement 2'!$J4, 'Main Data'!$D:$D, 'Problem Statement 2'!K$2)</f>
        <v>1725.9333333333332</v>
      </c>
      <c r="L4" s="24">
        <f>AVERAGEIFS('Main Data'!$AH:$AH, 'Main Data'!$C:$C, 'Problem Statement 2'!$J4, 'Main Data'!$D:$D, 'Problem Statement 2'!L$2)</f>
        <v>1792.0333333333335</v>
      </c>
      <c r="M4" s="25">
        <f>(L4-K4)/K4</f>
        <v>3.8298118892193811E-2</v>
      </c>
      <c r="O4" s="24" t="s">
        <v>90</v>
      </c>
      <c r="P4" s="24">
        <v>2017</v>
      </c>
      <c r="Q4" s="24">
        <f>AVERAGEIFS('Main Data'!$AI:$AI, 'Main Data'!$C:$C, 'Problem Statement 2'!$P4, 'Main Data'!$D:$D, 'Problem Statement 2'!Q$2)</f>
        <v>125.63333333333333</v>
      </c>
      <c r="R4" s="24">
        <f>AVERAGEIFS('Main Data'!$AI:$AI, 'Main Data'!$C:$C, 'Problem Statement 2'!$P4, 'Main Data'!$D:$D, 'Problem Statement 2'!R$2)</f>
        <v>135.33333333333334</v>
      </c>
      <c r="S4" s="25">
        <f>(R4-Q4)/Q4</f>
        <v>7.7208808702573767E-2</v>
      </c>
    </row>
    <row r="5" spans="3:24" x14ac:dyDescent="0.3">
      <c r="D5" s="24">
        <v>2018</v>
      </c>
      <c r="E5" s="24">
        <f>AVERAGEIFS('Main Data'!$AG:$AG, 'Main Data'!$C:$C, 'Problem Statement 2'!$D5, 'Main Data'!$D:$D, 'Problem Statement 2'!E$2,'Main Data'!$A:$A,"Rural+Urban")</f>
        <v>136.9</v>
      </c>
      <c r="F5" s="24">
        <f>AVERAGEIFS('Main Data'!$AG:$AG, 'Main Data'!$C:$C, 'Problem Statement 2'!$D5, 'Main Data'!$D:$D, 'Problem Statement 2'!F$2,'Main Data'!$A:$A,"Rural+Urban")</f>
        <v>140.1</v>
      </c>
      <c r="G5" s="25">
        <f t="shared" ref="G5:G10" si="0">(F5-E5)/E5</f>
        <v>2.3374726077428697E-2</v>
      </c>
      <c r="I5" s="24" t="s">
        <v>47</v>
      </c>
      <c r="J5" s="24">
        <v>2018</v>
      </c>
      <c r="K5" s="24">
        <f>AVERAGEIFS('Main Data'!$AH:$AH, 'Main Data'!$C:$C, 'Problem Statement 2'!$J5, 'Main Data'!$D:$D, 'Problem Statement 2'!K$2)</f>
        <v>1776.3</v>
      </c>
      <c r="L5" s="24">
        <f>AVERAGEIFS('Main Data'!$AH:$AH, 'Main Data'!$C:$C, 'Problem Statement 2'!$J5, 'Main Data'!$D:$D, 'Problem Statement 2'!L$2)</f>
        <v>1760.8333333333333</v>
      </c>
      <c r="M5" s="25">
        <f t="shared" ref="M5:M10" si="1">(L5-K5)/K5</f>
        <v>-8.7072378914973252E-3</v>
      </c>
      <c r="O5" s="24" t="s">
        <v>90</v>
      </c>
      <c r="P5" s="24">
        <v>2018</v>
      </c>
      <c r="Q5" s="24">
        <f>AVERAGEIFS('Main Data'!$AI:$AI, 'Main Data'!$C:$C, 'Problem Statement 2'!$P5, 'Main Data'!$D:$D, 'Problem Statement 2'!Q$2)</f>
        <v>135.4</v>
      </c>
      <c r="R5" s="24">
        <f>AVERAGEIFS('Main Data'!$AI:$AI, 'Main Data'!$C:$C, 'Problem Statement 2'!$P5, 'Main Data'!$D:$D, 'Problem Statement 2'!R$2)</f>
        <v>141.36666666666665</v>
      </c>
      <c r="S5" s="25">
        <f t="shared" ref="S5:S10" si="2">(R5-Q5)/Q5</f>
        <v>4.4066962087641361E-2</v>
      </c>
    </row>
    <row r="6" spans="3:24" x14ac:dyDescent="0.3">
      <c r="D6" s="24">
        <v>2019</v>
      </c>
      <c r="E6" s="24">
        <f>AVERAGEIFS('Main Data'!$AG:$AG, 'Main Data'!$C:$C, 'Problem Statement 2'!$D6, 'Main Data'!$D:$D, 'Problem Statement 2'!E$2,'Main Data'!$A:$A,"Rural+Urban")</f>
        <v>139.6</v>
      </c>
      <c r="F6" s="24">
        <f>AVERAGEIFS('Main Data'!$AG:$AG, 'Main Data'!$C:$C, 'Problem Statement 2'!$D6, 'Main Data'!$D:$D, 'Problem Statement 2'!F$2,'Main Data'!$A:$A,"Rural+Urban")</f>
        <v>150.4</v>
      </c>
      <c r="G6" s="25">
        <f t="shared" si="0"/>
        <v>7.7363896848137617E-2</v>
      </c>
      <c r="I6" s="24" t="s">
        <v>47</v>
      </c>
      <c r="J6" s="24">
        <v>2019</v>
      </c>
      <c r="K6" s="24">
        <f>AVERAGEIFS('Main Data'!$AH:$AH, 'Main Data'!$C:$C, 'Problem Statement 2'!$J6, 'Main Data'!$D:$D, 'Problem Statement 2'!K$2)</f>
        <v>1752.4333333333334</v>
      </c>
      <c r="L6" s="24">
        <f>AVERAGEIFS('Main Data'!$AH:$AH, 'Main Data'!$C:$C, 'Problem Statement 2'!$J6, 'Main Data'!$D:$D, 'Problem Statement 2'!L$2)</f>
        <v>1947.9333333333334</v>
      </c>
      <c r="M6" s="25">
        <f t="shared" si="1"/>
        <v>0.1115591653510357</v>
      </c>
      <c r="O6" s="24" t="s">
        <v>90</v>
      </c>
      <c r="P6" s="24">
        <v>2019</v>
      </c>
      <c r="Q6" s="24">
        <f>AVERAGEIFS('Main Data'!$AI:$AI, 'Main Data'!$C:$C, 'Problem Statement 2'!$P6, 'Main Data'!$D:$D, 'Problem Statement 2'!Q$2)</f>
        <v>138.1</v>
      </c>
      <c r="R6" s="24">
        <f>AVERAGEIFS('Main Data'!$AI:$AI, 'Main Data'!$C:$C, 'Problem Statement 2'!$P6, 'Main Data'!$D:$D, 'Problem Statement 2'!R$2)</f>
        <v>142.4</v>
      </c>
      <c r="S6" s="25">
        <f t="shared" si="2"/>
        <v>3.1136857349746645E-2</v>
      </c>
    </row>
    <row r="7" spans="3:24" x14ac:dyDescent="0.3">
      <c r="D7" s="24">
        <v>2020</v>
      </c>
      <c r="E7" s="24">
        <f>AVERAGEIFS('Main Data'!$AG:$AG, 'Main Data'!$C:$C, 'Problem Statement 2'!$D7, 'Main Data'!$D:$D, 'Problem Statement 2'!E$2,'Main Data'!$A:$A,"Rural+Urban")</f>
        <v>150.19999999999999</v>
      </c>
      <c r="F7" s="24">
        <f>AVERAGEIFS('Main Data'!$AG:$AG, 'Main Data'!$C:$C, 'Problem Statement 2'!$D7, 'Main Data'!$D:$D, 'Problem Statement 2'!F$2,'Main Data'!$A:$A,"Rural+Urban")</f>
        <v>158.9</v>
      </c>
      <c r="G7" s="25">
        <f t="shared" si="0"/>
        <v>5.7922769640479481E-2</v>
      </c>
      <c r="I7" s="24" t="s">
        <v>47</v>
      </c>
      <c r="J7" s="24">
        <v>2020</v>
      </c>
      <c r="K7" s="24">
        <f>AVERAGEIFS('Main Data'!$AH:$AH, 'Main Data'!$C:$C, 'Problem Statement 2'!$J7, 'Main Data'!$D:$D, 'Problem Statement 2'!K$2)</f>
        <v>1941.4666666666665</v>
      </c>
      <c r="L7" s="24">
        <f>AVERAGEIFS('Main Data'!$AH:$AH, 'Main Data'!$C:$C, 'Problem Statement 2'!$J7, 'Main Data'!$D:$D, 'Problem Statement 2'!L$2)</f>
        <v>2111.6666666666665</v>
      </c>
      <c r="M7" s="25">
        <f t="shared" si="1"/>
        <v>8.7665682302039721E-2</v>
      </c>
      <c r="O7" s="24" t="s">
        <v>90</v>
      </c>
      <c r="P7" s="24">
        <v>2020</v>
      </c>
      <c r="Q7" s="24">
        <f>AVERAGEIFS('Main Data'!$AI:$AI, 'Main Data'!$C:$C, 'Problem Statement 2'!$P7, 'Main Data'!$D:$D, 'Problem Statement 2'!Q$2)</f>
        <v>143.36666666666667</v>
      </c>
      <c r="R7" s="24">
        <f>AVERAGEIFS('Main Data'!$AI:$AI, 'Main Data'!$C:$C, 'Problem Statement 2'!$P7, 'Main Data'!$D:$D, 'Problem Statement 2'!R$2)</f>
        <v>143.73333333333335</v>
      </c>
      <c r="S7" s="25">
        <f t="shared" si="2"/>
        <v>2.5575447570333008E-3</v>
      </c>
    </row>
    <row r="8" spans="3:24" x14ac:dyDescent="0.3">
      <c r="D8" s="24">
        <v>2021</v>
      </c>
      <c r="E8" s="24">
        <f>AVERAGEIFS('Main Data'!$AG:$AG, 'Main Data'!$C:$C, 'Problem Statement 2'!$D8, 'Main Data'!$D:$D, 'Problem Statement 2'!E$2,'Main Data'!$A:$A,"Rural+Urban")</f>
        <v>157.30000000000001</v>
      </c>
      <c r="F8" s="24">
        <f>AVERAGEIFS('Main Data'!$AG:$AG, 'Main Data'!$C:$C, 'Problem Statement 2'!$D8, 'Main Data'!$D:$D, 'Problem Statement 2'!F$2,'Main Data'!$A:$A,"Rural+Urban")</f>
        <v>166.2</v>
      </c>
      <c r="G8" s="25">
        <f t="shared" si="0"/>
        <v>5.657978385251098E-2</v>
      </c>
      <c r="I8" s="24" t="s">
        <v>47</v>
      </c>
      <c r="J8" s="24">
        <v>2021</v>
      </c>
      <c r="K8" s="24">
        <f>AVERAGEIFS('Main Data'!$AH:$AH, 'Main Data'!$C:$C, 'Problem Statement 2'!$J8, 'Main Data'!$D:$D, 'Problem Statement 2'!K$2)</f>
        <v>2079.7333333333331</v>
      </c>
      <c r="L8" s="24">
        <f>AVERAGEIFS('Main Data'!$AH:$AH, 'Main Data'!$C:$C, 'Problem Statement 2'!$J8, 'Main Data'!$D:$D, 'Problem Statement 2'!L$2)</f>
        <v>2185.1333333333332</v>
      </c>
      <c r="M8" s="25">
        <f t="shared" si="1"/>
        <v>5.0679574304398047E-2</v>
      </c>
      <c r="O8" s="24" t="s">
        <v>90</v>
      </c>
      <c r="P8" s="24">
        <v>2021</v>
      </c>
      <c r="Q8" s="24">
        <f>AVERAGEIFS('Main Data'!$AI:$AI, 'Main Data'!$C:$C, 'Problem Statement 2'!$P8, 'Main Data'!$D:$D, 'Problem Statement 2'!Q$2)</f>
        <v>147.23333333333335</v>
      </c>
      <c r="R8" s="24">
        <f>AVERAGEIFS('Main Data'!$AI:$AI, 'Main Data'!$C:$C, 'Problem Statement 2'!$P8, 'Main Data'!$D:$D, 'Problem Statement 2'!R$2)</f>
        <v>163.79999999999998</v>
      </c>
      <c r="S8" s="25">
        <f t="shared" si="2"/>
        <v>0.11251980982567331</v>
      </c>
    </row>
    <row r="9" spans="3:24" x14ac:dyDescent="0.3">
      <c r="D9" s="24">
        <v>2022</v>
      </c>
      <c r="E9" s="24">
        <f>AVERAGEIFS('Main Data'!$AG:$AG, 'Main Data'!$C:$C, 'Problem Statement 2'!$D9, 'Main Data'!$D:$D, 'Problem Statement 2'!E$2,'Main Data'!$A:$A,"Rural+Urban")</f>
        <v>165.7</v>
      </c>
      <c r="F9" s="24">
        <f>AVERAGEIFS('Main Data'!$AG:$AG, 'Main Data'!$C:$C, 'Problem Statement 2'!$D9, 'Main Data'!$D:$D, 'Problem Statement 2'!F$2,'Main Data'!$A:$A,"Rural+Urban")</f>
        <v>175.7</v>
      </c>
      <c r="G9" s="25">
        <f t="shared" si="0"/>
        <v>6.0350030175015092E-2</v>
      </c>
      <c r="I9" s="24" t="s">
        <v>47</v>
      </c>
      <c r="J9" s="24">
        <v>2022</v>
      </c>
      <c r="K9" s="24">
        <f>AVERAGEIFS('Main Data'!$AH:$AH, 'Main Data'!$C:$C, 'Problem Statement 2'!$J9, 'Main Data'!$D:$D, 'Problem Statement 2'!K$2)</f>
        <v>2167.9666666666667</v>
      </c>
      <c r="L9" s="24">
        <f>AVERAGEIFS('Main Data'!$AH:$AH, 'Main Data'!$C:$C, 'Problem Statement 2'!$J9, 'Main Data'!$D:$D, 'Problem Statement 2'!L$2)</f>
        <v>2285.4333333333329</v>
      </c>
      <c r="M9" s="25">
        <f t="shared" si="1"/>
        <v>5.418287489045015E-2</v>
      </c>
      <c r="O9" s="24" t="s">
        <v>90</v>
      </c>
      <c r="P9" s="24">
        <v>2022</v>
      </c>
      <c r="Q9" s="24">
        <f>AVERAGEIFS('Main Data'!$AI:$AI, 'Main Data'!$C:$C, 'Problem Statement 2'!$P9, 'Main Data'!$D:$D, 'Problem Statement 2'!Q$2)</f>
        <v>163.86666666666665</v>
      </c>
      <c r="R9" s="24">
        <f>AVERAGEIFS('Main Data'!$AI:$AI, 'Main Data'!$C:$C, 'Problem Statement 2'!$P9, 'Main Data'!$D:$D, 'Problem Statement 2'!R$2)</f>
        <v>181.79999999999998</v>
      </c>
      <c r="S9" s="25">
        <f t="shared" si="2"/>
        <v>0.10943856794141582</v>
      </c>
      <c r="U9" s="112" t="s">
        <v>101</v>
      </c>
      <c r="V9" s="112"/>
      <c r="W9" s="112"/>
      <c r="X9" s="112"/>
    </row>
    <row r="10" spans="3:24" x14ac:dyDescent="0.3">
      <c r="D10" s="24">
        <v>2023</v>
      </c>
      <c r="E10" s="24">
        <f>AVERAGEIFS('Main Data'!$AG:$AG, 'Main Data'!$C:$C, 'Problem Statement 2'!$D10, 'Main Data'!$D:$D, 'Problem Statement 2'!E$2,'Main Data'!$A:$A,"Rural+Urban")</f>
        <v>176.5</v>
      </c>
      <c r="F10" s="24">
        <f>AVERAGEIFS('Main Data'!$AG:$AG, 'Main Data'!$C:$C, 'Problem Statement 2'!$D10, 'Main Data'!$D:$D, "May",'Main Data'!$A:$A,"Rural+Urban")</f>
        <v>179.1</v>
      </c>
      <c r="G10" s="25">
        <f t="shared" si="0"/>
        <v>1.4730878186968806E-2</v>
      </c>
      <c r="I10" s="24" t="s">
        <v>47</v>
      </c>
      <c r="J10" s="24">
        <v>2023</v>
      </c>
      <c r="K10" s="24">
        <f>AVERAGEIFS('Main Data'!$AH:$AH, 'Main Data'!$C:$C, 'Problem Statement 2'!$J10, 'Main Data'!$D:$D, 'Problem Statement 2'!K$2)</f>
        <v>2295.3666666666668</v>
      </c>
      <c r="L10" s="24">
        <f>AVERAGEIFS('Main Data'!$AH:$AH, 'Main Data'!$C:$C, 'Problem Statement 2'!$J10, 'Main Data'!$D:$D, "May")</f>
        <v>2310.9</v>
      </c>
      <c r="M10" s="25">
        <f t="shared" si="1"/>
        <v>6.7672557761287097E-3</v>
      </c>
      <c r="O10" s="24" t="s">
        <v>90</v>
      </c>
      <c r="P10" s="24">
        <v>2023</v>
      </c>
      <c r="Q10" s="24">
        <f>AVERAGEIFS('Main Data'!$AI:$AI, 'Main Data'!$C:$C, 'Problem Statement 2'!$P10, 'Main Data'!$D:$D, 'Problem Statement 2'!Q$2)</f>
        <v>181.76666666666665</v>
      </c>
      <c r="R10" s="24">
        <f>AVERAGEIFS('Main Data'!$AI:$AI, 'Main Data'!$C:$C, 'Problem Statement 2'!$P10, 'Main Data'!$D:$D,"May")</f>
        <v>182.9</v>
      </c>
      <c r="S10" s="25">
        <f t="shared" si="2"/>
        <v>6.2350999449845273E-3</v>
      </c>
      <c r="U10" s="113" t="s">
        <v>102</v>
      </c>
      <c r="V10" s="113"/>
      <c r="W10" s="113"/>
      <c r="X10" s="113"/>
    </row>
    <row r="11" spans="3:24" x14ac:dyDescent="0.3">
      <c r="U11" s="113"/>
      <c r="V11" s="113"/>
      <c r="W11" s="113"/>
      <c r="X11" s="113"/>
    </row>
    <row r="12" spans="3:24" x14ac:dyDescent="0.3">
      <c r="C12" s="26" t="s">
        <v>91</v>
      </c>
      <c r="E12" t="s">
        <v>31</v>
      </c>
      <c r="F12" t="s">
        <v>45</v>
      </c>
      <c r="I12" s="26" t="s">
        <v>26</v>
      </c>
      <c r="K12" t="s">
        <v>31</v>
      </c>
      <c r="L12" t="s">
        <v>45</v>
      </c>
      <c r="O12" s="26" t="s">
        <v>55</v>
      </c>
      <c r="Q12" t="s">
        <v>31</v>
      </c>
      <c r="R12" t="s">
        <v>45</v>
      </c>
      <c r="U12" s="113"/>
      <c r="V12" s="113"/>
      <c r="W12" s="113"/>
      <c r="X12" s="113"/>
    </row>
    <row r="13" spans="3:24" ht="19.2" x14ac:dyDescent="0.3">
      <c r="C13" s="23" t="s">
        <v>57</v>
      </c>
      <c r="D13" s="23" t="s">
        <v>1</v>
      </c>
      <c r="E13" s="23" t="s">
        <v>86</v>
      </c>
      <c r="F13" s="23" t="s">
        <v>87</v>
      </c>
      <c r="G13" s="23" t="s">
        <v>88</v>
      </c>
      <c r="I13" s="23" t="s">
        <v>57</v>
      </c>
      <c r="J13" s="23" t="s">
        <v>1</v>
      </c>
      <c r="K13" s="23" t="s">
        <v>86</v>
      </c>
      <c r="L13" s="23" t="s">
        <v>87</v>
      </c>
      <c r="M13" s="23" t="s">
        <v>88</v>
      </c>
      <c r="O13" s="23" t="s">
        <v>57</v>
      </c>
      <c r="P13" s="23" t="s">
        <v>1</v>
      </c>
      <c r="Q13" s="23" t="s">
        <v>86</v>
      </c>
      <c r="R13" s="23" t="s">
        <v>87</v>
      </c>
      <c r="S13" s="23" t="s">
        <v>88</v>
      </c>
      <c r="U13" s="113"/>
      <c r="V13" s="113"/>
      <c r="W13" s="113"/>
      <c r="X13" s="113"/>
    </row>
    <row r="14" spans="3:24" x14ac:dyDescent="0.3">
      <c r="C14" s="24" t="s">
        <v>91</v>
      </c>
      <c r="D14" s="24">
        <v>2017</v>
      </c>
      <c r="E14" s="24">
        <f>AVERAGEIFS('Main Data'!$AJ:$AJ, 'Main Data'!$C:$C, 'Problem Statement 2'!$D14, 'Main Data'!$D:$D, 'Problem Statement 2'!E$12)</f>
        <v>117.10000000000001</v>
      </c>
      <c r="F14" s="24">
        <f>AVERAGEIFS('Main Data'!$AJ:$AJ, 'Main Data'!$C:$C, 'Problem Statement 2'!$D14, 'Main Data'!$D:$D, 'Problem Statement 2'!F$12)</f>
        <v>118.60000000000001</v>
      </c>
      <c r="G14" s="25">
        <f>(F14-E14)/E14</f>
        <v>1.2809564474807855E-2</v>
      </c>
      <c r="I14" s="24" t="s">
        <v>26</v>
      </c>
      <c r="J14" s="24">
        <v>2017</v>
      </c>
      <c r="K14" s="24">
        <f>AVERAGEIFS('Main Data'!$AK:$AK, 'Main Data'!$C:$C, 'Problem Statement 2'!$J14, 'Main Data'!$D:$D, 'Problem Statement 2'!K$12)</f>
        <v>133.43333333333334</v>
      </c>
      <c r="L14" s="24">
        <f>AVERAGEIFS('Main Data'!$AK:$AK, 'Main Data'!$C:$C, 'Problem Statement 2'!$J14, 'Main Data'!$D:$D, 'Problem Statement 2'!L$12)</f>
        <v>138.76666666666665</v>
      </c>
      <c r="M14" s="25">
        <f>(L14-K14)/K14</f>
        <v>3.9970022483137503E-2</v>
      </c>
      <c r="O14" s="24" t="s">
        <v>55</v>
      </c>
      <c r="P14" s="24">
        <v>2017</v>
      </c>
      <c r="Q14" s="24">
        <f>AVERAGEIFS('Main Data'!$AL:$AL, 'Main Data'!$C:$C, 'Problem Statement 2'!$P14, 'Main Data'!$D:$D, 'Problem Statement 2'!Q$12)</f>
        <v>1300.0666666666666</v>
      </c>
      <c r="R14" s="24">
        <f>AVERAGEIFS('Main Data'!$AL:$AL, 'Main Data'!$C:$C, 'Problem Statement 2'!$P14, 'Main Data'!$D:$D, 'Problem Statement 2'!R$12)</f>
        <v>1362.5333333333333</v>
      </c>
      <c r="S14" s="25">
        <f>(R14-Q14)/Q14</f>
        <v>4.8048818009332882E-2</v>
      </c>
      <c r="U14" s="113"/>
      <c r="V14" s="113"/>
      <c r="W14" s="113"/>
      <c r="X14" s="113"/>
    </row>
    <row r="15" spans="3:24" x14ac:dyDescent="0.3">
      <c r="C15" s="24" t="s">
        <v>91</v>
      </c>
      <c r="D15" s="24">
        <v>2018</v>
      </c>
      <c r="E15" s="24">
        <f>AVERAGEIFS('Main Data'!$AJ:$AJ, 'Main Data'!$C:$C, 'Problem Statement 2'!$D15, 'Main Data'!$D:$D, 'Problem Statement 2'!E$12)</f>
        <v>119.43333333333334</v>
      </c>
      <c r="F15" s="24">
        <f>AVERAGEIFS('Main Data'!$AJ:$AJ, 'Main Data'!$C:$C, 'Problem Statement 2'!$D15, 'Main Data'!$D:$D, 'Problem Statement 2'!F$12)</f>
        <v>123.76666666666665</v>
      </c>
      <c r="G15" s="25">
        <f t="shared" ref="G15:G20" si="3">(F15-E15)/E15</f>
        <v>3.6282444878593195E-2</v>
      </c>
      <c r="I15" s="24" t="s">
        <v>26</v>
      </c>
      <c r="J15" s="24">
        <v>2018</v>
      </c>
      <c r="K15" s="24">
        <f>AVERAGEIFS('Main Data'!$AK:$AK, 'Main Data'!$C:$C, 'Problem Statement 2'!$J15, 'Main Data'!$D:$D, 'Problem Statement 2'!K$12)</f>
        <v>139.23333333333332</v>
      </c>
      <c r="L15" s="24">
        <f>AVERAGEIFS('Main Data'!$AK:$AK, 'Main Data'!$C:$C, 'Problem Statement 2'!$J15, 'Main Data'!$D:$D, 'Problem Statement 2'!L$12)</f>
        <v>150.56666666666669</v>
      </c>
      <c r="M15" s="25">
        <f t="shared" ref="M15:M20" si="4">(L15-K15)/K15</f>
        <v>8.1398132631075218E-2</v>
      </c>
      <c r="O15" s="24" t="s">
        <v>55</v>
      </c>
      <c r="P15" s="24">
        <v>2018</v>
      </c>
      <c r="Q15" s="24">
        <f>AVERAGEIFS('Main Data'!$AL:$AL, 'Main Data'!$C:$C, 'Problem Statement 2'!$P15, 'Main Data'!$D:$D, 'Problem Statement 2'!Q$12)</f>
        <v>1368.0666666666666</v>
      </c>
      <c r="R15" s="24">
        <f>AVERAGEIFS('Main Data'!$AL:$AL, 'Main Data'!$C:$C, 'Problem Statement 2'!$P15, 'Main Data'!$D:$D, 'Problem Statement 2'!R$12)</f>
        <v>1434.8999999999999</v>
      </c>
      <c r="S15" s="25">
        <f t="shared" ref="S15:S20" si="5">(R15-Q15)/Q15</f>
        <v>4.8852395107450854E-2</v>
      </c>
      <c r="U15" s="113"/>
      <c r="V15" s="113"/>
      <c r="W15" s="113"/>
      <c r="X15" s="113"/>
    </row>
    <row r="16" spans="3:24" x14ac:dyDescent="0.3">
      <c r="C16" s="24" t="s">
        <v>91</v>
      </c>
      <c r="D16" s="24">
        <v>2019</v>
      </c>
      <c r="E16" s="24">
        <f>AVERAGEIFS('Main Data'!$AJ:$AJ, 'Main Data'!$C:$C, 'Problem Statement 2'!$D16, 'Main Data'!$D:$D, 'Problem Statement 2'!E$12)</f>
        <v>123.5</v>
      </c>
      <c r="F16" s="24">
        <f>AVERAGEIFS('Main Data'!$AJ:$AJ, 'Main Data'!$C:$C, 'Problem Statement 2'!$D16, 'Main Data'!$D:$D, 'Problem Statement 2'!F$12)</f>
        <v>130</v>
      </c>
      <c r="G16" s="25">
        <f t="shared" si="3"/>
        <v>5.2631578947368418E-2</v>
      </c>
      <c r="I16" s="24" t="s">
        <v>26</v>
      </c>
      <c r="J16" s="24">
        <v>2019</v>
      </c>
      <c r="K16" s="24">
        <f>AVERAGEIFS('Main Data'!$AK:$AK, 'Main Data'!$C:$C, 'Problem Statement 2'!$J16, 'Main Data'!$D:$D, 'Problem Statement 2'!K$12)</f>
        <v>150.66666666666666</v>
      </c>
      <c r="L16" s="24">
        <f>AVERAGEIFS('Main Data'!$AK:$AK, 'Main Data'!$C:$C, 'Problem Statement 2'!$J16, 'Main Data'!$D:$D, 'Problem Statement 2'!L$12)</f>
        <v>156.23333333333332</v>
      </c>
      <c r="M16" s="25">
        <f t="shared" si="4"/>
        <v>3.6946902654867234E-2</v>
      </c>
      <c r="O16" s="24" t="s">
        <v>55</v>
      </c>
      <c r="P16" s="24">
        <v>2019</v>
      </c>
      <c r="Q16" s="24">
        <f>AVERAGEIFS('Main Data'!$AL:$AL, 'Main Data'!$C:$C, 'Problem Statement 2'!$P16, 'Main Data'!$D:$D, 'Problem Statement 2'!Q$12)</f>
        <v>1436.4000000000003</v>
      </c>
      <c r="R16" s="24">
        <f>AVERAGEIFS('Main Data'!$AL:$AL, 'Main Data'!$C:$C, 'Problem Statement 2'!$P16, 'Main Data'!$D:$D, 'Problem Statement 2'!R$12)</f>
        <v>1481.3333333333333</v>
      </c>
      <c r="S16" s="25">
        <f t="shared" si="5"/>
        <v>3.1281908474890652E-2</v>
      </c>
    </row>
    <row r="17" spans="3:19" x14ac:dyDescent="0.3">
      <c r="C17" s="24" t="s">
        <v>91</v>
      </c>
      <c r="D17" s="24">
        <v>2020</v>
      </c>
      <c r="E17" s="24">
        <f>AVERAGEIFS('Main Data'!$AJ:$AJ, 'Main Data'!$C:$C, 'Problem Statement 2'!$D17, 'Main Data'!$D:$D, 'Problem Statement 2'!E$12)</f>
        <v>131.1</v>
      </c>
      <c r="F17" s="24">
        <f>AVERAGEIFS('Main Data'!$AJ:$AJ, 'Main Data'!$C:$C, 'Problem Statement 2'!$D17, 'Main Data'!$D:$D, 'Problem Statement 2'!F$12)</f>
        <v>140.86666666666665</v>
      </c>
      <c r="G17" s="25">
        <f t="shared" si="3"/>
        <v>7.4497838799898186E-2</v>
      </c>
      <c r="I17" s="24" t="s">
        <v>26</v>
      </c>
      <c r="J17" s="24">
        <v>2020</v>
      </c>
      <c r="K17" s="24">
        <f>AVERAGEIFS('Main Data'!$AK:$AK, 'Main Data'!$C:$C, 'Problem Statement 2'!$J17, 'Main Data'!$D:$D, 'Problem Statement 2'!K$12)</f>
        <v>156.63333333333333</v>
      </c>
      <c r="L17" s="24">
        <f>AVERAGEIFS('Main Data'!$AK:$AK, 'Main Data'!$C:$C, 'Problem Statement 2'!$J17, 'Main Data'!$D:$D, 'Problem Statement 2'!L$12)</f>
        <v>159.73333333333335</v>
      </c>
      <c r="M17" s="25">
        <f t="shared" si="4"/>
        <v>1.9791444988295527E-2</v>
      </c>
      <c r="O17" s="24" t="s">
        <v>55</v>
      </c>
      <c r="P17" s="24">
        <v>2020</v>
      </c>
      <c r="Q17" s="24">
        <f>AVERAGEIFS('Main Data'!$AL:$AL, 'Main Data'!$C:$C, 'Problem Statement 2'!$P17, 'Main Data'!$D:$D, 'Problem Statement 2'!Q$12)</f>
        <v>1488.1666666666667</v>
      </c>
      <c r="R17" s="24">
        <f>AVERAGEIFS('Main Data'!$AL:$AL, 'Main Data'!$C:$C, 'Problem Statement 2'!$P17, 'Main Data'!$D:$D, 'Problem Statement 2'!R$12)</f>
        <v>1561.5</v>
      </c>
      <c r="S17" s="25">
        <f t="shared" si="5"/>
        <v>4.9277634673535617E-2</v>
      </c>
    </row>
    <row r="18" spans="3:19" x14ac:dyDescent="0.3">
      <c r="C18" s="24" t="s">
        <v>91</v>
      </c>
      <c r="D18" s="24">
        <v>2021</v>
      </c>
      <c r="E18" s="24">
        <f>AVERAGEIFS('Main Data'!$AJ:$AJ, 'Main Data'!$C:$C, 'Problem Statement 2'!$D18, 'Main Data'!$D:$D, 'Problem Statement 2'!E$12)</f>
        <v>142.1</v>
      </c>
      <c r="F18" s="24">
        <f>AVERAGEIFS('Main Data'!$AJ:$AJ, 'Main Data'!$C:$C, 'Problem Statement 2'!$D18, 'Main Data'!$D:$D, 'Problem Statement 2'!F$12)</f>
        <v>155.86666666666665</v>
      </c>
      <c r="G18" s="25">
        <f t="shared" si="3"/>
        <v>9.6880131362889879E-2</v>
      </c>
      <c r="I18" s="24" t="s">
        <v>26</v>
      </c>
      <c r="J18" s="24">
        <v>2021</v>
      </c>
      <c r="K18" s="24">
        <f>AVERAGEIFS('Main Data'!$AK:$AK, 'Main Data'!$C:$C, 'Problem Statement 2'!$J18, 'Main Data'!$D:$D, 'Problem Statement 2'!K$12)</f>
        <v>159.6</v>
      </c>
      <c r="L18" s="24">
        <f>AVERAGEIFS('Main Data'!$AK:$AK, 'Main Data'!$C:$C, 'Problem Statement 2'!$J18, 'Main Data'!$D:$D, 'Problem Statement 2'!L$12)</f>
        <v>164.89999999999998</v>
      </c>
      <c r="M18" s="25">
        <f t="shared" si="4"/>
        <v>3.3208020050125207E-2</v>
      </c>
      <c r="O18" s="24" t="s">
        <v>55</v>
      </c>
      <c r="P18" s="24">
        <v>2021</v>
      </c>
      <c r="Q18" s="24">
        <f>AVERAGEIFS('Main Data'!$AL:$AL, 'Main Data'!$C:$C, 'Problem Statement 2'!$P18, 'Main Data'!$D:$D, 'Problem Statement 2'!Q$12)</f>
        <v>1566.7333333333336</v>
      </c>
      <c r="R18" s="24">
        <f>AVERAGEIFS('Main Data'!$AL:$AL, 'Main Data'!$C:$C, 'Problem Statement 2'!$P18, 'Main Data'!$D:$D, 'Problem Statement 2'!R$12)</f>
        <v>1663.8333333333333</v>
      </c>
      <c r="S18" s="25">
        <f t="shared" si="5"/>
        <v>6.1976086123994509E-2</v>
      </c>
    </row>
    <row r="19" spans="3:19" x14ac:dyDescent="0.3">
      <c r="C19" s="24" t="s">
        <v>91</v>
      </c>
      <c r="D19" s="24">
        <v>2022</v>
      </c>
      <c r="E19" s="24">
        <f>AVERAGEIFS('Main Data'!$AJ:$AJ, 'Main Data'!$C:$C, 'Problem Statement 2'!$D19, 'Main Data'!$D:$D, 'Problem Statement 2'!E$12)</f>
        <v>156.66666666666666</v>
      </c>
      <c r="F19" s="24">
        <f>AVERAGEIFS('Main Data'!$AJ:$AJ, 'Main Data'!$C:$C, 'Problem Statement 2'!$D19, 'Main Data'!$D:$D, 'Problem Statement 2'!F$12)</f>
        <v>163.53333333333333</v>
      </c>
      <c r="G19" s="25">
        <f t="shared" si="3"/>
        <v>4.3829787234042607E-2</v>
      </c>
      <c r="I19" s="24" t="s">
        <v>26</v>
      </c>
      <c r="J19" s="24">
        <v>2022</v>
      </c>
      <c r="K19" s="24">
        <f>AVERAGEIFS('Main Data'!$AK:$AK, 'Main Data'!$C:$C, 'Problem Statement 2'!$J19, 'Main Data'!$D:$D, 'Problem Statement 2'!K$12)</f>
        <v>165.2</v>
      </c>
      <c r="L19" s="24">
        <f>AVERAGEIFS('Main Data'!$AK:$AK, 'Main Data'!$C:$C, 'Problem Statement 2'!$J19, 'Main Data'!$D:$D, 'Problem Statement 2'!L$12)</f>
        <v>174.4</v>
      </c>
      <c r="M19" s="25">
        <f t="shared" si="4"/>
        <v>5.5690072639225291E-2</v>
      </c>
      <c r="O19" s="24" t="s">
        <v>55</v>
      </c>
      <c r="P19" s="24">
        <v>2022</v>
      </c>
      <c r="Q19" s="24">
        <f>AVERAGEIFS('Main Data'!$AL:$AL, 'Main Data'!$C:$C, 'Problem Statement 2'!$P19, 'Main Data'!$D:$D, 'Problem Statement 2'!Q$12)</f>
        <v>1672.9666666666665</v>
      </c>
      <c r="R19" s="24">
        <f>AVERAGEIFS('Main Data'!$AL:$AL, 'Main Data'!$C:$C, 'Problem Statement 2'!$P19, 'Main Data'!$D:$D, 'Problem Statement 2'!R$12)</f>
        <v>1779.3666666666668</v>
      </c>
      <c r="S19" s="25">
        <f t="shared" si="5"/>
        <v>6.3599593536432478E-2</v>
      </c>
    </row>
    <row r="20" spans="3:19" x14ac:dyDescent="0.3">
      <c r="C20" s="24" t="s">
        <v>91</v>
      </c>
      <c r="D20" s="24">
        <v>2023</v>
      </c>
      <c r="E20" s="24">
        <f>AVERAGEIFS('Main Data'!$AJ:$AJ, 'Main Data'!$C:$C, 'Problem Statement 2'!$D20, 'Main Data'!$D:$D, 'Problem Statement 2'!E$12)</f>
        <v>163.76666666666665</v>
      </c>
      <c r="F20" s="24">
        <f>AVERAGEIFS('Main Data'!$AJ:$AJ, 'Main Data'!$C:$C, 'Problem Statement 2'!$D20, 'Main Data'!$D:$D, "May")</f>
        <v>164.96666666666667</v>
      </c>
      <c r="G20" s="25">
        <f t="shared" si="3"/>
        <v>7.3274984734379225E-3</v>
      </c>
      <c r="I20" s="24" t="s">
        <v>26</v>
      </c>
      <c r="J20" s="24">
        <v>2023</v>
      </c>
      <c r="K20" s="24">
        <f>AVERAGEIFS('Main Data'!$AK:$AK, 'Main Data'!$C:$C, 'Problem Statement 2'!$J20, 'Main Data'!$D:$D, 'Problem Statement 2'!K$12)</f>
        <v>174.63333333333335</v>
      </c>
      <c r="L20" s="24">
        <f>AVERAGEIFS('Main Data'!$AK:$AK, 'Main Data'!$C:$C, 'Problem Statement 2'!$J20, 'Main Data'!$D:$D,"May")</f>
        <v>177.4</v>
      </c>
      <c r="M20" s="25">
        <f t="shared" si="4"/>
        <v>1.5842718075968609E-2</v>
      </c>
      <c r="O20" s="24" t="s">
        <v>55</v>
      </c>
      <c r="P20" s="24">
        <v>2023</v>
      </c>
      <c r="Q20" s="24">
        <f>AVERAGEIFS('Main Data'!$AL:$AL, 'Main Data'!$C:$C, 'Problem Statement 2'!$P20, 'Main Data'!$D:$D, 'Problem Statement 2'!Q$12)</f>
        <v>1790.1666666666667</v>
      </c>
      <c r="R20" s="24">
        <f>AVERAGEIFS('Main Data'!$AL:$AL, 'Main Data'!$C:$C, 'Problem Statement 2'!$P20, 'Main Data'!$D:$D, "May")</f>
        <v>1820.4000000000003</v>
      </c>
      <c r="S20" s="25">
        <f t="shared" si="5"/>
        <v>1.6888557862396559E-2</v>
      </c>
    </row>
  </sheetData>
  <mergeCells count="2">
    <mergeCell ref="U9:X9"/>
    <mergeCell ref="U10:X1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2C93F-21F7-4D69-A0F1-602142F70839}">
  <dimension ref="A1:X17"/>
  <sheetViews>
    <sheetView topLeftCell="A9" workbookViewId="0">
      <selection activeCell="H4" sqref="H4"/>
    </sheetView>
  </sheetViews>
  <sheetFormatPr defaultRowHeight="14.4" x14ac:dyDescent="0.3"/>
  <cols>
    <col min="1" max="1" width="5" bestFit="1" customWidth="1"/>
    <col min="2" max="2" width="9.77734375" bestFit="1" customWidth="1"/>
    <col min="3" max="3" width="8.33203125" bestFit="1" customWidth="1"/>
    <col min="4" max="4" width="15" bestFit="1" customWidth="1"/>
    <col min="6" max="6" width="30.44140625" bestFit="1" customWidth="1"/>
    <col min="7" max="8" width="8.5546875" bestFit="1" customWidth="1"/>
    <col min="9" max="9" width="13.6640625" bestFit="1" customWidth="1"/>
  </cols>
  <sheetData>
    <row r="1" spans="1:24" x14ac:dyDescent="0.3">
      <c r="A1" s="115" t="s">
        <v>47</v>
      </c>
      <c r="B1" s="115"/>
      <c r="C1" s="115"/>
      <c r="D1" s="115"/>
      <c r="F1" s="115" t="s">
        <v>106</v>
      </c>
      <c r="G1" s="115"/>
      <c r="H1" s="115"/>
      <c r="I1" s="115"/>
      <c r="K1" s="114"/>
      <c r="L1" s="114"/>
      <c r="M1" s="114"/>
      <c r="N1" s="114"/>
      <c r="P1" s="114"/>
      <c r="Q1" s="114"/>
      <c r="R1" s="114"/>
      <c r="S1" s="114"/>
      <c r="U1" s="114"/>
      <c r="V1" s="114"/>
      <c r="W1" s="114"/>
      <c r="X1" s="114"/>
    </row>
    <row r="2" spans="1:24" x14ac:dyDescent="0.3">
      <c r="A2" s="5" t="s">
        <v>1</v>
      </c>
      <c r="B2" s="5" t="s">
        <v>92</v>
      </c>
      <c r="C2" s="5" t="s">
        <v>94</v>
      </c>
      <c r="D2" s="5" t="s">
        <v>93</v>
      </c>
      <c r="F2" s="5" t="s">
        <v>1</v>
      </c>
      <c r="G2" s="5" t="s">
        <v>103</v>
      </c>
      <c r="H2" s="5" t="s">
        <v>104</v>
      </c>
      <c r="I2" s="5" t="s">
        <v>105</v>
      </c>
    </row>
    <row r="3" spans="1:24" x14ac:dyDescent="0.3">
      <c r="A3" s="5">
        <v>2022</v>
      </c>
      <c r="B3" s="5" t="s">
        <v>38</v>
      </c>
      <c r="C3" s="36">
        <f>AVERAGEIFS('Main Data'!$AH:$AH,'Main Data'!$C:$C,'Problem Statement 3'!$A3,'Main Data'!$D:$D,'Problem Statement 3'!$B3,'Main Data'!A:A,"Rural+Urban")</f>
        <v>2261.9</v>
      </c>
      <c r="D3" s="27">
        <v>0</v>
      </c>
      <c r="F3" s="5" t="s">
        <v>3</v>
      </c>
      <c r="G3" s="36">
        <f>AVERAGEIFS('Main Data'!$G:$G,'Main Data'!$B:$B,"&gt;="&amp;"01-06-2022",'Main Data'!$B:$B,"&lt;="&amp;"01-12-2022",'Main Data'!$A:$A,"Rural+Urban")</f>
        <v>162.44285714285712</v>
      </c>
      <c r="H3" s="36">
        <f>AVERAGEIFS('Main Data'!$G:$G,'Main Data'!$B:$B,"&gt;="&amp;"01-01-2023",'Main Data'!$B:$B,"&lt;="&amp;"01-12-2023",'Main Data'!$A:$A,"Rural+Urban")</f>
        <v>174.02000000000004</v>
      </c>
      <c r="I3" s="40">
        <f>(H3-G3)/G3</f>
        <v>7.1269017676545976E-2</v>
      </c>
    </row>
    <row r="4" spans="1:24" x14ac:dyDescent="0.3">
      <c r="A4" s="5">
        <v>2022</v>
      </c>
      <c r="B4" s="5" t="s">
        <v>39</v>
      </c>
      <c r="C4" s="36">
        <f>AVERAGEIFS('Main Data'!$AH:$AH,'Main Data'!$C:$C,'Problem Statement 3'!$A4,'Main Data'!$D:$D,'Problem Statement 3'!$B4,'Main Data'!A:A,"Rural+Urban")</f>
        <v>2266.3000000000002</v>
      </c>
      <c r="D4" s="27">
        <f>(C4-C3)/C3</f>
        <v>1.9452672531942573E-3</v>
      </c>
      <c r="E4" s="37"/>
      <c r="F4" s="5" t="s">
        <v>4</v>
      </c>
      <c r="G4" s="36">
        <f>AVERAGEIFS('Main Data'!$H:$H,'Main Data'!$B:$B,"&gt;="&amp;"01-06-2022",'Main Data'!$B:$B,"&lt;="&amp;"01-12-2022",'Main Data'!$A:$A,"Rural+Urban")</f>
        <v>211.05714285714288</v>
      </c>
      <c r="H4" s="36">
        <f>AVERAGEIFS('Main Data'!$H:$H,'Main Data'!$B:$B,"&gt;="&amp;"01-01-2023",'Main Data'!$B:$B,"&lt;="&amp;"01-12-2023",'Main Data'!$A:$A,"Rural+Urban")</f>
        <v>209.93999999999997</v>
      </c>
      <c r="I4" s="40">
        <f t="shared" ref="I4:I15" si="0">(H4-G4)/G4</f>
        <v>-5.2930824421283081E-3</v>
      </c>
      <c r="N4" s="39"/>
      <c r="S4" s="39"/>
      <c r="X4" s="39"/>
    </row>
    <row r="5" spans="1:24" x14ac:dyDescent="0.3">
      <c r="A5" s="5">
        <v>2022</v>
      </c>
      <c r="B5" s="5" t="s">
        <v>40</v>
      </c>
      <c r="C5" s="36">
        <f>AVERAGEIFS('Main Data'!$AH:$AH,'Main Data'!$C:$C,'Problem Statement 3'!$A5,'Main Data'!$D:$D,'Problem Statement 3'!$B5,'Main Data'!A:A,"Rural+Urban")</f>
        <v>2269.2000000000003</v>
      </c>
      <c r="D5" s="27">
        <f t="shared" ref="D5:D14" si="1">(C5-C4)/C4</f>
        <v>1.279618761858576E-3</v>
      </c>
      <c r="E5" s="37"/>
      <c r="F5" s="5" t="s">
        <v>5</v>
      </c>
      <c r="G5" s="36">
        <f>AVERAGEIFS('Main Data'!$I:$I,'Main Data'!$B:$B,"&gt;="&amp;"01-06-2022",'Main Data'!$B:$B,"&lt;="&amp;"01-12-2022",'Main Data'!$A:$A,"Rural+Urban")</f>
        <v>175.34285714285716</v>
      </c>
      <c r="H5" s="36">
        <f>AVERAGEIFS('Main Data'!$I:$I,'Main Data'!$B:$B,"&gt;="&amp;"01-01-2023",'Main Data'!$B:$B,"&lt;="&amp;"01-12-2023",'Main Data'!$A:$A,"Rural+Urban")</f>
        <v>177.54000000000002</v>
      </c>
      <c r="I5" s="40">
        <f t="shared" si="0"/>
        <v>1.2530552387159891E-2</v>
      </c>
      <c r="N5" s="39"/>
      <c r="S5" s="39"/>
      <c r="X5" s="39"/>
    </row>
    <row r="6" spans="1:24" x14ac:dyDescent="0.3">
      <c r="A6" s="5">
        <v>2022</v>
      </c>
      <c r="B6" s="5" t="s">
        <v>41</v>
      </c>
      <c r="C6" s="36">
        <f>AVERAGEIFS('Main Data'!$AH:$AH,'Main Data'!$C:$C,'Problem Statement 3'!$A6,'Main Data'!$D:$D,'Problem Statement 3'!$B6,'Main Data'!A:A,"Rural+Urban")</f>
        <v>2280.9</v>
      </c>
      <c r="D6" s="27">
        <f>(C6-C5)/C5</f>
        <v>5.1560021152828386E-3</v>
      </c>
      <c r="E6" s="37"/>
      <c r="F6" s="5" t="s">
        <v>6</v>
      </c>
      <c r="G6" s="36">
        <f>AVERAGEIFS('Main Data'!$J:$J,'Main Data'!$B:$B,"&gt;="&amp;"01-06-2022",'Main Data'!$B:$B,"&lt;="&amp;"01-12-2022",'Main Data'!$A:$A,"Rural+Urban")</f>
        <v>169.57142857142858</v>
      </c>
      <c r="H6" s="36">
        <f>AVERAGEIFS('Main Data'!$J:$J,'Main Data'!$B:$B,"&gt;="&amp;"01-01-2023",'Main Data'!$B:$B,"&lt;="&amp;"01-12-2023",'Main Data'!$A:$A,"Rural+Urban")</f>
        <v>177.42000000000002</v>
      </c>
      <c r="I6" s="40">
        <f t="shared" si="0"/>
        <v>4.628475147430499E-2</v>
      </c>
      <c r="N6" s="39"/>
      <c r="S6" s="39"/>
      <c r="X6" s="39"/>
    </row>
    <row r="7" spans="1:24" x14ac:dyDescent="0.3">
      <c r="A7" s="5">
        <v>2022</v>
      </c>
      <c r="B7" s="5" t="s">
        <v>42</v>
      </c>
      <c r="C7" s="36">
        <f>AVERAGEIFS('Main Data'!$AH:$AH,'Main Data'!$C:$C,'Problem Statement 3'!$A7,'Main Data'!$D:$D,'Problem Statement 3'!$B7,'Main Data'!A:A,"Rural+Urban")</f>
        <v>2297.3000000000002</v>
      </c>
      <c r="D7" s="27">
        <f t="shared" si="1"/>
        <v>7.1901442413082953E-3</v>
      </c>
      <c r="E7" s="37"/>
      <c r="F7" s="5" t="s">
        <v>7</v>
      </c>
      <c r="G7" s="36">
        <f>AVERAGEIFS('Main Data'!$K:$K,'Main Data'!$B:$B,"&gt;="&amp;"01-06-2022",'Main Data'!$B:$B,"&lt;="&amp;"01-12-2022",'Main Data'!$A:$A,"Rural+Urban")</f>
        <v>191.67142857142858</v>
      </c>
      <c r="H7" s="36">
        <f>AVERAGEIFS('Main Data'!K:K,'Main Data'!$B:$B,"&gt;="&amp;"01-01-2023",'Main Data'!$B:$B,"&lt;="&amp;"01-12-2023",'Main Data'!$A:$A,"Rural+Urban")</f>
        <v>178.12</v>
      </c>
      <c r="I7" s="40">
        <f t="shared" si="0"/>
        <v>-7.0701349034806599E-2</v>
      </c>
      <c r="N7" s="39"/>
      <c r="S7" s="39"/>
      <c r="X7" s="39"/>
    </row>
    <row r="8" spans="1:24" x14ac:dyDescent="0.3">
      <c r="A8" s="5">
        <v>2022</v>
      </c>
      <c r="B8" s="5" t="s">
        <v>44</v>
      </c>
      <c r="C8" s="36">
        <f>AVERAGEIFS('Main Data'!$AH:$AH,'Main Data'!$C:$C,'Problem Statement 3'!$A8,'Main Data'!$D:$D,'Problem Statement 3'!$B8,'Main Data'!A:A,"Rural+Urban")</f>
        <v>2296.8000000000002</v>
      </c>
      <c r="D8" s="27">
        <f>(C8-C7)/C7</f>
        <v>-2.1764680276846731E-4</v>
      </c>
      <c r="E8" s="37"/>
      <c r="F8" s="5" t="s">
        <v>8</v>
      </c>
      <c r="G8" s="36">
        <f>AVERAGEIFS('Main Data'!L:L,'Main Data'!$B:$B,"&gt;="&amp;"01-06-2022",'Main Data'!$B:$B,"&lt;="&amp;"01-12-2022",'Main Data'!$A:$A,"Rural+Urban")</f>
        <v>166.42857142857142</v>
      </c>
      <c r="H8" s="36">
        <f>AVERAGEIFS('Main Data'!L:L,'Main Data'!$B:$B,"&gt;="&amp;"01-01-2023",'Main Data'!$B:$B,"&lt;="&amp;"01-12-2023",'Main Data'!$A:$A,"Rural+Urban")</f>
        <v>169.16</v>
      </c>
      <c r="I8" s="40">
        <f t="shared" si="0"/>
        <v>1.6412017167382029E-2</v>
      </c>
      <c r="N8" s="39"/>
      <c r="S8" s="39"/>
      <c r="X8" s="39"/>
    </row>
    <row r="9" spans="1:24" x14ac:dyDescent="0.3">
      <c r="A9" s="5">
        <v>2022</v>
      </c>
      <c r="B9" s="5" t="s">
        <v>45</v>
      </c>
      <c r="C9" s="36">
        <f>AVERAGEIFS('Main Data'!$AH:$AH,'Main Data'!$C:$C,'Problem Statement 3'!$A9,'Main Data'!$D:$D,'Problem Statement 3'!$B9,'Main Data'!A:A,"Rural+Urban")</f>
        <v>2283.4</v>
      </c>
      <c r="D9" s="27">
        <f t="shared" si="1"/>
        <v>-5.8342041100662182E-3</v>
      </c>
      <c r="E9" s="37"/>
      <c r="F9" s="5" t="s">
        <v>9</v>
      </c>
      <c r="G9" s="36">
        <f>AVERAGEIFS('Main Data'!M:M,'Main Data'!$B:$B,"&gt;="&amp;"01-06-2022",'Main Data'!$B:$B,"&lt;="&amp;"01-12-2022",'Main Data'!$A:$A,"Rural+Urban")</f>
        <v>183.65714285714284</v>
      </c>
      <c r="H9" s="36">
        <f>AVERAGEIFS('Main Data'!M:M,'Main Data'!$B:$B,"&gt;="&amp;"01-01-2023",'Main Data'!$B:$B,"&lt;="&amp;"01-12-2023",'Main Data'!$A:$A,"Rural+Urban")</f>
        <v>155.16000000000003</v>
      </c>
      <c r="I9" s="40">
        <f t="shared" si="0"/>
        <v>-0.15516490354698176</v>
      </c>
      <c r="N9" s="39"/>
      <c r="S9" s="39"/>
      <c r="X9" s="39"/>
    </row>
    <row r="10" spans="1:24" x14ac:dyDescent="0.3">
      <c r="A10" s="5">
        <v>2023</v>
      </c>
      <c r="B10" s="5" t="s">
        <v>31</v>
      </c>
      <c r="C10" s="36">
        <f>AVERAGEIFS('Main Data'!$AH:$AH,'Main Data'!$C:$C,'Problem Statement 3'!$A10,'Main Data'!$D:$D,'Problem Statement 3'!$B10,'Main Data'!A:A,"Rural+Urban")</f>
        <v>2292.6999999999998</v>
      </c>
      <c r="D10" s="27">
        <f t="shared" si="1"/>
        <v>4.0728737847068961E-3</v>
      </c>
      <c r="E10" s="37"/>
      <c r="F10" s="5" t="s">
        <v>10</v>
      </c>
      <c r="G10" s="36">
        <f>AVERAGEIFS('Main Data'!N:N,'Main Data'!$B:$B,"&gt;="&amp;"01-06-2022",'Main Data'!$B:$B,"&lt;="&amp;"01-12-2022",'Main Data'!$A:$A,"Rural+Urban")</f>
        <v>168</v>
      </c>
      <c r="H10" s="36">
        <f>AVERAGEIFS('Main Data'!N:N,'Main Data'!$B:$B,"&gt;="&amp;"01-01-2023",'Main Data'!$B:$B,"&lt;="&amp;"01-12-2023",'Main Data'!$A:$A,"Rural+Urban")</f>
        <v>172.4</v>
      </c>
      <c r="I10" s="40">
        <f t="shared" si="0"/>
        <v>2.6190476190476226E-2</v>
      </c>
      <c r="N10" s="39"/>
      <c r="S10" s="39"/>
      <c r="X10" s="39"/>
    </row>
    <row r="11" spans="1:24" x14ac:dyDescent="0.3">
      <c r="A11" s="5">
        <v>2023</v>
      </c>
      <c r="B11" s="5" t="s">
        <v>34</v>
      </c>
      <c r="C11" s="36">
        <f>AVERAGEIFS('Main Data'!$AH:$AH,'Main Data'!$C:$C,'Problem Statement 3'!$A11,'Main Data'!$D:$D,'Problem Statement 3'!$B11,'Main Data'!A:A,"Rural+Urban")</f>
        <v>2279.1</v>
      </c>
      <c r="D11" s="27">
        <f t="shared" si="1"/>
        <v>-5.9318707201116193E-3</v>
      </c>
      <c r="E11" s="37"/>
      <c r="F11" s="5" t="s">
        <v>11</v>
      </c>
      <c r="G11" s="36">
        <f>AVERAGEIFS('Main Data'!O:O,'Main Data'!$B:$B,"&gt;="&amp;"01-06-2022",'Main Data'!$B:$B,"&lt;="&amp;"01-12-2022",'Main Data'!$A:$A,"Rural+Urban")</f>
        <v>121.17142857142856</v>
      </c>
      <c r="H11" s="36">
        <f>AVERAGEIFS('Main Data'!O:O,'Main Data'!$B:$B,"&gt;="&amp;"01-01-2023",'Main Data'!$B:$B,"&lt;="&amp;"01-12-2023",'Main Data'!$A:$A,"Rural+Urban")</f>
        <v>121.02000000000001</v>
      </c>
      <c r="I11" s="40">
        <f t="shared" si="0"/>
        <v>-1.2497052581936742E-3</v>
      </c>
      <c r="N11" s="39"/>
      <c r="S11" s="39"/>
      <c r="X11" s="39"/>
    </row>
    <row r="12" spans="1:24" x14ac:dyDescent="0.3">
      <c r="A12" s="5">
        <v>2023</v>
      </c>
      <c r="B12" s="5" t="s">
        <v>35</v>
      </c>
      <c r="C12" s="36">
        <f>AVERAGEIFS('Main Data'!$AH:$AH,'Main Data'!$C:$C,'Problem Statement 3'!$A12,'Main Data'!$D:$D,'Problem Statement 3'!$B12,'Main Data'!A:A,"Rural+Urban")</f>
        <v>2279.1999999999998</v>
      </c>
      <c r="D12" s="27">
        <f t="shared" si="1"/>
        <v>4.3876968978943027E-5</v>
      </c>
      <c r="E12" s="37"/>
      <c r="F12" s="5" t="s">
        <v>12</v>
      </c>
      <c r="G12" s="36">
        <f>AVERAGEIFS('Main Data'!P:P,'Main Data'!$B:$B,"&gt;="&amp;"01-06-2022",'Main Data'!$B:$B,"&lt;="&amp;"01-12-2022",'Main Data'!$A:$A,"Rural+Urban")</f>
        <v>196.55714285714288</v>
      </c>
      <c r="H12" s="36">
        <f>AVERAGEIFS('Main Data'!P:P,'Main Data'!$B:$B,"&gt;="&amp;"01-01-2023",'Main Data'!$B:$B,"&lt;="&amp;"01-12-2023",'Main Data'!$A:$A,"Rural+Urban")</f>
        <v>211.73999999999995</v>
      </c>
      <c r="I12" s="40">
        <f t="shared" si="0"/>
        <v>7.7243985754778338E-2</v>
      </c>
      <c r="N12" s="39"/>
      <c r="S12" s="39"/>
      <c r="X12" s="39"/>
    </row>
    <row r="13" spans="1:24" x14ac:dyDescent="0.3">
      <c r="A13" s="5">
        <v>2023</v>
      </c>
      <c r="B13" s="5" t="s">
        <v>36</v>
      </c>
      <c r="C13" s="36">
        <f>AVERAGEIFS('Main Data'!$AH:$AH,'Main Data'!$C:$C,'Problem Statement 3'!$A13,'Main Data'!$D:$D,'Problem Statement 3'!$B13,'Main Data'!A:A,"Rural+Urban")</f>
        <v>2289.6000000000004</v>
      </c>
      <c r="D13" s="27">
        <f t="shared" si="1"/>
        <v>4.5630045630048032E-3</v>
      </c>
      <c r="E13" s="37"/>
      <c r="F13" s="5" t="s">
        <v>13</v>
      </c>
      <c r="G13" s="36">
        <f>AVERAGEIFS('Main Data'!Q:Q,'Main Data'!$B:$B,"&gt;="&amp;"01-06-2022",'Main Data'!$B:$B,"&lt;="&amp;"01-12-2022",'Main Data'!$A:$A,"Rural+Urban")</f>
        <v>169.4</v>
      </c>
      <c r="H13" s="36">
        <f>AVERAGEIFS('Main Data'!Q:Q,'Main Data'!$B:$B,"&gt;="&amp;"01-01-2023",'Main Data'!$B:$B,"&lt;="&amp;"01-12-2023",'Main Data'!$A:$A,"Rural+Urban")</f>
        <v>172.45999999999998</v>
      </c>
      <c r="I13" s="40">
        <f t="shared" si="0"/>
        <v>1.8063754427390635E-2</v>
      </c>
      <c r="N13" s="39"/>
      <c r="S13" s="39"/>
      <c r="X13" s="39"/>
    </row>
    <row r="14" spans="1:24" x14ac:dyDescent="0.3">
      <c r="A14" s="5">
        <v>2023</v>
      </c>
      <c r="B14" s="5" t="s">
        <v>37</v>
      </c>
      <c r="C14" s="36">
        <f>AVERAGEIFS('Main Data'!$AH:$AH,'Main Data'!$C:$C,'Problem Statement 3'!$A14,'Main Data'!$D:$D,'Problem Statement 3'!$B14,'Main Data'!A:A,"Rural+Urban")</f>
        <v>2306.9</v>
      </c>
      <c r="D14" s="27">
        <f t="shared" si="1"/>
        <v>7.5559049615652185E-3</v>
      </c>
      <c r="E14" s="37"/>
      <c r="F14" s="5" t="s">
        <v>14</v>
      </c>
      <c r="G14" s="36">
        <f>AVERAGEIFS('Main Data'!R:R,'Main Data'!$B:$B,"&gt;="&amp;"01-06-2022",'Main Data'!$B:$B,"&lt;="&amp;"01-12-2022",'Main Data'!$A:$A,"Rural+Urban")</f>
        <v>187.27142857142857</v>
      </c>
      <c r="H14" s="36">
        <f>AVERAGEIFS('Main Data'!R:R,'Main Data'!$B:$B,"&gt;="&amp;"01-01-2023",'Main Data'!$B:$B,"&lt;="&amp;"01-12-2023",'Main Data'!$A:$A,"Rural+Urban")</f>
        <v>192.98000000000002</v>
      </c>
      <c r="I14" s="40">
        <f t="shared" si="0"/>
        <v>3.0482874361126035E-2</v>
      </c>
      <c r="N14" s="39"/>
      <c r="S14" s="39"/>
      <c r="X14" s="39"/>
    </row>
    <row r="15" spans="1:24" x14ac:dyDescent="0.3">
      <c r="F15" s="5" t="s">
        <v>15</v>
      </c>
      <c r="G15" s="36">
        <f>AVERAGEIFS('Main Data'!S:S,'Main Data'!$B:$B,"&gt;="&amp;"01-06-2022",'Main Data'!$B:$B,"&lt;="&amp;"01-12-2022",'Main Data'!$A:$A,"Rural+Urban")</f>
        <v>176.82857142857145</v>
      </c>
      <c r="H15" s="36">
        <f>AVERAGEIFS('Main Data'!S:S,'Main Data'!$B:$B,"&gt;="&amp;"01-01-2023",'Main Data'!$B:$B,"&lt;="&amp;"01-12-2023",'Main Data'!$A:$A,"Rural+Urban")</f>
        <v>177.54000000000002</v>
      </c>
      <c r="I15" s="40">
        <f t="shared" si="0"/>
        <v>4.0232670867668355E-3</v>
      </c>
    </row>
    <row r="17" spans="17:17" x14ac:dyDescent="0.3">
      <c r="Q17" s="5"/>
    </row>
  </sheetData>
  <mergeCells count="5">
    <mergeCell ref="P1:S1"/>
    <mergeCell ref="U1:X1"/>
    <mergeCell ref="A1:D1"/>
    <mergeCell ref="F1:I1"/>
    <mergeCell ref="K1:N1"/>
  </mergeCells>
  <phoneticPr fontId="20" type="noConversion"/>
  <conditionalFormatting sqref="D3:D14">
    <cfRule type="cellIs" dxfId="2" priority="2" operator="greaterThan">
      <formula>0.0017</formula>
    </cfRule>
    <cfRule type="cellIs" dxfId="1" priority="3" operator="greaterThan">
      <formula>0.17</formula>
    </cfRule>
  </conditionalFormatting>
  <conditionalFormatting sqref="I3:I15">
    <cfRule type="cellIs" dxfId="0" priority="1" operator="greaterThan">
      <formula>0.01</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3BA5E-33CB-4A5D-AB06-D6F67039031B}">
  <dimension ref="A1:H23"/>
  <sheetViews>
    <sheetView topLeftCell="A9" zoomScaleNormal="100" workbookViewId="0">
      <selection activeCell="J3" sqref="J3"/>
    </sheetView>
  </sheetViews>
  <sheetFormatPr defaultRowHeight="14.4" x14ac:dyDescent="0.3"/>
  <cols>
    <col min="1" max="1" width="13.6640625" bestFit="1" customWidth="1"/>
    <col min="2" max="2" width="8.5546875" bestFit="1" customWidth="1"/>
    <col min="3" max="3" width="6" bestFit="1" customWidth="1"/>
    <col min="4" max="4" width="7.33203125" bestFit="1" customWidth="1"/>
    <col min="5" max="5" width="110" bestFit="1" customWidth="1"/>
    <col min="7" max="8" width="0" hidden="1" customWidth="1"/>
  </cols>
  <sheetData>
    <row r="1" spans="1:8" ht="28.8" x14ac:dyDescent="0.3">
      <c r="A1" s="35" t="s">
        <v>57</v>
      </c>
      <c r="B1" s="35" t="s">
        <v>97</v>
      </c>
      <c r="C1" s="35" t="s">
        <v>96</v>
      </c>
      <c r="D1" s="35" t="s">
        <v>98</v>
      </c>
      <c r="E1" s="84" t="s">
        <v>99</v>
      </c>
    </row>
    <row r="2" spans="1:8" x14ac:dyDescent="0.3">
      <c r="A2" s="32" t="s">
        <v>47</v>
      </c>
      <c r="B2" s="33">
        <f>AVERAGEIFS(Sheet6!$I:$I,Sheet6!$G:$G,'Problem Statement 4'!$A2,Sheet6!$H:$H,'Problem Statement 4'!B$1)</f>
        <v>0.21647102934479903</v>
      </c>
      <c r="C2" s="33">
        <f>AVERAGEIFS(Sheet6!$I:$I,Sheet6!$G:$G,'Problem Statement 4'!$A2,Sheet6!$H:$H,'Problem Statement 4'!C$1)</f>
        <v>0.48797338707596732</v>
      </c>
      <c r="D2" s="34">
        <f>C2-B2</f>
        <v>0.27150235773116826</v>
      </c>
      <c r="E2" s="5" t="s">
        <v>184</v>
      </c>
      <c r="G2" t="s">
        <v>31</v>
      </c>
      <c r="H2">
        <v>1</v>
      </c>
    </row>
    <row r="3" spans="1:8" x14ac:dyDescent="0.3">
      <c r="A3" s="32" t="s">
        <v>90</v>
      </c>
      <c r="B3" s="33">
        <f>AVERAGEIFS(Sheet6!$I:$I,Sheet6!$G:$G,'Problem Statement 4'!$A3,Sheet6!$H:$H,'Problem Statement 4'!B$1)</f>
        <v>0.42429220773734189</v>
      </c>
      <c r="C3" s="33">
        <f>AVERAGEIFS(Sheet6!$I:$I,Sheet6!$G:$G,'Problem Statement 4'!$A3,Sheet6!$H:$H,'Problem Statement 4'!C$1)</f>
        <v>0.56320209439327618</v>
      </c>
      <c r="D3" s="34">
        <f t="shared" ref="D3:D6" si="0">C3-B3</f>
        <v>0.13890988665593429</v>
      </c>
      <c r="E3" s="5" t="s">
        <v>185</v>
      </c>
      <c r="G3" t="s">
        <v>34</v>
      </c>
      <c r="H3">
        <v>2</v>
      </c>
    </row>
    <row r="4" spans="1:8" x14ac:dyDescent="0.3">
      <c r="A4" s="5" t="s">
        <v>54</v>
      </c>
      <c r="B4" s="33">
        <f>AVERAGEIFS(Sheet6!$I:$I,Sheet6!$G:$G,'Problem Statement 4'!$A4,Sheet6!$H:$H,'Problem Statement 4'!B$1)</f>
        <v>0.3073757551248823</v>
      </c>
      <c r="C4" s="33">
        <f>AVERAGEIFS(Sheet6!$I:$I,Sheet6!$G:$G,'Problem Statement 4'!$A4,Sheet6!$H:$H,'Problem Statement 4'!C$1)</f>
        <v>0.60862186275568264</v>
      </c>
      <c r="D4" s="34">
        <f t="shared" si="0"/>
        <v>0.30124610763080034</v>
      </c>
      <c r="E4" s="5" t="s">
        <v>186</v>
      </c>
      <c r="G4" t="s">
        <v>35</v>
      </c>
      <c r="H4">
        <v>3</v>
      </c>
    </row>
    <row r="5" spans="1:8" x14ac:dyDescent="0.3">
      <c r="A5" s="32" t="s">
        <v>26</v>
      </c>
      <c r="B5" s="33">
        <f>AVERAGEIFS(Sheet6!$I:$I,Sheet6!$G:$G,'Problem Statement 4'!$A5,Sheet6!$H:$H,'Problem Statement 4'!B$1)</f>
        <v>0.4178620727028306</v>
      </c>
      <c r="C5" s="33">
        <f>AVERAGEIFS(Sheet6!$I:$I,Sheet6!$G:$G,'Problem Statement 4'!$A5,Sheet6!$H:$H,'Problem Statement 4'!C$1)</f>
        <v>0.32322466669119831</v>
      </c>
      <c r="D5" s="34">
        <f t="shared" si="0"/>
        <v>-9.4637406011632286E-2</v>
      </c>
      <c r="E5" s="5" t="s">
        <v>187</v>
      </c>
      <c r="G5" t="s">
        <v>36</v>
      </c>
      <c r="H5">
        <v>4</v>
      </c>
    </row>
    <row r="6" spans="1:8" x14ac:dyDescent="0.3">
      <c r="A6" s="32" t="s">
        <v>55</v>
      </c>
      <c r="B6" s="33">
        <f>AVERAGEIFS(Sheet6!$I:$I,Sheet6!$G:$G,'Problem Statement 4'!$A6,Sheet6!$H:$H,'Problem Statement 4'!B$1)</f>
        <v>0.36632668300182403</v>
      </c>
      <c r="C6" s="33">
        <f>AVERAGEIFS(Sheet6!$I:$I,Sheet6!$G:$G,'Problem Statement 4'!$A6,Sheet6!$H:$H,'Problem Statement 4'!C$1)</f>
        <v>0.51023632581659861</v>
      </c>
      <c r="D6" s="34">
        <f t="shared" si="0"/>
        <v>0.14390964281477459</v>
      </c>
      <c r="E6" s="5" t="s">
        <v>188</v>
      </c>
      <c r="G6" t="s">
        <v>37</v>
      </c>
      <c r="H6">
        <v>5</v>
      </c>
    </row>
    <row r="7" spans="1:8" x14ac:dyDescent="0.3">
      <c r="G7" t="s">
        <v>38</v>
      </c>
      <c r="H7">
        <v>6</v>
      </c>
    </row>
    <row r="8" spans="1:8" x14ac:dyDescent="0.3">
      <c r="G8" t="s">
        <v>39</v>
      </c>
      <c r="H8">
        <v>7</v>
      </c>
    </row>
    <row r="9" spans="1:8" x14ac:dyDescent="0.3">
      <c r="A9" s="38"/>
      <c r="G9" t="s">
        <v>40</v>
      </c>
      <c r="H9">
        <v>8</v>
      </c>
    </row>
    <row r="10" spans="1:8" x14ac:dyDescent="0.3">
      <c r="A10" s="38"/>
      <c r="G10" t="s">
        <v>41</v>
      </c>
      <c r="H10">
        <v>9</v>
      </c>
    </row>
    <row r="11" spans="1:8" x14ac:dyDescent="0.3">
      <c r="A11" s="38"/>
      <c r="G11" t="s">
        <v>42</v>
      </c>
      <c r="H11">
        <v>10</v>
      </c>
    </row>
    <row r="12" spans="1:8" x14ac:dyDescent="0.3">
      <c r="B12" s="29"/>
      <c r="C12" s="29"/>
      <c r="D12" s="30"/>
      <c r="G12" t="s">
        <v>44</v>
      </c>
      <c r="H12">
        <v>11</v>
      </c>
    </row>
    <row r="13" spans="1:8" x14ac:dyDescent="0.3">
      <c r="A13" s="38"/>
      <c r="B13" s="29"/>
      <c r="C13" s="29"/>
      <c r="D13" s="30"/>
      <c r="G13" t="s">
        <v>45</v>
      </c>
      <c r="H13">
        <v>12</v>
      </c>
    </row>
    <row r="14" spans="1:8" x14ac:dyDescent="0.3">
      <c r="B14" s="29"/>
      <c r="C14" s="29"/>
      <c r="D14" s="30"/>
    </row>
    <row r="15" spans="1:8" x14ac:dyDescent="0.3">
      <c r="B15" s="29"/>
      <c r="C15" s="29"/>
      <c r="D15" s="30"/>
    </row>
    <row r="16" spans="1:8" x14ac:dyDescent="0.3">
      <c r="B16" s="29"/>
      <c r="C16" s="29"/>
      <c r="D16" s="30"/>
    </row>
    <row r="19" spans="2:4" x14ac:dyDescent="0.3">
      <c r="B19" s="31"/>
      <c r="C19" s="31"/>
      <c r="D19" s="31"/>
    </row>
    <row r="20" spans="2:4" x14ac:dyDescent="0.3">
      <c r="B20" s="31"/>
      <c r="C20" s="31"/>
      <c r="D20" s="31"/>
    </row>
    <row r="21" spans="2:4" x14ac:dyDescent="0.3">
      <c r="B21" s="31"/>
      <c r="C21" s="31"/>
      <c r="D21" s="31"/>
    </row>
    <row r="22" spans="2:4" x14ac:dyDescent="0.3">
      <c r="B22" s="31"/>
      <c r="C22" s="31"/>
      <c r="D22" s="31"/>
    </row>
    <row r="23" spans="2:4" x14ac:dyDescent="0.3">
      <c r="B23" s="31"/>
      <c r="C23" s="31"/>
      <c r="D23" s="31"/>
    </row>
  </sheetData>
  <phoneticPr fontId="20"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5678A-1D1A-4B00-B828-89C6063D78EB}">
  <dimension ref="A1:I391"/>
  <sheetViews>
    <sheetView workbookViewId="0">
      <selection sqref="A1:A21"/>
    </sheetView>
  </sheetViews>
  <sheetFormatPr defaultRowHeight="14.4" x14ac:dyDescent="0.3"/>
  <cols>
    <col min="1" max="1" width="11.21875" bestFit="1" customWidth="1"/>
    <col min="2" max="2" width="10.33203125" bestFit="1" customWidth="1"/>
    <col min="3" max="3" width="5" bestFit="1" customWidth="1"/>
    <col min="4" max="4" width="10" bestFit="1" customWidth="1"/>
    <col min="5" max="5" width="13.5546875" bestFit="1" customWidth="1"/>
    <col min="6" max="6" width="7" bestFit="1" customWidth="1"/>
  </cols>
  <sheetData>
    <row r="1" spans="1:9" x14ac:dyDescent="0.3">
      <c r="A1" t="s">
        <v>0</v>
      </c>
      <c r="B1" t="s">
        <v>107</v>
      </c>
      <c r="C1" t="s">
        <v>1</v>
      </c>
      <c r="D1" t="s">
        <v>2</v>
      </c>
      <c r="E1" t="s">
        <v>108</v>
      </c>
      <c r="F1" t="s">
        <v>47</v>
      </c>
      <c r="G1" t="s">
        <v>57</v>
      </c>
      <c r="H1" t="s">
        <v>183</v>
      </c>
      <c r="I1" t="s">
        <v>95</v>
      </c>
    </row>
    <row r="2" spans="1:9" x14ac:dyDescent="0.3">
      <c r="A2" t="s">
        <v>33</v>
      </c>
      <c r="B2" s="28">
        <f t="shared" ref="B2:B19" si="0">DATE(C2,E2,1)</f>
        <v>42675</v>
      </c>
      <c r="C2">
        <v>2016</v>
      </c>
      <c r="D2" t="s">
        <v>44</v>
      </c>
      <c r="E2">
        <f>VLOOKUP(D2,'Problem Statement 4'!$G$2:$H$13,2,0)</f>
        <v>11</v>
      </c>
      <c r="F2">
        <v>1759.8</v>
      </c>
      <c r="G2" t="s">
        <v>47</v>
      </c>
      <c r="H2" t="str">
        <f>IF(B2&lt;DATE(2020,3,1),"PreCovid","Post Covid")</f>
        <v>PreCovid</v>
      </c>
      <c r="I2">
        <v>0</v>
      </c>
    </row>
    <row r="3" spans="1:9" x14ac:dyDescent="0.3">
      <c r="A3" t="s">
        <v>33</v>
      </c>
      <c r="B3" s="28">
        <f t="shared" si="0"/>
        <v>42705</v>
      </c>
      <c r="C3">
        <v>2016</v>
      </c>
      <c r="D3" t="s">
        <v>45</v>
      </c>
      <c r="E3">
        <f>VLOOKUP(D3,'Problem Statement 4'!$G$2:$H$13,2,0)</f>
        <v>12</v>
      </c>
      <c r="F3">
        <v>1740.7</v>
      </c>
      <c r="G3" t="s">
        <v>47</v>
      </c>
      <c r="H3" t="str">
        <f t="shared" ref="H3:H66" si="1">IF(B3&lt;DATE(2020,3,1),"PreCovid","Post Covid")</f>
        <v>PreCovid</v>
      </c>
      <c r="I3" s="50">
        <f>(F3-F2)/F2*100</f>
        <v>-1.0853506080236339</v>
      </c>
    </row>
    <row r="4" spans="1:9" x14ac:dyDescent="0.3">
      <c r="A4" t="s">
        <v>33</v>
      </c>
      <c r="B4" s="28">
        <f t="shared" si="0"/>
        <v>42736</v>
      </c>
      <c r="C4">
        <v>2017</v>
      </c>
      <c r="D4" t="s">
        <v>31</v>
      </c>
      <c r="E4">
        <f>VLOOKUP(D4,'Problem Statement 4'!$G$2:$H$13,2,0)</f>
        <v>1</v>
      </c>
      <c r="F4">
        <v>1727.2999999999995</v>
      </c>
      <c r="G4" t="s">
        <v>47</v>
      </c>
      <c r="H4" t="str">
        <f t="shared" si="1"/>
        <v>PreCovid</v>
      </c>
      <c r="I4" s="50">
        <f t="shared" ref="I4:I67" si="2">(F4-F3)/F3*100</f>
        <v>-0.76980525076121942</v>
      </c>
    </row>
    <row r="5" spans="1:9" x14ac:dyDescent="0.3">
      <c r="A5" t="s">
        <v>33</v>
      </c>
      <c r="B5" s="28">
        <f t="shared" si="0"/>
        <v>42767</v>
      </c>
      <c r="C5">
        <v>2017</v>
      </c>
      <c r="D5" t="s">
        <v>34</v>
      </c>
      <c r="E5">
        <f>VLOOKUP(D5,'Problem Statement 4'!$G$2:$H$13,2,0)</f>
        <v>2</v>
      </c>
      <c r="F5">
        <v>1722.3000000000002</v>
      </c>
      <c r="G5" t="s">
        <v>47</v>
      </c>
      <c r="H5" t="str">
        <f t="shared" si="1"/>
        <v>PreCovid</v>
      </c>
      <c r="I5" s="50">
        <f t="shared" si="2"/>
        <v>-0.28946911364553463</v>
      </c>
    </row>
    <row r="6" spans="1:9" x14ac:dyDescent="0.3">
      <c r="A6" t="s">
        <v>33</v>
      </c>
      <c r="B6" s="28">
        <f t="shared" si="0"/>
        <v>42795</v>
      </c>
      <c r="C6">
        <v>2017</v>
      </c>
      <c r="D6" t="s">
        <v>35</v>
      </c>
      <c r="E6">
        <f>VLOOKUP(D6,'Problem Statement 4'!$G$2:$H$13,2,0)</f>
        <v>3</v>
      </c>
      <c r="F6">
        <v>1718.9</v>
      </c>
      <c r="G6" t="s">
        <v>47</v>
      </c>
      <c r="H6" t="str">
        <f t="shared" si="1"/>
        <v>PreCovid</v>
      </c>
      <c r="I6" s="50">
        <f t="shared" si="2"/>
        <v>-0.19741043952854267</v>
      </c>
    </row>
    <row r="7" spans="1:9" x14ac:dyDescent="0.3">
      <c r="A7" t="s">
        <v>33</v>
      </c>
      <c r="B7" s="28">
        <f t="shared" si="0"/>
        <v>42826</v>
      </c>
      <c r="C7">
        <v>2017</v>
      </c>
      <c r="D7" t="s">
        <v>36</v>
      </c>
      <c r="E7">
        <f>VLOOKUP(D7,'Problem Statement 4'!$G$2:$H$13,2,0)</f>
        <v>4</v>
      </c>
      <c r="F7">
        <v>1718.4</v>
      </c>
      <c r="G7" t="s">
        <v>47</v>
      </c>
      <c r="H7" t="str">
        <f t="shared" si="1"/>
        <v>PreCovid</v>
      </c>
      <c r="I7" s="50">
        <f t="shared" si="2"/>
        <v>-2.9088370469486299E-2</v>
      </c>
    </row>
    <row r="8" spans="1:9" x14ac:dyDescent="0.3">
      <c r="A8" t="s">
        <v>33</v>
      </c>
      <c r="B8" s="28">
        <f t="shared" si="0"/>
        <v>42856</v>
      </c>
      <c r="C8">
        <v>2017</v>
      </c>
      <c r="D8" t="s">
        <v>37</v>
      </c>
      <c r="E8">
        <f>VLOOKUP(D8,'Problem Statement 4'!$G$2:$H$13,2,0)</f>
        <v>5</v>
      </c>
      <c r="F8">
        <v>1719.6000000000001</v>
      </c>
      <c r="G8" t="s">
        <v>47</v>
      </c>
      <c r="H8" t="str">
        <f t="shared" si="1"/>
        <v>PreCovid</v>
      </c>
      <c r="I8" s="50">
        <f t="shared" si="2"/>
        <v>6.9832402234639518E-2</v>
      </c>
    </row>
    <row r="9" spans="1:9" x14ac:dyDescent="0.3">
      <c r="A9" t="s">
        <v>33</v>
      </c>
      <c r="B9" s="28">
        <f t="shared" si="0"/>
        <v>42887</v>
      </c>
      <c r="C9">
        <v>2017</v>
      </c>
      <c r="D9" t="s">
        <v>38</v>
      </c>
      <c r="E9">
        <f>VLOOKUP(D9,'Problem Statement 4'!$G$2:$H$13,2,0)</f>
        <v>6</v>
      </c>
      <c r="F9">
        <v>1734.7</v>
      </c>
      <c r="G9" t="s">
        <v>47</v>
      </c>
      <c r="H9" t="str">
        <f t="shared" si="1"/>
        <v>PreCovid</v>
      </c>
      <c r="I9" s="50">
        <f t="shared" si="2"/>
        <v>0.87811118864851767</v>
      </c>
    </row>
    <row r="10" spans="1:9" x14ac:dyDescent="0.3">
      <c r="A10" t="s">
        <v>33</v>
      </c>
      <c r="B10" s="28">
        <f t="shared" si="0"/>
        <v>42917</v>
      </c>
      <c r="C10">
        <v>2017</v>
      </c>
      <c r="D10" t="s">
        <v>39</v>
      </c>
      <c r="E10">
        <f>VLOOKUP(D10,'Problem Statement 4'!$G$2:$H$13,2,0)</f>
        <v>7</v>
      </c>
      <c r="F10">
        <v>1769.3999999999999</v>
      </c>
      <c r="G10" t="s">
        <v>47</v>
      </c>
      <c r="H10" t="str">
        <f t="shared" si="1"/>
        <v>PreCovid</v>
      </c>
      <c r="I10" s="50">
        <f t="shared" si="2"/>
        <v>2.0003458811321737</v>
      </c>
    </row>
    <row r="11" spans="1:9" x14ac:dyDescent="0.3">
      <c r="A11" t="s">
        <v>33</v>
      </c>
      <c r="B11" s="28">
        <f t="shared" si="0"/>
        <v>42948</v>
      </c>
      <c r="C11">
        <v>2017</v>
      </c>
      <c r="D11" t="s">
        <v>40</v>
      </c>
      <c r="E11">
        <f>VLOOKUP(D11,'Problem Statement 4'!$G$2:$H$13,2,0)</f>
        <v>8</v>
      </c>
      <c r="F11">
        <v>1783.8</v>
      </c>
      <c r="G11" t="s">
        <v>47</v>
      </c>
      <c r="H11" t="str">
        <f t="shared" si="1"/>
        <v>PreCovid</v>
      </c>
      <c r="I11" s="50">
        <f t="shared" si="2"/>
        <v>0.81383519837233476</v>
      </c>
    </row>
    <row r="12" spans="1:9" x14ac:dyDescent="0.3">
      <c r="A12" t="s">
        <v>33</v>
      </c>
      <c r="B12" s="28">
        <f t="shared" si="0"/>
        <v>42979</v>
      </c>
      <c r="C12">
        <v>2017</v>
      </c>
      <c r="D12" t="s">
        <v>41</v>
      </c>
      <c r="E12">
        <f>VLOOKUP(D12,'Problem Statement 4'!$G$2:$H$13,2,0)</f>
        <v>9</v>
      </c>
      <c r="F12">
        <v>1769.9999999999998</v>
      </c>
      <c r="G12" t="s">
        <v>47</v>
      </c>
      <c r="H12" t="str">
        <f t="shared" si="1"/>
        <v>PreCovid</v>
      </c>
      <c r="I12" s="50">
        <f t="shared" si="2"/>
        <v>-0.77362933064245887</v>
      </c>
    </row>
    <row r="13" spans="1:9" x14ac:dyDescent="0.3">
      <c r="A13" t="s">
        <v>33</v>
      </c>
      <c r="B13" s="28">
        <f t="shared" si="0"/>
        <v>43009</v>
      </c>
      <c r="C13">
        <v>2017</v>
      </c>
      <c r="D13" t="s">
        <v>42</v>
      </c>
      <c r="E13">
        <f>VLOOKUP(D13,'Problem Statement 4'!$G$2:$H$13,2,0)</f>
        <v>10</v>
      </c>
      <c r="F13">
        <v>1779.6999999999998</v>
      </c>
      <c r="G13" t="s">
        <v>47</v>
      </c>
      <c r="H13" t="str">
        <f t="shared" si="1"/>
        <v>PreCovid</v>
      </c>
      <c r="I13" s="50">
        <f t="shared" si="2"/>
        <v>0.54802259887005911</v>
      </c>
    </row>
    <row r="14" spans="1:9" x14ac:dyDescent="0.3">
      <c r="A14" t="s">
        <v>33</v>
      </c>
      <c r="B14" s="28">
        <f t="shared" si="0"/>
        <v>43040</v>
      </c>
      <c r="C14">
        <v>2017</v>
      </c>
      <c r="D14" t="s">
        <v>44</v>
      </c>
      <c r="E14">
        <f>VLOOKUP(D14,'Problem Statement 4'!$G$2:$H$13,2,0)</f>
        <v>11</v>
      </c>
      <c r="F14">
        <v>1808.2</v>
      </c>
      <c r="G14" t="s">
        <v>47</v>
      </c>
      <c r="H14" t="str">
        <f t="shared" si="1"/>
        <v>PreCovid</v>
      </c>
      <c r="I14" s="50">
        <f t="shared" si="2"/>
        <v>1.6013934932853982</v>
      </c>
    </row>
    <row r="15" spans="1:9" x14ac:dyDescent="0.3">
      <c r="A15" t="s">
        <v>33</v>
      </c>
      <c r="B15" s="28">
        <f t="shared" si="0"/>
        <v>43070</v>
      </c>
      <c r="C15">
        <v>2017</v>
      </c>
      <c r="D15" t="s">
        <v>45</v>
      </c>
      <c r="E15">
        <f>VLOOKUP(D15,'Problem Statement 4'!$G$2:$H$13,2,0)</f>
        <v>12</v>
      </c>
      <c r="F15">
        <v>1794.9999999999998</v>
      </c>
      <c r="G15" t="s">
        <v>47</v>
      </c>
      <c r="H15" t="str">
        <f t="shared" si="1"/>
        <v>PreCovid</v>
      </c>
      <c r="I15" s="50">
        <f t="shared" si="2"/>
        <v>-0.73000774250637501</v>
      </c>
    </row>
    <row r="16" spans="1:9" x14ac:dyDescent="0.3">
      <c r="A16" t="s">
        <v>33</v>
      </c>
      <c r="B16" s="28">
        <f t="shared" si="0"/>
        <v>43101</v>
      </c>
      <c r="C16">
        <v>2018</v>
      </c>
      <c r="D16" t="s">
        <v>31</v>
      </c>
      <c r="E16">
        <f>VLOOKUP(D16,'Problem Statement 4'!$G$2:$H$13,2,0)</f>
        <v>1</v>
      </c>
      <c r="F16">
        <v>1779.9</v>
      </c>
      <c r="G16" t="s">
        <v>47</v>
      </c>
      <c r="H16" t="str">
        <f t="shared" si="1"/>
        <v>PreCovid</v>
      </c>
      <c r="I16" s="50">
        <f t="shared" si="2"/>
        <v>-0.84122562674092938</v>
      </c>
    </row>
    <row r="17" spans="1:9" x14ac:dyDescent="0.3">
      <c r="A17" t="s">
        <v>33</v>
      </c>
      <c r="B17" s="28">
        <f t="shared" si="0"/>
        <v>43132</v>
      </c>
      <c r="C17">
        <v>2018</v>
      </c>
      <c r="D17" t="s">
        <v>34</v>
      </c>
      <c r="E17">
        <f>VLOOKUP(D17,'Problem Statement 4'!$G$2:$H$13,2,0)</f>
        <v>2</v>
      </c>
      <c r="F17">
        <v>1760.3999999999996</v>
      </c>
      <c r="G17" t="s">
        <v>47</v>
      </c>
      <c r="H17" t="str">
        <f t="shared" si="1"/>
        <v>PreCovid</v>
      </c>
      <c r="I17" s="50">
        <f t="shared" si="2"/>
        <v>-1.0955671666947835</v>
      </c>
    </row>
    <row r="18" spans="1:9" x14ac:dyDescent="0.3">
      <c r="A18" t="s">
        <v>33</v>
      </c>
      <c r="B18" s="28">
        <f t="shared" si="0"/>
        <v>43160</v>
      </c>
      <c r="C18">
        <v>2018</v>
      </c>
      <c r="D18" t="s">
        <v>35</v>
      </c>
      <c r="E18">
        <f>VLOOKUP(D18,'Problem Statement 4'!$G$2:$H$13,2,0)</f>
        <v>3</v>
      </c>
      <c r="F18">
        <v>1756</v>
      </c>
      <c r="G18" t="s">
        <v>47</v>
      </c>
      <c r="H18" t="str">
        <f t="shared" si="1"/>
        <v>PreCovid</v>
      </c>
      <c r="I18" s="50">
        <f t="shared" si="2"/>
        <v>-0.2499431947284502</v>
      </c>
    </row>
    <row r="19" spans="1:9" x14ac:dyDescent="0.3">
      <c r="A19" t="s">
        <v>33</v>
      </c>
      <c r="B19" s="28">
        <f t="shared" si="0"/>
        <v>43191</v>
      </c>
      <c r="C19">
        <v>2018</v>
      </c>
      <c r="D19" t="s">
        <v>36</v>
      </c>
      <c r="E19">
        <f>VLOOKUP(D19,'Problem Statement 4'!$G$2:$H$13,2,0)</f>
        <v>4</v>
      </c>
      <c r="F19">
        <v>1757.1000000000001</v>
      </c>
      <c r="G19" t="s">
        <v>47</v>
      </c>
      <c r="H19" t="str">
        <f t="shared" si="1"/>
        <v>PreCovid</v>
      </c>
      <c r="I19" s="50">
        <f t="shared" si="2"/>
        <v>6.2642369020508917E-2</v>
      </c>
    </row>
    <row r="20" spans="1:9" x14ac:dyDescent="0.3">
      <c r="A20" t="s">
        <v>33</v>
      </c>
      <c r="B20" s="28">
        <f t="shared" ref="B20:B40" si="3">DATE(C20,E20,1)</f>
        <v>43221</v>
      </c>
      <c r="C20">
        <v>2018</v>
      </c>
      <c r="D20" t="s">
        <v>37</v>
      </c>
      <c r="E20">
        <f>VLOOKUP(D20,'Problem Statement 4'!$G$2:$H$13,2,0)</f>
        <v>5</v>
      </c>
      <c r="F20">
        <v>1759.8</v>
      </c>
      <c r="G20" t="s">
        <v>47</v>
      </c>
      <c r="H20" t="str">
        <f t="shared" si="1"/>
        <v>PreCovid</v>
      </c>
      <c r="I20" s="50">
        <f t="shared" si="2"/>
        <v>0.15366228444595173</v>
      </c>
    </row>
    <row r="21" spans="1:9" x14ac:dyDescent="0.3">
      <c r="A21" t="s">
        <v>33</v>
      </c>
      <c r="B21" s="28">
        <f t="shared" si="3"/>
        <v>43252</v>
      </c>
      <c r="C21">
        <v>2018</v>
      </c>
      <c r="D21" t="s">
        <v>38</v>
      </c>
      <c r="E21">
        <f>VLOOKUP(D21,'Problem Statement 4'!$G$2:$H$13,2,0)</f>
        <v>6</v>
      </c>
      <c r="F21">
        <v>1774.1000000000001</v>
      </c>
      <c r="G21" t="s">
        <v>47</v>
      </c>
      <c r="H21" t="str">
        <f t="shared" si="1"/>
        <v>PreCovid</v>
      </c>
      <c r="I21" s="50">
        <f t="shared" si="2"/>
        <v>0.81259234003865111</v>
      </c>
    </row>
    <row r="22" spans="1:9" x14ac:dyDescent="0.3">
      <c r="A22" t="s">
        <v>33</v>
      </c>
      <c r="B22" s="28">
        <f t="shared" si="3"/>
        <v>43282</v>
      </c>
      <c r="C22">
        <v>2018</v>
      </c>
      <c r="D22" t="s">
        <v>39</v>
      </c>
      <c r="E22">
        <f>VLOOKUP(D22,'Problem Statement 4'!$G$2:$H$13,2,0)</f>
        <v>7</v>
      </c>
      <c r="F22">
        <v>1795.3</v>
      </c>
      <c r="G22" t="s">
        <v>47</v>
      </c>
      <c r="H22" t="str">
        <f t="shared" si="1"/>
        <v>PreCovid</v>
      </c>
      <c r="I22" s="50">
        <f t="shared" si="2"/>
        <v>1.1949720985288212</v>
      </c>
    </row>
    <row r="23" spans="1:9" x14ac:dyDescent="0.3">
      <c r="A23" t="s">
        <v>33</v>
      </c>
      <c r="B23" s="28">
        <f t="shared" si="3"/>
        <v>43313</v>
      </c>
      <c r="C23">
        <v>2018</v>
      </c>
      <c r="D23" t="s">
        <v>40</v>
      </c>
      <c r="E23">
        <f>VLOOKUP(D23,'Problem Statement 4'!$G$2:$H$13,2,0)</f>
        <v>8</v>
      </c>
      <c r="F23">
        <v>1798.7000000000003</v>
      </c>
      <c r="G23" t="s">
        <v>47</v>
      </c>
      <c r="H23" t="str">
        <f t="shared" si="1"/>
        <v>PreCovid</v>
      </c>
      <c r="I23" s="50">
        <f t="shared" si="2"/>
        <v>0.18938338996269807</v>
      </c>
    </row>
    <row r="24" spans="1:9" x14ac:dyDescent="0.3">
      <c r="A24" t="s">
        <v>33</v>
      </c>
      <c r="B24" s="28">
        <f t="shared" si="3"/>
        <v>43344</v>
      </c>
      <c r="C24">
        <v>2018</v>
      </c>
      <c r="D24" t="s">
        <v>41</v>
      </c>
      <c r="E24">
        <f>VLOOKUP(D24,'Problem Statement 4'!$G$2:$H$13,2,0)</f>
        <v>9</v>
      </c>
      <c r="F24">
        <v>1779.5</v>
      </c>
      <c r="G24" t="s">
        <v>47</v>
      </c>
      <c r="H24" t="str">
        <f t="shared" si="1"/>
        <v>PreCovid</v>
      </c>
      <c r="I24" s="50">
        <f t="shared" si="2"/>
        <v>-1.0674375938177723</v>
      </c>
    </row>
    <row r="25" spans="1:9" x14ac:dyDescent="0.3">
      <c r="A25" t="s">
        <v>33</v>
      </c>
      <c r="B25" s="28">
        <f t="shared" si="3"/>
        <v>43374</v>
      </c>
      <c r="C25">
        <v>2018</v>
      </c>
      <c r="D25" t="s">
        <v>42</v>
      </c>
      <c r="E25">
        <f>VLOOKUP(D25,'Problem Statement 4'!$G$2:$H$13,2,0)</f>
        <v>10</v>
      </c>
      <c r="F25">
        <v>1776.2</v>
      </c>
      <c r="G25" t="s">
        <v>47</v>
      </c>
      <c r="H25" t="str">
        <f t="shared" si="1"/>
        <v>PreCovid</v>
      </c>
      <c r="I25" s="50">
        <f t="shared" si="2"/>
        <v>-0.18544534981736188</v>
      </c>
    </row>
    <row r="26" spans="1:9" x14ac:dyDescent="0.3">
      <c r="A26" t="s">
        <v>33</v>
      </c>
      <c r="B26" s="28">
        <f t="shared" si="3"/>
        <v>43405</v>
      </c>
      <c r="C26">
        <v>2018</v>
      </c>
      <c r="D26" t="s">
        <v>44</v>
      </c>
      <c r="E26">
        <f>VLOOKUP(D26,'Problem Statement 4'!$G$2:$H$13,2,0)</f>
        <v>11</v>
      </c>
      <c r="F26">
        <v>1775.7000000000003</v>
      </c>
      <c r="G26" t="s">
        <v>47</v>
      </c>
      <c r="H26" t="str">
        <f t="shared" si="1"/>
        <v>PreCovid</v>
      </c>
      <c r="I26" s="50">
        <f t="shared" si="2"/>
        <v>-2.8149983109997334E-2</v>
      </c>
    </row>
    <row r="27" spans="1:9" x14ac:dyDescent="0.3">
      <c r="A27" t="s">
        <v>33</v>
      </c>
      <c r="B27" s="28">
        <f t="shared" si="3"/>
        <v>43435</v>
      </c>
      <c r="C27">
        <v>2018</v>
      </c>
      <c r="D27" t="s">
        <v>45</v>
      </c>
      <c r="E27">
        <f>VLOOKUP(D27,'Problem Statement 4'!$G$2:$H$13,2,0)</f>
        <v>12</v>
      </c>
      <c r="F27">
        <v>1762.7999999999997</v>
      </c>
      <c r="G27" t="s">
        <v>47</v>
      </c>
      <c r="H27" t="str">
        <f t="shared" si="1"/>
        <v>PreCovid</v>
      </c>
      <c r="I27" s="50">
        <f t="shared" si="2"/>
        <v>-0.72647406656532887</v>
      </c>
    </row>
    <row r="28" spans="1:9" x14ac:dyDescent="0.3">
      <c r="A28" t="s">
        <v>33</v>
      </c>
      <c r="B28" s="28">
        <f t="shared" si="3"/>
        <v>43466</v>
      </c>
      <c r="C28">
        <v>2019</v>
      </c>
      <c r="D28" t="s">
        <v>31</v>
      </c>
      <c r="E28">
        <f>VLOOKUP(D28,'Problem Statement 4'!$G$2:$H$13,2,0)</f>
        <v>1</v>
      </c>
      <c r="F28">
        <v>1753.3999999999999</v>
      </c>
      <c r="G28" t="s">
        <v>47</v>
      </c>
      <c r="H28" t="str">
        <f t="shared" si="1"/>
        <v>PreCovid</v>
      </c>
      <c r="I28" s="50">
        <f t="shared" si="2"/>
        <v>-0.533242568640791</v>
      </c>
    </row>
    <row r="29" spans="1:9" x14ac:dyDescent="0.3">
      <c r="A29" t="s">
        <v>33</v>
      </c>
      <c r="B29" s="28">
        <f t="shared" si="3"/>
        <v>43497</v>
      </c>
      <c r="C29">
        <v>2019</v>
      </c>
      <c r="D29" t="s">
        <v>34</v>
      </c>
      <c r="E29">
        <f>VLOOKUP(D29,'Problem Statement 4'!$G$2:$H$13,2,0)</f>
        <v>2</v>
      </c>
      <c r="F29">
        <v>1757.1</v>
      </c>
      <c r="G29" t="s">
        <v>47</v>
      </c>
      <c r="H29" t="str">
        <f t="shared" si="1"/>
        <v>PreCovid</v>
      </c>
      <c r="I29" s="50">
        <f t="shared" si="2"/>
        <v>0.2110185924489589</v>
      </c>
    </row>
    <row r="30" spans="1:9" x14ac:dyDescent="0.3">
      <c r="A30" t="s">
        <v>33</v>
      </c>
      <c r="B30" s="28">
        <f t="shared" si="3"/>
        <v>43525</v>
      </c>
      <c r="C30">
        <v>2019</v>
      </c>
      <c r="D30" t="s">
        <v>35</v>
      </c>
      <c r="E30">
        <f>VLOOKUP(D30,'Problem Statement 4'!$G$2:$H$13,2,0)</f>
        <v>3</v>
      </c>
      <c r="F30">
        <v>1762.9</v>
      </c>
      <c r="G30" t="s">
        <v>47</v>
      </c>
      <c r="H30" t="str">
        <f t="shared" si="1"/>
        <v>PreCovid</v>
      </c>
      <c r="I30" s="50">
        <f t="shared" si="2"/>
        <v>0.33008935177281784</v>
      </c>
    </row>
    <row r="31" spans="1:9" x14ac:dyDescent="0.3">
      <c r="A31" t="s">
        <v>33</v>
      </c>
      <c r="B31" s="28">
        <f t="shared" si="3"/>
        <v>43586</v>
      </c>
      <c r="C31">
        <v>2019</v>
      </c>
      <c r="D31" t="s">
        <v>37</v>
      </c>
      <c r="E31">
        <f>VLOOKUP(D31,'Problem Statement 4'!$G$2:$H$13,2,0)</f>
        <v>5</v>
      </c>
      <c r="F31">
        <v>1791.9000000000003</v>
      </c>
      <c r="G31" t="s">
        <v>47</v>
      </c>
      <c r="H31" t="str">
        <f t="shared" si="1"/>
        <v>PreCovid</v>
      </c>
      <c r="I31" s="50">
        <f t="shared" si="2"/>
        <v>1.6450167337909254</v>
      </c>
    </row>
    <row r="32" spans="1:9" x14ac:dyDescent="0.3">
      <c r="A32" t="s">
        <v>33</v>
      </c>
      <c r="B32" s="28">
        <f t="shared" si="3"/>
        <v>43617</v>
      </c>
      <c r="C32">
        <v>2019</v>
      </c>
      <c r="D32" t="s">
        <v>38</v>
      </c>
      <c r="E32">
        <f>VLOOKUP(D32,'Problem Statement 4'!$G$2:$H$13,2,0)</f>
        <v>6</v>
      </c>
      <c r="F32">
        <v>1814.1000000000001</v>
      </c>
      <c r="G32" t="s">
        <v>47</v>
      </c>
      <c r="H32" t="str">
        <f t="shared" si="1"/>
        <v>PreCovid</v>
      </c>
      <c r="I32" s="50">
        <f t="shared" si="2"/>
        <v>1.2389084212288528</v>
      </c>
    </row>
    <row r="33" spans="1:9" x14ac:dyDescent="0.3">
      <c r="A33" t="s">
        <v>33</v>
      </c>
      <c r="B33" s="28">
        <f t="shared" si="3"/>
        <v>43647</v>
      </c>
      <c r="C33">
        <v>2019</v>
      </c>
      <c r="D33" t="s">
        <v>39</v>
      </c>
      <c r="E33">
        <f>VLOOKUP(D33,'Problem Statement 4'!$G$2:$H$13,2,0)</f>
        <v>7</v>
      </c>
      <c r="F33">
        <v>1837.5</v>
      </c>
      <c r="G33" t="s">
        <v>47</v>
      </c>
      <c r="H33" t="str">
        <f t="shared" si="1"/>
        <v>PreCovid</v>
      </c>
      <c r="I33" s="50">
        <f t="shared" si="2"/>
        <v>1.289895816107153</v>
      </c>
    </row>
    <row r="34" spans="1:9" x14ac:dyDescent="0.3">
      <c r="A34" t="s">
        <v>33</v>
      </c>
      <c r="B34" s="28">
        <f t="shared" si="3"/>
        <v>43678</v>
      </c>
      <c r="C34">
        <v>2019</v>
      </c>
      <c r="D34" t="s">
        <v>40</v>
      </c>
      <c r="E34">
        <f>VLOOKUP(D34,'Problem Statement 4'!$G$2:$H$13,2,0)</f>
        <v>8</v>
      </c>
      <c r="F34">
        <v>1846.5</v>
      </c>
      <c r="G34" t="s">
        <v>47</v>
      </c>
      <c r="H34" t="str">
        <f t="shared" si="1"/>
        <v>PreCovid</v>
      </c>
      <c r="I34" s="50">
        <f t="shared" si="2"/>
        <v>0.48979591836734693</v>
      </c>
    </row>
    <row r="35" spans="1:9" x14ac:dyDescent="0.3">
      <c r="A35" t="s">
        <v>33</v>
      </c>
      <c r="B35" s="28">
        <f t="shared" si="3"/>
        <v>43709</v>
      </c>
      <c r="C35">
        <v>2019</v>
      </c>
      <c r="D35" t="s">
        <v>41</v>
      </c>
      <c r="E35">
        <f>VLOOKUP(D35,'Problem Statement 4'!$G$2:$H$13,2,0)</f>
        <v>9</v>
      </c>
      <c r="F35">
        <v>1857.6999999999998</v>
      </c>
      <c r="G35" t="s">
        <v>47</v>
      </c>
      <c r="H35" t="str">
        <f t="shared" si="1"/>
        <v>PreCovid</v>
      </c>
      <c r="I35" s="50">
        <f t="shared" si="2"/>
        <v>0.60655293799078358</v>
      </c>
    </row>
    <row r="36" spans="1:9" x14ac:dyDescent="0.3">
      <c r="A36" t="s">
        <v>33</v>
      </c>
      <c r="B36" s="28">
        <f t="shared" si="3"/>
        <v>43739</v>
      </c>
      <c r="C36">
        <v>2019</v>
      </c>
      <c r="D36" t="s">
        <v>42</v>
      </c>
      <c r="E36">
        <f>VLOOKUP(D36,'Problem Statement 4'!$G$2:$H$13,2,0)</f>
        <v>10</v>
      </c>
      <c r="F36">
        <v>1885.5999999999997</v>
      </c>
      <c r="G36" t="s">
        <v>47</v>
      </c>
      <c r="H36" t="str">
        <f t="shared" si="1"/>
        <v>PreCovid</v>
      </c>
      <c r="I36" s="50">
        <f t="shared" si="2"/>
        <v>1.501857135167135</v>
      </c>
    </row>
    <row r="37" spans="1:9" x14ac:dyDescent="0.3">
      <c r="A37" t="s">
        <v>33</v>
      </c>
      <c r="B37" s="28">
        <f t="shared" si="3"/>
        <v>43770</v>
      </c>
      <c r="C37">
        <v>2019</v>
      </c>
      <c r="D37" t="s">
        <v>44</v>
      </c>
      <c r="E37">
        <f>VLOOKUP(D37,'Problem Statement 4'!$G$2:$H$13,2,0)</f>
        <v>11</v>
      </c>
      <c r="F37">
        <v>1910.9</v>
      </c>
      <c r="G37" t="s">
        <v>47</v>
      </c>
      <c r="H37" t="str">
        <f t="shared" si="1"/>
        <v>PreCovid</v>
      </c>
      <c r="I37" s="50">
        <f t="shared" si="2"/>
        <v>1.3417479847263689</v>
      </c>
    </row>
    <row r="38" spans="1:9" x14ac:dyDescent="0.3">
      <c r="A38" t="s">
        <v>33</v>
      </c>
      <c r="B38" s="28">
        <f t="shared" si="3"/>
        <v>43800</v>
      </c>
      <c r="C38">
        <v>2019</v>
      </c>
      <c r="D38" t="s">
        <v>45</v>
      </c>
      <c r="E38">
        <f>VLOOKUP(D38,'Problem Statement 4'!$G$2:$H$13,2,0)</f>
        <v>12</v>
      </c>
      <c r="F38">
        <v>1946.1000000000001</v>
      </c>
      <c r="G38" t="s">
        <v>47</v>
      </c>
      <c r="H38" t="str">
        <f t="shared" si="1"/>
        <v>PreCovid</v>
      </c>
      <c r="I38" s="50">
        <f t="shared" si="2"/>
        <v>1.8420639489245927</v>
      </c>
    </row>
    <row r="39" spans="1:9" x14ac:dyDescent="0.3">
      <c r="A39" t="s">
        <v>33</v>
      </c>
      <c r="B39" s="28">
        <f t="shared" si="3"/>
        <v>43831</v>
      </c>
      <c r="C39">
        <v>2020</v>
      </c>
      <c r="D39" t="s">
        <v>31</v>
      </c>
      <c r="E39">
        <f>VLOOKUP(D39,'Problem Statement 4'!$G$2:$H$13,2,0)</f>
        <v>1</v>
      </c>
      <c r="F39">
        <v>1940.3999999999999</v>
      </c>
      <c r="G39" t="s">
        <v>47</v>
      </c>
      <c r="H39" t="str">
        <f t="shared" si="1"/>
        <v>PreCovid</v>
      </c>
      <c r="I39" s="50">
        <f t="shared" si="2"/>
        <v>-0.29289347926623877</v>
      </c>
    </row>
    <row r="40" spans="1:9" x14ac:dyDescent="0.3">
      <c r="A40" t="s">
        <v>33</v>
      </c>
      <c r="B40" s="28">
        <f t="shared" si="3"/>
        <v>43862</v>
      </c>
      <c r="C40">
        <v>2020</v>
      </c>
      <c r="D40" t="s">
        <v>34</v>
      </c>
      <c r="E40">
        <f>VLOOKUP(D40,'Problem Statement 4'!$G$2:$H$13,2,0)</f>
        <v>2</v>
      </c>
      <c r="F40">
        <v>1911.6</v>
      </c>
      <c r="G40" t="s">
        <v>47</v>
      </c>
      <c r="H40" t="str">
        <f t="shared" si="1"/>
        <v>PreCovid</v>
      </c>
      <c r="I40" s="50">
        <f t="shared" si="2"/>
        <v>-1.4842300556586248</v>
      </c>
    </row>
    <row r="41" spans="1:9" x14ac:dyDescent="0.3">
      <c r="A41" t="s">
        <v>33</v>
      </c>
      <c r="B41" s="28">
        <f t="shared" ref="B41:B62" si="4">DATE(C41,E41,1)</f>
        <v>43891</v>
      </c>
      <c r="C41">
        <v>2020</v>
      </c>
      <c r="D41" t="s">
        <v>35</v>
      </c>
      <c r="E41">
        <f>VLOOKUP(D41,'Problem Statement 4'!$G$2:$H$13,2,0)</f>
        <v>3</v>
      </c>
      <c r="F41">
        <v>1895.4</v>
      </c>
      <c r="G41" t="s">
        <v>47</v>
      </c>
      <c r="H41" t="str">
        <f t="shared" si="1"/>
        <v>Post Covid</v>
      </c>
      <c r="I41" s="50">
        <f t="shared" si="2"/>
        <v>-0.84745762711863448</v>
      </c>
    </row>
    <row r="42" spans="1:9" x14ac:dyDescent="0.3">
      <c r="A42" t="s">
        <v>33</v>
      </c>
      <c r="B42" s="28">
        <f t="shared" si="4"/>
        <v>43922</v>
      </c>
      <c r="C42">
        <v>2020</v>
      </c>
      <c r="D42" t="s">
        <v>36</v>
      </c>
      <c r="E42">
        <f>VLOOKUP(D42,'Problem Statement 4'!$G$2:$H$13,2,0)</f>
        <v>4</v>
      </c>
      <c r="F42">
        <v>1949.3</v>
      </c>
      <c r="G42" t="s">
        <v>47</v>
      </c>
      <c r="H42" t="str">
        <f t="shared" si="1"/>
        <v>Post Covid</v>
      </c>
      <c r="I42" s="50">
        <f t="shared" si="2"/>
        <v>2.8437269178009843</v>
      </c>
    </row>
    <row r="43" spans="1:9" x14ac:dyDescent="0.3">
      <c r="A43" t="s">
        <v>33</v>
      </c>
      <c r="B43" s="28">
        <f t="shared" si="4"/>
        <v>43952</v>
      </c>
      <c r="C43">
        <v>2020</v>
      </c>
      <c r="D43" t="s">
        <v>37</v>
      </c>
      <c r="E43">
        <f>VLOOKUP(D43,'Problem Statement 4'!$G$2:$H$13,2,0)</f>
        <v>5</v>
      </c>
      <c r="F43">
        <v>1949.3</v>
      </c>
      <c r="G43" t="s">
        <v>47</v>
      </c>
      <c r="H43" t="str">
        <f t="shared" si="1"/>
        <v>Post Covid</v>
      </c>
      <c r="I43" s="50">
        <f t="shared" si="2"/>
        <v>0</v>
      </c>
    </row>
    <row r="44" spans="1:9" x14ac:dyDescent="0.3">
      <c r="A44" t="s">
        <v>33</v>
      </c>
      <c r="B44" s="28">
        <f t="shared" si="4"/>
        <v>43983</v>
      </c>
      <c r="C44">
        <v>2020</v>
      </c>
      <c r="D44" t="s">
        <v>38</v>
      </c>
      <c r="E44">
        <f>VLOOKUP(D44,'Problem Statement 4'!$G$2:$H$13,2,0)</f>
        <v>6</v>
      </c>
      <c r="F44">
        <v>1966.8000000000002</v>
      </c>
      <c r="G44" t="s">
        <v>47</v>
      </c>
      <c r="H44" t="str">
        <f t="shared" si="1"/>
        <v>Post Covid</v>
      </c>
      <c r="I44" s="50">
        <f t="shared" si="2"/>
        <v>0.89775816959935506</v>
      </c>
    </row>
    <row r="45" spans="1:9" x14ac:dyDescent="0.3">
      <c r="A45" t="s">
        <v>33</v>
      </c>
      <c r="B45" s="28">
        <f t="shared" si="4"/>
        <v>44013</v>
      </c>
      <c r="C45">
        <v>2020</v>
      </c>
      <c r="D45" t="s">
        <v>39</v>
      </c>
      <c r="E45">
        <f>VLOOKUP(D45,'Problem Statement 4'!$G$2:$H$13,2,0)</f>
        <v>7</v>
      </c>
      <c r="F45">
        <v>1966.8000000000002</v>
      </c>
      <c r="G45" t="s">
        <v>47</v>
      </c>
      <c r="H45" t="str">
        <f t="shared" si="1"/>
        <v>Post Covid</v>
      </c>
      <c r="I45" s="50">
        <f t="shared" si="2"/>
        <v>0</v>
      </c>
    </row>
    <row r="46" spans="1:9" x14ac:dyDescent="0.3">
      <c r="A46" t="s">
        <v>33</v>
      </c>
      <c r="B46" s="28">
        <f t="shared" si="4"/>
        <v>44044</v>
      </c>
      <c r="C46">
        <v>2020</v>
      </c>
      <c r="D46" t="s">
        <v>40</v>
      </c>
      <c r="E46">
        <f>VLOOKUP(D46,'Problem Statement 4'!$G$2:$H$13,2,0)</f>
        <v>8</v>
      </c>
      <c r="F46">
        <v>1995.1999999999998</v>
      </c>
      <c r="G46" t="s">
        <v>47</v>
      </c>
      <c r="H46" t="str">
        <f t="shared" si="1"/>
        <v>Post Covid</v>
      </c>
      <c r="I46" s="50">
        <f t="shared" si="2"/>
        <v>1.4439699003457207</v>
      </c>
    </row>
    <row r="47" spans="1:9" x14ac:dyDescent="0.3">
      <c r="A47" t="s">
        <v>33</v>
      </c>
      <c r="B47" s="28">
        <f t="shared" si="4"/>
        <v>44075</v>
      </c>
      <c r="C47">
        <v>2020</v>
      </c>
      <c r="D47" t="s">
        <v>41</v>
      </c>
      <c r="E47">
        <f>VLOOKUP(D47,'Problem Statement 4'!$G$2:$H$13,2,0)</f>
        <v>9</v>
      </c>
      <c r="F47">
        <v>2007</v>
      </c>
      <c r="G47" t="s">
        <v>47</v>
      </c>
      <c r="H47" t="str">
        <f t="shared" si="1"/>
        <v>Post Covid</v>
      </c>
      <c r="I47" s="50">
        <f t="shared" si="2"/>
        <v>0.59141940657579106</v>
      </c>
    </row>
    <row r="48" spans="1:9" x14ac:dyDescent="0.3">
      <c r="A48" t="s">
        <v>33</v>
      </c>
      <c r="B48" s="28">
        <f t="shared" si="4"/>
        <v>44105</v>
      </c>
      <c r="C48">
        <v>2020</v>
      </c>
      <c r="D48" t="s">
        <v>42</v>
      </c>
      <c r="E48">
        <f>VLOOKUP(D48,'Problem Statement 4'!$G$2:$H$13,2,0)</f>
        <v>10</v>
      </c>
      <c r="F48">
        <v>2048.6000000000004</v>
      </c>
      <c r="G48" t="s">
        <v>47</v>
      </c>
      <c r="H48" t="str">
        <f t="shared" si="1"/>
        <v>Post Covid</v>
      </c>
      <c r="I48" s="50">
        <f t="shared" si="2"/>
        <v>2.0727453911310598</v>
      </c>
    </row>
    <row r="49" spans="1:9" x14ac:dyDescent="0.3">
      <c r="A49" t="s">
        <v>33</v>
      </c>
      <c r="B49" s="28">
        <f t="shared" si="4"/>
        <v>44136</v>
      </c>
      <c r="C49">
        <v>2020</v>
      </c>
      <c r="D49" t="s">
        <v>44</v>
      </c>
      <c r="E49">
        <f>VLOOKUP(D49,'Problem Statement 4'!$G$2:$H$13,2,0)</f>
        <v>11</v>
      </c>
      <c r="F49">
        <v>2095.6</v>
      </c>
      <c r="G49" t="s">
        <v>47</v>
      </c>
      <c r="H49" t="str">
        <f t="shared" si="1"/>
        <v>Post Covid</v>
      </c>
      <c r="I49" s="50">
        <f t="shared" si="2"/>
        <v>2.2942497315239447</v>
      </c>
    </row>
    <row r="50" spans="1:9" x14ac:dyDescent="0.3">
      <c r="A50" t="s">
        <v>33</v>
      </c>
      <c r="B50" s="28">
        <f t="shared" si="4"/>
        <v>44166</v>
      </c>
      <c r="C50">
        <v>2020</v>
      </c>
      <c r="D50" t="s">
        <v>45</v>
      </c>
      <c r="E50">
        <f>VLOOKUP(D50,'Problem Statement 4'!$G$2:$H$13,2,0)</f>
        <v>12</v>
      </c>
      <c r="F50">
        <v>2109.1</v>
      </c>
      <c r="G50" t="s">
        <v>47</v>
      </c>
      <c r="H50" t="str">
        <f t="shared" si="1"/>
        <v>Post Covid</v>
      </c>
      <c r="I50" s="50">
        <f t="shared" si="2"/>
        <v>0.64420690971559469</v>
      </c>
    </row>
    <row r="51" spans="1:9" x14ac:dyDescent="0.3">
      <c r="A51" t="s">
        <v>33</v>
      </c>
      <c r="B51" s="28">
        <f t="shared" si="4"/>
        <v>44197</v>
      </c>
      <c r="C51">
        <v>2021</v>
      </c>
      <c r="D51" t="s">
        <v>31</v>
      </c>
      <c r="E51">
        <f>VLOOKUP(D51,'Problem Statement 4'!$G$2:$H$13,2,0)</f>
        <v>1</v>
      </c>
      <c r="F51">
        <v>2076.5</v>
      </c>
      <c r="G51" t="s">
        <v>47</v>
      </c>
      <c r="H51" t="str">
        <f t="shared" si="1"/>
        <v>Post Covid</v>
      </c>
      <c r="I51" s="50">
        <f t="shared" si="2"/>
        <v>-1.5456829927457167</v>
      </c>
    </row>
    <row r="52" spans="1:9" x14ac:dyDescent="0.3">
      <c r="A52" t="s">
        <v>33</v>
      </c>
      <c r="B52" s="28">
        <f t="shared" si="4"/>
        <v>44228</v>
      </c>
      <c r="C52">
        <v>2021</v>
      </c>
      <c r="D52" t="s">
        <v>34</v>
      </c>
      <c r="E52">
        <f>VLOOKUP(D52,'Problem Statement 4'!$G$2:$H$13,2,0)</f>
        <v>2</v>
      </c>
      <c r="F52">
        <v>2039.3000000000002</v>
      </c>
      <c r="G52" t="s">
        <v>47</v>
      </c>
      <c r="H52" t="str">
        <f t="shared" si="1"/>
        <v>Post Covid</v>
      </c>
      <c r="I52" s="50">
        <f t="shared" si="2"/>
        <v>-1.7914760414158353</v>
      </c>
    </row>
    <row r="53" spans="1:9" x14ac:dyDescent="0.3">
      <c r="A53" t="s">
        <v>33</v>
      </c>
      <c r="B53" s="28">
        <f t="shared" si="4"/>
        <v>44256</v>
      </c>
      <c r="C53">
        <v>2021</v>
      </c>
      <c r="D53" t="s">
        <v>35</v>
      </c>
      <c r="E53">
        <f>VLOOKUP(D53,'Problem Statement 4'!$G$2:$H$13,2,0)</f>
        <v>3</v>
      </c>
      <c r="F53">
        <v>2039.3999999999999</v>
      </c>
      <c r="G53" t="s">
        <v>47</v>
      </c>
      <c r="H53" t="str">
        <f t="shared" si="1"/>
        <v>Post Covid</v>
      </c>
      <c r="I53" s="50">
        <f t="shared" si="2"/>
        <v>4.9036434070358296E-3</v>
      </c>
    </row>
    <row r="54" spans="1:9" x14ac:dyDescent="0.3">
      <c r="A54" t="s">
        <v>33</v>
      </c>
      <c r="B54" s="28">
        <f t="shared" si="4"/>
        <v>44287</v>
      </c>
      <c r="C54">
        <v>2021</v>
      </c>
      <c r="D54" t="s">
        <v>36</v>
      </c>
      <c r="E54">
        <f>VLOOKUP(D54,'Problem Statement 4'!$G$2:$H$13,2,0)</f>
        <v>4</v>
      </c>
      <c r="F54">
        <v>2064.1</v>
      </c>
      <c r="G54" t="s">
        <v>47</v>
      </c>
      <c r="H54" t="str">
        <f t="shared" si="1"/>
        <v>Post Covid</v>
      </c>
      <c r="I54" s="50">
        <f t="shared" si="2"/>
        <v>1.2111405315288835</v>
      </c>
    </row>
    <row r="55" spans="1:9" x14ac:dyDescent="0.3">
      <c r="A55" t="s">
        <v>33</v>
      </c>
      <c r="B55" s="28">
        <f t="shared" si="4"/>
        <v>44317</v>
      </c>
      <c r="C55">
        <v>2021</v>
      </c>
      <c r="D55" t="s">
        <v>37</v>
      </c>
      <c r="E55">
        <f>VLOOKUP(D55,'Problem Statement 4'!$G$2:$H$13,2,0)</f>
        <v>5</v>
      </c>
      <c r="F55">
        <v>2105.7000000000003</v>
      </c>
      <c r="G55" t="s">
        <v>47</v>
      </c>
      <c r="H55" t="str">
        <f t="shared" si="1"/>
        <v>Post Covid</v>
      </c>
      <c r="I55" s="50">
        <f t="shared" si="2"/>
        <v>2.0154062303183164</v>
      </c>
    </row>
    <row r="56" spans="1:9" x14ac:dyDescent="0.3">
      <c r="A56" t="s">
        <v>33</v>
      </c>
      <c r="B56" s="28">
        <f t="shared" si="4"/>
        <v>44348</v>
      </c>
      <c r="C56">
        <v>2021</v>
      </c>
      <c r="D56" t="s">
        <v>38</v>
      </c>
      <c r="E56">
        <f>VLOOKUP(D56,'Problem Statement 4'!$G$2:$H$13,2,0)</f>
        <v>6</v>
      </c>
      <c r="F56">
        <v>2133.9</v>
      </c>
      <c r="G56" t="s">
        <v>47</v>
      </c>
      <c r="H56" t="str">
        <f t="shared" si="1"/>
        <v>Post Covid</v>
      </c>
      <c r="I56" s="50">
        <f t="shared" si="2"/>
        <v>1.3392221114118732</v>
      </c>
    </row>
    <row r="57" spans="1:9" x14ac:dyDescent="0.3">
      <c r="A57" t="s">
        <v>33</v>
      </c>
      <c r="B57" s="28">
        <f t="shared" si="4"/>
        <v>44378</v>
      </c>
      <c r="C57">
        <v>2021</v>
      </c>
      <c r="D57" t="s">
        <v>39</v>
      </c>
      <c r="E57">
        <f>VLOOKUP(D57,'Problem Statement 4'!$G$2:$H$13,2,0)</f>
        <v>7</v>
      </c>
      <c r="F57">
        <v>2147</v>
      </c>
      <c r="G57" t="s">
        <v>47</v>
      </c>
      <c r="H57" t="str">
        <f t="shared" si="1"/>
        <v>Post Covid</v>
      </c>
      <c r="I57" s="50">
        <f t="shared" si="2"/>
        <v>0.61389943296311489</v>
      </c>
    </row>
    <row r="58" spans="1:9" x14ac:dyDescent="0.3">
      <c r="A58" t="s">
        <v>33</v>
      </c>
      <c r="B58" s="28">
        <f t="shared" si="4"/>
        <v>44409</v>
      </c>
      <c r="C58">
        <v>2021</v>
      </c>
      <c r="D58" t="s">
        <v>40</v>
      </c>
      <c r="E58">
        <f>VLOOKUP(D58,'Problem Statement 4'!$G$2:$H$13,2,0)</f>
        <v>8</v>
      </c>
      <c r="F58">
        <v>2142</v>
      </c>
      <c r="G58" t="s">
        <v>47</v>
      </c>
      <c r="H58" t="str">
        <f t="shared" si="1"/>
        <v>Post Covid</v>
      </c>
      <c r="I58" s="50">
        <f t="shared" si="2"/>
        <v>-0.2328830926874709</v>
      </c>
    </row>
    <row r="59" spans="1:9" x14ac:dyDescent="0.3">
      <c r="A59" t="s">
        <v>33</v>
      </c>
      <c r="B59" s="28">
        <f t="shared" si="4"/>
        <v>44440</v>
      </c>
      <c r="C59">
        <v>2021</v>
      </c>
      <c r="D59" t="s">
        <v>41</v>
      </c>
      <c r="E59">
        <f>VLOOKUP(D59,'Problem Statement 4'!$G$2:$H$13,2,0)</f>
        <v>9</v>
      </c>
      <c r="F59">
        <v>2142</v>
      </c>
      <c r="G59" t="s">
        <v>47</v>
      </c>
      <c r="H59" t="str">
        <f t="shared" si="1"/>
        <v>Post Covid</v>
      </c>
      <c r="I59" s="50">
        <f t="shared" si="2"/>
        <v>0</v>
      </c>
    </row>
    <row r="60" spans="1:9" x14ac:dyDescent="0.3">
      <c r="A60" t="s">
        <v>33</v>
      </c>
      <c r="B60" s="28">
        <f t="shared" si="4"/>
        <v>44470</v>
      </c>
      <c r="C60">
        <v>2021</v>
      </c>
      <c r="D60" t="s">
        <v>42</v>
      </c>
      <c r="E60">
        <f>VLOOKUP(D60,'Problem Statement 4'!$G$2:$H$13,2,0)</f>
        <v>10</v>
      </c>
      <c r="F60">
        <v>2175.5</v>
      </c>
      <c r="G60" t="s">
        <v>47</v>
      </c>
      <c r="H60" t="str">
        <f t="shared" si="1"/>
        <v>Post Covid</v>
      </c>
      <c r="I60" s="50">
        <f t="shared" si="2"/>
        <v>1.5639589169000934</v>
      </c>
    </row>
    <row r="61" spans="1:9" x14ac:dyDescent="0.3">
      <c r="A61" t="s">
        <v>33</v>
      </c>
      <c r="B61" s="28">
        <f t="shared" si="4"/>
        <v>44501</v>
      </c>
      <c r="C61">
        <v>2021</v>
      </c>
      <c r="D61" t="s">
        <v>44</v>
      </c>
      <c r="E61">
        <f>VLOOKUP(D61,'Problem Statement 4'!$G$2:$H$13,2,0)</f>
        <v>11</v>
      </c>
      <c r="F61">
        <v>2194.1</v>
      </c>
      <c r="G61" t="s">
        <v>47</v>
      </c>
      <c r="H61" t="str">
        <f t="shared" si="1"/>
        <v>Post Covid</v>
      </c>
      <c r="I61" s="50">
        <f t="shared" si="2"/>
        <v>0.85497586761663569</v>
      </c>
    </row>
    <row r="62" spans="1:9" x14ac:dyDescent="0.3">
      <c r="A62" t="s">
        <v>33</v>
      </c>
      <c r="B62" s="28">
        <f t="shared" si="4"/>
        <v>44531</v>
      </c>
      <c r="C62">
        <v>2021</v>
      </c>
      <c r="D62" t="s">
        <v>45</v>
      </c>
      <c r="E62">
        <f>VLOOKUP(D62,'Problem Statement 4'!$G$2:$H$13,2,0)</f>
        <v>12</v>
      </c>
      <c r="F62">
        <v>2180.9</v>
      </c>
      <c r="G62" t="s">
        <v>47</v>
      </c>
      <c r="H62" t="str">
        <f t="shared" si="1"/>
        <v>Post Covid</v>
      </c>
      <c r="I62" s="50">
        <f t="shared" si="2"/>
        <v>-0.60161341780227973</v>
      </c>
    </row>
    <row r="63" spans="1:9" x14ac:dyDescent="0.3">
      <c r="A63" t="s">
        <v>33</v>
      </c>
      <c r="B63" s="28">
        <f t="shared" ref="B63:B79" si="5">DATE(C63,E63,1)</f>
        <v>44562</v>
      </c>
      <c r="C63">
        <v>2022</v>
      </c>
      <c r="D63" t="s">
        <v>31</v>
      </c>
      <c r="E63">
        <f>VLOOKUP(D63,'Problem Statement 4'!$G$2:$H$13,2,0)</f>
        <v>1</v>
      </c>
      <c r="F63">
        <v>2164.1999999999998</v>
      </c>
      <c r="G63" t="s">
        <v>47</v>
      </c>
      <c r="H63" t="str">
        <f t="shared" si="1"/>
        <v>Post Covid</v>
      </c>
      <c r="I63" s="50">
        <f t="shared" si="2"/>
        <v>-0.76573891512679504</v>
      </c>
    </row>
    <row r="64" spans="1:9" x14ac:dyDescent="0.3">
      <c r="A64" t="s">
        <v>33</v>
      </c>
      <c r="B64" s="28">
        <f t="shared" si="5"/>
        <v>44593</v>
      </c>
      <c r="C64">
        <v>2022</v>
      </c>
      <c r="D64" t="s">
        <v>34</v>
      </c>
      <c r="E64">
        <f>VLOOKUP(D64,'Problem Statement 4'!$G$2:$H$13,2,0)</f>
        <v>2</v>
      </c>
      <c r="F64">
        <v>2161.2000000000003</v>
      </c>
      <c r="G64" t="s">
        <v>47</v>
      </c>
      <c r="H64" t="str">
        <f t="shared" si="1"/>
        <v>Post Covid</v>
      </c>
      <c r="I64" s="50">
        <f t="shared" si="2"/>
        <v>-0.13861935126141509</v>
      </c>
    </row>
    <row r="65" spans="1:9" x14ac:dyDescent="0.3">
      <c r="A65" t="s">
        <v>33</v>
      </c>
      <c r="B65" s="28">
        <f t="shared" si="5"/>
        <v>44621</v>
      </c>
      <c r="C65">
        <v>2022</v>
      </c>
      <c r="D65" t="s">
        <v>35</v>
      </c>
      <c r="E65">
        <f>VLOOKUP(D65,'Problem Statement 4'!$G$2:$H$13,2,0)</f>
        <v>3</v>
      </c>
      <c r="F65">
        <v>2184.2000000000003</v>
      </c>
      <c r="G65" t="s">
        <v>47</v>
      </c>
      <c r="H65" t="str">
        <f t="shared" si="1"/>
        <v>Post Covid</v>
      </c>
      <c r="I65" s="50">
        <f t="shared" si="2"/>
        <v>1.0642235794928743</v>
      </c>
    </row>
    <row r="66" spans="1:9" x14ac:dyDescent="0.3">
      <c r="A66" t="s">
        <v>33</v>
      </c>
      <c r="B66" s="28">
        <f t="shared" si="5"/>
        <v>44652</v>
      </c>
      <c r="C66">
        <v>2022</v>
      </c>
      <c r="D66" t="s">
        <v>36</v>
      </c>
      <c r="E66">
        <f>VLOOKUP(D66,'Problem Statement 4'!$G$2:$H$13,2,0)</f>
        <v>4</v>
      </c>
      <c r="F66">
        <v>2214.3000000000002</v>
      </c>
      <c r="G66" t="s">
        <v>47</v>
      </c>
      <c r="H66" t="str">
        <f t="shared" si="1"/>
        <v>Post Covid</v>
      </c>
      <c r="I66" s="50">
        <f t="shared" si="2"/>
        <v>1.3780789305008656</v>
      </c>
    </row>
    <row r="67" spans="1:9" x14ac:dyDescent="0.3">
      <c r="A67" t="s">
        <v>33</v>
      </c>
      <c r="B67" s="28">
        <f t="shared" si="5"/>
        <v>44682</v>
      </c>
      <c r="C67">
        <v>2022</v>
      </c>
      <c r="D67" t="s">
        <v>37</v>
      </c>
      <c r="E67">
        <f>VLOOKUP(D67,'Problem Statement 4'!$G$2:$H$13,2,0)</f>
        <v>5</v>
      </c>
      <c r="F67">
        <v>2238.9000000000005</v>
      </c>
      <c r="G67" t="s">
        <v>47</v>
      </c>
      <c r="H67" t="str">
        <f t="shared" ref="H67:H130" si="6">IF(B67&lt;DATE(2020,3,1),"PreCovid","Post Covid")</f>
        <v>Post Covid</v>
      </c>
      <c r="I67" s="50">
        <f t="shared" si="2"/>
        <v>1.1109605744479232</v>
      </c>
    </row>
    <row r="68" spans="1:9" x14ac:dyDescent="0.3">
      <c r="A68" t="s">
        <v>33</v>
      </c>
      <c r="B68" s="28">
        <f t="shared" si="5"/>
        <v>44713</v>
      </c>
      <c r="C68">
        <v>2022</v>
      </c>
      <c r="D68" t="s">
        <v>38</v>
      </c>
      <c r="E68">
        <f>VLOOKUP(D68,'Problem Statement 4'!$G$2:$H$13,2,0)</f>
        <v>6</v>
      </c>
      <c r="F68">
        <v>2261.9</v>
      </c>
      <c r="G68" t="s">
        <v>47</v>
      </c>
      <c r="H68" t="str">
        <f t="shared" si="6"/>
        <v>Post Covid</v>
      </c>
      <c r="I68" s="50">
        <f t="shared" ref="I68:I79" si="7">(F68-F67)/F67*100</f>
        <v>1.0272901871454525</v>
      </c>
    </row>
    <row r="69" spans="1:9" x14ac:dyDescent="0.3">
      <c r="A69" t="s">
        <v>33</v>
      </c>
      <c r="B69" s="28">
        <f t="shared" si="5"/>
        <v>44743</v>
      </c>
      <c r="C69">
        <v>2022</v>
      </c>
      <c r="D69" t="s">
        <v>39</v>
      </c>
      <c r="E69">
        <f>VLOOKUP(D69,'Problem Statement 4'!$G$2:$H$13,2,0)</f>
        <v>7</v>
      </c>
      <c r="F69">
        <v>2266.3000000000002</v>
      </c>
      <c r="G69" t="s">
        <v>47</v>
      </c>
      <c r="H69" t="str">
        <f t="shared" si="6"/>
        <v>Post Covid</v>
      </c>
      <c r="I69" s="50">
        <f t="shared" si="7"/>
        <v>0.19452672531942572</v>
      </c>
    </row>
    <row r="70" spans="1:9" x14ac:dyDescent="0.3">
      <c r="A70" t="s">
        <v>33</v>
      </c>
      <c r="B70" s="28">
        <f t="shared" si="5"/>
        <v>44774</v>
      </c>
      <c r="C70">
        <v>2022</v>
      </c>
      <c r="D70" t="s">
        <v>40</v>
      </c>
      <c r="E70">
        <f>VLOOKUP(D70,'Problem Statement 4'!$G$2:$H$13,2,0)</f>
        <v>8</v>
      </c>
      <c r="F70">
        <v>2269.2000000000003</v>
      </c>
      <c r="G70" t="s">
        <v>47</v>
      </c>
      <c r="H70" t="str">
        <f t="shared" si="6"/>
        <v>Post Covid</v>
      </c>
      <c r="I70" s="50">
        <f t="shared" si="7"/>
        <v>0.12796187618585758</v>
      </c>
    </row>
    <row r="71" spans="1:9" x14ac:dyDescent="0.3">
      <c r="A71" t="s">
        <v>33</v>
      </c>
      <c r="B71" s="28">
        <f t="shared" si="5"/>
        <v>44805</v>
      </c>
      <c r="C71">
        <v>2022</v>
      </c>
      <c r="D71" t="s">
        <v>41</v>
      </c>
      <c r="E71">
        <f>VLOOKUP(D71,'Problem Statement 4'!$G$2:$H$13,2,0)</f>
        <v>9</v>
      </c>
      <c r="F71">
        <v>2280.9</v>
      </c>
      <c r="G71" t="s">
        <v>47</v>
      </c>
      <c r="H71" t="str">
        <f t="shared" si="6"/>
        <v>Post Covid</v>
      </c>
      <c r="I71" s="50">
        <f t="shared" si="7"/>
        <v>0.51560021152828384</v>
      </c>
    </row>
    <row r="72" spans="1:9" x14ac:dyDescent="0.3">
      <c r="A72" t="s">
        <v>33</v>
      </c>
      <c r="B72" s="28">
        <f t="shared" si="5"/>
        <v>44835</v>
      </c>
      <c r="C72">
        <v>2022</v>
      </c>
      <c r="D72" t="s">
        <v>42</v>
      </c>
      <c r="E72">
        <f>VLOOKUP(D72,'Problem Statement 4'!$G$2:$H$13,2,0)</f>
        <v>10</v>
      </c>
      <c r="F72">
        <v>2297.3000000000002</v>
      </c>
      <c r="G72" t="s">
        <v>47</v>
      </c>
      <c r="H72" t="str">
        <f t="shared" si="6"/>
        <v>Post Covid</v>
      </c>
      <c r="I72" s="50">
        <f t="shared" si="7"/>
        <v>0.7190144241308295</v>
      </c>
    </row>
    <row r="73" spans="1:9" x14ac:dyDescent="0.3">
      <c r="A73" t="s">
        <v>33</v>
      </c>
      <c r="B73" s="28">
        <f t="shared" si="5"/>
        <v>44866</v>
      </c>
      <c r="C73">
        <v>2022</v>
      </c>
      <c r="D73" t="s">
        <v>44</v>
      </c>
      <c r="E73">
        <f>VLOOKUP(D73,'Problem Statement 4'!$G$2:$H$13,2,0)</f>
        <v>11</v>
      </c>
      <c r="F73">
        <v>2296.8000000000002</v>
      </c>
      <c r="G73" t="s">
        <v>47</v>
      </c>
      <c r="H73" t="str">
        <f t="shared" si="6"/>
        <v>Post Covid</v>
      </c>
      <c r="I73" s="50">
        <f t="shared" si="7"/>
        <v>-2.1764680276846731E-2</v>
      </c>
    </row>
    <row r="74" spans="1:9" x14ac:dyDescent="0.3">
      <c r="A74" t="s">
        <v>33</v>
      </c>
      <c r="B74" s="28">
        <f t="shared" si="5"/>
        <v>44896</v>
      </c>
      <c r="C74">
        <v>2022</v>
      </c>
      <c r="D74" t="s">
        <v>45</v>
      </c>
      <c r="E74">
        <f>VLOOKUP(D74,'Problem Statement 4'!$G$2:$H$13,2,0)</f>
        <v>12</v>
      </c>
      <c r="F74">
        <v>2283.4</v>
      </c>
      <c r="G74" t="s">
        <v>47</v>
      </c>
      <c r="H74" t="str">
        <f t="shared" si="6"/>
        <v>Post Covid</v>
      </c>
      <c r="I74" s="50">
        <f t="shared" si="7"/>
        <v>-0.58342041100662179</v>
      </c>
    </row>
    <row r="75" spans="1:9" x14ac:dyDescent="0.3">
      <c r="A75" t="s">
        <v>33</v>
      </c>
      <c r="B75" s="28">
        <f t="shared" si="5"/>
        <v>44927</v>
      </c>
      <c r="C75">
        <v>2023</v>
      </c>
      <c r="D75" t="s">
        <v>31</v>
      </c>
      <c r="E75">
        <f>VLOOKUP(D75,'Problem Statement 4'!$G$2:$H$13,2,0)</f>
        <v>1</v>
      </c>
      <c r="F75">
        <v>2292.6999999999998</v>
      </c>
      <c r="G75" t="s">
        <v>47</v>
      </c>
      <c r="H75" t="str">
        <f t="shared" si="6"/>
        <v>Post Covid</v>
      </c>
      <c r="I75" s="50">
        <f t="shared" si="7"/>
        <v>0.40728737847068963</v>
      </c>
    </row>
    <row r="76" spans="1:9" x14ac:dyDescent="0.3">
      <c r="A76" t="s">
        <v>33</v>
      </c>
      <c r="B76" s="28">
        <f t="shared" si="5"/>
        <v>44958</v>
      </c>
      <c r="C76">
        <v>2023</v>
      </c>
      <c r="D76" t="s">
        <v>34</v>
      </c>
      <c r="E76">
        <f>VLOOKUP(D76,'Problem Statement 4'!$G$2:$H$13,2,0)</f>
        <v>2</v>
      </c>
      <c r="F76">
        <v>2279.1</v>
      </c>
      <c r="G76" t="s">
        <v>47</v>
      </c>
      <c r="H76" t="str">
        <f t="shared" si="6"/>
        <v>Post Covid</v>
      </c>
      <c r="I76" s="50">
        <f t="shared" si="7"/>
        <v>-0.59318707201116194</v>
      </c>
    </row>
    <row r="77" spans="1:9" x14ac:dyDescent="0.3">
      <c r="A77" t="s">
        <v>33</v>
      </c>
      <c r="B77" s="28">
        <f t="shared" si="5"/>
        <v>44986</v>
      </c>
      <c r="C77">
        <v>2023</v>
      </c>
      <c r="D77" t="s">
        <v>35</v>
      </c>
      <c r="E77">
        <f>VLOOKUP(D77,'Problem Statement 4'!$G$2:$H$13,2,0)</f>
        <v>3</v>
      </c>
      <c r="F77">
        <v>2279.1999999999998</v>
      </c>
      <c r="G77" t="s">
        <v>47</v>
      </c>
      <c r="H77" t="str">
        <f t="shared" si="6"/>
        <v>Post Covid</v>
      </c>
      <c r="I77" s="50">
        <f t="shared" si="7"/>
        <v>4.3876968978943031E-3</v>
      </c>
    </row>
    <row r="78" spans="1:9" x14ac:dyDescent="0.3">
      <c r="A78" t="s">
        <v>33</v>
      </c>
      <c r="B78" s="28">
        <f t="shared" si="5"/>
        <v>45017</v>
      </c>
      <c r="C78">
        <v>2023</v>
      </c>
      <c r="D78" t="s">
        <v>36</v>
      </c>
      <c r="E78">
        <f>VLOOKUP(D78,'Problem Statement 4'!$G$2:$H$13,2,0)</f>
        <v>4</v>
      </c>
      <c r="F78">
        <v>2289.6000000000004</v>
      </c>
      <c r="G78" t="s">
        <v>47</v>
      </c>
      <c r="H78" t="str">
        <f t="shared" si="6"/>
        <v>Post Covid</v>
      </c>
      <c r="I78" s="50">
        <f t="shared" si="7"/>
        <v>0.45630045630048033</v>
      </c>
    </row>
    <row r="79" spans="1:9" x14ac:dyDescent="0.3">
      <c r="A79" t="s">
        <v>33</v>
      </c>
      <c r="B79" s="28">
        <f t="shared" si="5"/>
        <v>45047</v>
      </c>
      <c r="C79">
        <v>2023</v>
      </c>
      <c r="D79" t="s">
        <v>37</v>
      </c>
      <c r="E79">
        <f>VLOOKUP(D79,'Problem Statement 4'!$G$2:$H$13,2,0)</f>
        <v>5</v>
      </c>
      <c r="F79">
        <v>2306.9</v>
      </c>
      <c r="G79" t="s">
        <v>47</v>
      </c>
      <c r="H79" t="str">
        <f t="shared" si="6"/>
        <v>Post Covid</v>
      </c>
      <c r="I79" s="50">
        <f t="shared" si="7"/>
        <v>0.75559049615652185</v>
      </c>
    </row>
    <row r="80" spans="1:9" x14ac:dyDescent="0.3">
      <c r="A80" t="s">
        <v>33</v>
      </c>
      <c r="B80" s="28">
        <f t="shared" ref="B80:B97" si="8">DATE(C80,E80,1)</f>
        <v>42675</v>
      </c>
      <c r="C80">
        <v>2016</v>
      </c>
      <c r="D80" t="s">
        <v>44</v>
      </c>
      <c r="E80">
        <f>VLOOKUP(D80,'Problem Statement 4'!$G$2:$H$13,2,0)</f>
        <v>11</v>
      </c>
      <c r="F80">
        <v>125</v>
      </c>
      <c r="G80" t="s">
        <v>90</v>
      </c>
      <c r="H80" t="str">
        <f t="shared" si="6"/>
        <v>PreCovid</v>
      </c>
      <c r="I80" s="50">
        <v>0</v>
      </c>
    </row>
    <row r="81" spans="1:9" x14ac:dyDescent="0.3">
      <c r="A81" t="s">
        <v>33</v>
      </c>
      <c r="B81" s="28">
        <f t="shared" si="8"/>
        <v>42705</v>
      </c>
      <c r="C81">
        <v>2016</v>
      </c>
      <c r="D81" t="s">
        <v>45</v>
      </c>
      <c r="E81">
        <f>VLOOKUP(D81,'Problem Statement 4'!$G$2:$H$13,2,0)</f>
        <v>12</v>
      </c>
      <c r="F81">
        <v>126.6</v>
      </c>
      <c r="G81" t="s">
        <v>90</v>
      </c>
      <c r="H81" t="str">
        <f t="shared" si="6"/>
        <v>PreCovid</v>
      </c>
      <c r="I81" s="50">
        <f>(F81-F80)/F80*100</f>
        <v>1.2799999999999954</v>
      </c>
    </row>
    <row r="82" spans="1:9" x14ac:dyDescent="0.3">
      <c r="A82" t="s">
        <v>33</v>
      </c>
      <c r="B82" s="28">
        <f t="shared" si="8"/>
        <v>42736</v>
      </c>
      <c r="C82">
        <v>2017</v>
      </c>
      <c r="D82" t="s">
        <v>31</v>
      </c>
      <c r="E82">
        <f>VLOOKUP(D82,'Problem Statement 4'!$G$2:$H$13,2,0)</f>
        <v>1</v>
      </c>
      <c r="F82">
        <v>126.8</v>
      </c>
      <c r="G82" t="s">
        <v>90</v>
      </c>
      <c r="H82" t="str">
        <f t="shared" si="6"/>
        <v>PreCovid</v>
      </c>
      <c r="I82" s="50">
        <f t="shared" ref="I82:I145" si="9">(F82-F81)/F81*100</f>
        <v>0.15797788309636876</v>
      </c>
    </row>
    <row r="83" spans="1:9" x14ac:dyDescent="0.3">
      <c r="A83" t="s">
        <v>33</v>
      </c>
      <c r="B83" s="28">
        <f t="shared" si="8"/>
        <v>42767</v>
      </c>
      <c r="C83">
        <v>2017</v>
      </c>
      <c r="D83" t="s">
        <v>34</v>
      </c>
      <c r="E83">
        <f>VLOOKUP(D83,'Problem Statement 4'!$G$2:$H$13,2,0)</f>
        <v>2</v>
      </c>
      <c r="F83">
        <v>127.9</v>
      </c>
      <c r="G83" t="s">
        <v>90</v>
      </c>
      <c r="H83" t="str">
        <f t="shared" si="6"/>
        <v>PreCovid</v>
      </c>
      <c r="I83" s="50">
        <f t="shared" si="9"/>
        <v>0.86750788643533794</v>
      </c>
    </row>
    <row r="84" spans="1:9" x14ac:dyDescent="0.3">
      <c r="A84" t="s">
        <v>33</v>
      </c>
      <c r="B84" s="28">
        <f t="shared" si="8"/>
        <v>42795</v>
      </c>
      <c r="C84">
        <v>2017</v>
      </c>
      <c r="D84" t="s">
        <v>35</v>
      </c>
      <c r="E84">
        <f>VLOOKUP(D84,'Problem Statement 4'!$G$2:$H$13,2,0)</f>
        <v>3</v>
      </c>
      <c r="F84">
        <v>129.1</v>
      </c>
      <c r="G84" t="s">
        <v>90</v>
      </c>
      <c r="H84" t="str">
        <f t="shared" si="6"/>
        <v>PreCovid</v>
      </c>
      <c r="I84" s="50">
        <f t="shared" si="9"/>
        <v>0.93823299452696529</v>
      </c>
    </row>
    <row r="85" spans="1:9" x14ac:dyDescent="0.3">
      <c r="A85" t="s">
        <v>33</v>
      </c>
      <c r="B85" s="28">
        <f t="shared" si="8"/>
        <v>42826</v>
      </c>
      <c r="C85">
        <v>2017</v>
      </c>
      <c r="D85" t="s">
        <v>36</v>
      </c>
      <c r="E85">
        <f>VLOOKUP(D85,'Problem Statement 4'!$G$2:$H$13,2,0)</f>
        <v>4</v>
      </c>
      <c r="F85">
        <v>129.80000000000001</v>
      </c>
      <c r="G85" t="s">
        <v>90</v>
      </c>
      <c r="H85" t="str">
        <f t="shared" si="6"/>
        <v>PreCovid</v>
      </c>
      <c r="I85" s="50">
        <f t="shared" si="9"/>
        <v>0.54221533694811552</v>
      </c>
    </row>
    <row r="86" spans="1:9" x14ac:dyDescent="0.3">
      <c r="A86" t="s">
        <v>33</v>
      </c>
      <c r="B86" s="28">
        <f t="shared" si="8"/>
        <v>42856</v>
      </c>
      <c r="C86">
        <v>2017</v>
      </c>
      <c r="D86" t="s">
        <v>37</v>
      </c>
      <c r="E86">
        <f>VLOOKUP(D86,'Problem Statement 4'!$G$2:$H$13,2,0)</f>
        <v>5</v>
      </c>
      <c r="F86">
        <v>129.4</v>
      </c>
      <c r="G86" t="s">
        <v>90</v>
      </c>
      <c r="H86" t="str">
        <f t="shared" si="6"/>
        <v>PreCovid</v>
      </c>
      <c r="I86" s="50">
        <f t="shared" si="9"/>
        <v>-0.30816640986132948</v>
      </c>
    </row>
    <row r="87" spans="1:9" x14ac:dyDescent="0.3">
      <c r="A87" t="s">
        <v>33</v>
      </c>
      <c r="B87" s="28">
        <f t="shared" si="8"/>
        <v>42887</v>
      </c>
      <c r="C87">
        <v>2017</v>
      </c>
      <c r="D87" t="s">
        <v>38</v>
      </c>
      <c r="E87">
        <f>VLOOKUP(D87,'Problem Statement 4'!$G$2:$H$13,2,0)</f>
        <v>6</v>
      </c>
      <c r="F87">
        <v>128.80000000000001</v>
      </c>
      <c r="G87" t="s">
        <v>90</v>
      </c>
      <c r="H87" t="str">
        <f t="shared" si="6"/>
        <v>PreCovid</v>
      </c>
      <c r="I87" s="50">
        <f t="shared" si="9"/>
        <v>-0.46367851622874362</v>
      </c>
    </row>
    <row r="88" spans="1:9" x14ac:dyDescent="0.3">
      <c r="A88" t="s">
        <v>33</v>
      </c>
      <c r="B88" s="28">
        <f t="shared" si="8"/>
        <v>42917</v>
      </c>
      <c r="C88">
        <v>2017</v>
      </c>
      <c r="D88" t="s">
        <v>39</v>
      </c>
      <c r="E88">
        <f>VLOOKUP(D88,'Problem Statement 4'!$G$2:$H$13,2,0)</f>
        <v>7</v>
      </c>
      <c r="F88">
        <v>129.4</v>
      </c>
      <c r="G88" t="s">
        <v>90</v>
      </c>
      <c r="H88" t="str">
        <f t="shared" si="6"/>
        <v>PreCovid</v>
      </c>
      <c r="I88" s="50">
        <f t="shared" si="9"/>
        <v>0.46583850931676579</v>
      </c>
    </row>
    <row r="89" spans="1:9" x14ac:dyDescent="0.3">
      <c r="A89" t="s">
        <v>33</v>
      </c>
      <c r="B89" s="28">
        <f t="shared" si="8"/>
        <v>42948</v>
      </c>
      <c r="C89">
        <v>2017</v>
      </c>
      <c r="D89" t="s">
        <v>40</v>
      </c>
      <c r="E89">
        <f>VLOOKUP(D89,'Problem Statement 4'!$G$2:$H$13,2,0)</f>
        <v>8</v>
      </c>
      <c r="F89">
        <v>129.80000000000001</v>
      </c>
      <c r="G89" t="s">
        <v>90</v>
      </c>
      <c r="H89" t="str">
        <f t="shared" si="6"/>
        <v>PreCovid</v>
      </c>
      <c r="I89" s="50">
        <f t="shared" si="9"/>
        <v>0.30911901081916976</v>
      </c>
    </row>
    <row r="90" spans="1:9" x14ac:dyDescent="0.3">
      <c r="A90" t="s">
        <v>33</v>
      </c>
      <c r="B90" s="28">
        <f t="shared" si="8"/>
        <v>42979</v>
      </c>
      <c r="C90">
        <v>2017</v>
      </c>
      <c r="D90" t="s">
        <v>41</v>
      </c>
      <c r="E90">
        <f>VLOOKUP(D90,'Problem Statement 4'!$G$2:$H$13,2,0)</f>
        <v>9</v>
      </c>
      <c r="F90">
        <v>131</v>
      </c>
      <c r="G90" t="s">
        <v>90</v>
      </c>
      <c r="H90" t="str">
        <f t="shared" si="6"/>
        <v>PreCovid</v>
      </c>
      <c r="I90" s="50">
        <f t="shared" si="9"/>
        <v>0.92449922958396658</v>
      </c>
    </row>
    <row r="91" spans="1:9" x14ac:dyDescent="0.3">
      <c r="A91" t="s">
        <v>33</v>
      </c>
      <c r="B91" s="28">
        <f t="shared" si="8"/>
        <v>43009</v>
      </c>
      <c r="C91">
        <v>2017</v>
      </c>
      <c r="D91" t="s">
        <v>42</v>
      </c>
      <c r="E91">
        <f>VLOOKUP(D91,'Problem Statement 4'!$G$2:$H$13,2,0)</f>
        <v>10</v>
      </c>
      <c r="F91">
        <v>132.19999999999999</v>
      </c>
      <c r="G91" t="s">
        <v>90</v>
      </c>
      <c r="H91" t="str">
        <f t="shared" si="6"/>
        <v>PreCovid</v>
      </c>
      <c r="I91" s="50">
        <f t="shared" si="9"/>
        <v>0.91603053435113635</v>
      </c>
    </row>
    <row r="92" spans="1:9" x14ac:dyDescent="0.3">
      <c r="A92" t="s">
        <v>33</v>
      </c>
      <c r="B92" s="28">
        <f t="shared" si="8"/>
        <v>43040</v>
      </c>
      <c r="C92">
        <v>2017</v>
      </c>
      <c r="D92" t="s">
        <v>44</v>
      </c>
      <c r="E92">
        <f>VLOOKUP(D92,'Problem Statement 4'!$G$2:$H$13,2,0)</f>
        <v>11</v>
      </c>
      <c r="F92">
        <v>135.30000000000001</v>
      </c>
      <c r="G92" t="s">
        <v>90</v>
      </c>
      <c r="H92" t="str">
        <f t="shared" si="6"/>
        <v>PreCovid</v>
      </c>
      <c r="I92" s="50">
        <f t="shared" si="9"/>
        <v>2.3449319213313338</v>
      </c>
    </row>
    <row r="93" spans="1:9" x14ac:dyDescent="0.3">
      <c r="A93" t="s">
        <v>33</v>
      </c>
      <c r="B93" s="28">
        <f t="shared" si="8"/>
        <v>43070</v>
      </c>
      <c r="C93">
        <v>2017</v>
      </c>
      <c r="D93" t="s">
        <v>45</v>
      </c>
      <c r="E93">
        <f>VLOOKUP(D93,'Problem Statement 4'!$G$2:$H$13,2,0)</f>
        <v>12</v>
      </c>
      <c r="F93">
        <v>136.6</v>
      </c>
      <c r="G93" t="s">
        <v>90</v>
      </c>
      <c r="H93" t="str">
        <f t="shared" si="6"/>
        <v>PreCovid</v>
      </c>
      <c r="I93" s="50">
        <f t="shared" si="9"/>
        <v>0.96082779009607</v>
      </c>
    </row>
    <row r="94" spans="1:9" x14ac:dyDescent="0.3">
      <c r="A94" t="s">
        <v>33</v>
      </c>
      <c r="B94" s="28">
        <f t="shared" si="8"/>
        <v>43101</v>
      </c>
      <c r="C94">
        <v>2018</v>
      </c>
      <c r="D94" t="s">
        <v>31</v>
      </c>
      <c r="E94">
        <f>VLOOKUP(D94,'Problem Statement 4'!$G$2:$H$13,2,0)</f>
        <v>1</v>
      </c>
      <c r="F94">
        <v>136.6</v>
      </c>
      <c r="G94" t="s">
        <v>90</v>
      </c>
      <c r="H94" t="str">
        <f t="shared" si="6"/>
        <v>PreCovid</v>
      </c>
      <c r="I94" s="50">
        <f t="shared" si="9"/>
        <v>0</v>
      </c>
    </row>
    <row r="95" spans="1:9" x14ac:dyDescent="0.3">
      <c r="A95" t="s">
        <v>33</v>
      </c>
      <c r="B95" s="28">
        <f t="shared" si="8"/>
        <v>43132</v>
      </c>
      <c r="C95">
        <v>2018</v>
      </c>
      <c r="D95" t="s">
        <v>34</v>
      </c>
      <c r="E95">
        <f>VLOOKUP(D95,'Problem Statement 4'!$G$2:$H$13,2,0)</f>
        <v>2</v>
      </c>
      <c r="F95">
        <v>136.69999999999999</v>
      </c>
      <c r="G95" t="s">
        <v>90</v>
      </c>
      <c r="H95" t="str">
        <f t="shared" si="6"/>
        <v>PreCovid</v>
      </c>
      <c r="I95" s="50">
        <f t="shared" si="9"/>
        <v>7.3206442166906527E-2</v>
      </c>
    </row>
    <row r="96" spans="1:9" x14ac:dyDescent="0.3">
      <c r="A96" t="s">
        <v>33</v>
      </c>
      <c r="B96" s="28">
        <f t="shared" si="8"/>
        <v>43160</v>
      </c>
      <c r="C96">
        <v>2018</v>
      </c>
      <c r="D96" t="s">
        <v>35</v>
      </c>
      <c r="E96">
        <f>VLOOKUP(D96,'Problem Statement 4'!$G$2:$H$13,2,0)</f>
        <v>3</v>
      </c>
      <c r="F96">
        <v>136.5</v>
      </c>
      <c r="G96" t="s">
        <v>90</v>
      </c>
      <c r="H96" t="str">
        <f t="shared" si="6"/>
        <v>PreCovid</v>
      </c>
      <c r="I96" s="50">
        <f t="shared" si="9"/>
        <v>-0.14630577907826528</v>
      </c>
    </row>
    <row r="97" spans="1:9" x14ac:dyDescent="0.3">
      <c r="A97" t="s">
        <v>33</v>
      </c>
      <c r="B97" s="28">
        <f t="shared" si="8"/>
        <v>43191</v>
      </c>
      <c r="C97">
        <v>2018</v>
      </c>
      <c r="D97" t="s">
        <v>36</v>
      </c>
      <c r="E97">
        <f>VLOOKUP(D97,'Problem Statement 4'!$G$2:$H$13,2,0)</f>
        <v>4</v>
      </c>
      <c r="F97">
        <v>136.5</v>
      </c>
      <c r="G97" t="s">
        <v>90</v>
      </c>
      <c r="H97" t="str">
        <f t="shared" si="6"/>
        <v>PreCovid</v>
      </c>
      <c r="I97" s="50">
        <f t="shared" si="9"/>
        <v>0</v>
      </c>
    </row>
    <row r="98" spans="1:9" x14ac:dyDescent="0.3">
      <c r="A98" t="s">
        <v>33</v>
      </c>
      <c r="B98" s="28">
        <f t="shared" ref="B98:B118" si="10">DATE(C98,E98,1)</f>
        <v>43221</v>
      </c>
      <c r="C98">
        <v>2018</v>
      </c>
      <c r="D98" t="s">
        <v>37</v>
      </c>
      <c r="E98">
        <f>VLOOKUP(D98,'Problem Statement 4'!$G$2:$H$13,2,0)</f>
        <v>5</v>
      </c>
      <c r="F98">
        <v>136.9</v>
      </c>
      <c r="G98" t="s">
        <v>90</v>
      </c>
      <c r="H98" t="str">
        <f t="shared" si="6"/>
        <v>PreCovid</v>
      </c>
      <c r="I98" s="50">
        <f t="shared" si="9"/>
        <v>0.29304029304029722</v>
      </c>
    </row>
    <row r="99" spans="1:9" x14ac:dyDescent="0.3">
      <c r="A99" t="s">
        <v>33</v>
      </c>
      <c r="B99" s="28">
        <f t="shared" si="10"/>
        <v>43252</v>
      </c>
      <c r="C99">
        <v>2018</v>
      </c>
      <c r="D99" t="s">
        <v>38</v>
      </c>
      <c r="E99">
        <f>VLOOKUP(D99,'Problem Statement 4'!$G$2:$H$13,2,0)</f>
        <v>6</v>
      </c>
      <c r="F99">
        <v>138.1</v>
      </c>
      <c r="G99" t="s">
        <v>90</v>
      </c>
      <c r="H99" t="str">
        <f t="shared" si="6"/>
        <v>PreCovid</v>
      </c>
      <c r="I99" s="50">
        <f t="shared" si="9"/>
        <v>0.8765522279035709</v>
      </c>
    </row>
    <row r="100" spans="1:9" x14ac:dyDescent="0.3">
      <c r="A100" t="s">
        <v>33</v>
      </c>
      <c r="B100" s="28">
        <f t="shared" si="10"/>
        <v>43282</v>
      </c>
      <c r="C100">
        <v>2018</v>
      </c>
      <c r="D100" t="s">
        <v>39</v>
      </c>
      <c r="E100">
        <f>VLOOKUP(D100,'Problem Statement 4'!$G$2:$H$13,2,0)</f>
        <v>7</v>
      </c>
      <c r="F100">
        <v>139.69999999999999</v>
      </c>
      <c r="G100" t="s">
        <v>90</v>
      </c>
      <c r="H100" t="str">
        <f t="shared" si="6"/>
        <v>PreCovid</v>
      </c>
      <c r="I100" s="50">
        <f t="shared" si="9"/>
        <v>1.1585807385952167</v>
      </c>
    </row>
    <row r="101" spans="1:9" x14ac:dyDescent="0.3">
      <c r="A101" t="s">
        <v>33</v>
      </c>
      <c r="B101" s="28">
        <f t="shared" si="10"/>
        <v>43313</v>
      </c>
      <c r="C101">
        <v>2018</v>
      </c>
      <c r="D101" t="s">
        <v>40</v>
      </c>
      <c r="E101">
        <f>VLOOKUP(D101,'Problem Statement 4'!$G$2:$H$13,2,0)</f>
        <v>8</v>
      </c>
      <c r="F101">
        <v>140.9</v>
      </c>
      <c r="G101" t="s">
        <v>90</v>
      </c>
      <c r="H101" t="str">
        <f t="shared" si="6"/>
        <v>PreCovid</v>
      </c>
      <c r="I101" s="50">
        <f t="shared" si="9"/>
        <v>0.85898353614890266</v>
      </c>
    </row>
    <row r="102" spans="1:9" x14ac:dyDescent="0.3">
      <c r="A102" t="s">
        <v>33</v>
      </c>
      <c r="B102" s="28">
        <f t="shared" si="10"/>
        <v>43344</v>
      </c>
      <c r="C102">
        <v>2018</v>
      </c>
      <c r="D102" t="s">
        <v>41</v>
      </c>
      <c r="E102">
        <f>VLOOKUP(D102,'Problem Statement 4'!$G$2:$H$13,2,0)</f>
        <v>9</v>
      </c>
      <c r="F102">
        <v>142.30000000000001</v>
      </c>
      <c r="G102" t="s">
        <v>90</v>
      </c>
      <c r="H102" t="str">
        <f t="shared" si="6"/>
        <v>PreCovid</v>
      </c>
      <c r="I102" s="50">
        <f t="shared" si="9"/>
        <v>0.99361249112846395</v>
      </c>
    </row>
    <row r="103" spans="1:9" x14ac:dyDescent="0.3">
      <c r="A103" t="s">
        <v>33</v>
      </c>
      <c r="B103" s="28">
        <f t="shared" si="10"/>
        <v>43374</v>
      </c>
      <c r="C103">
        <v>2018</v>
      </c>
      <c r="D103" t="s">
        <v>42</v>
      </c>
      <c r="E103">
        <f>VLOOKUP(D103,'Problem Statement 4'!$G$2:$H$13,2,0)</f>
        <v>10</v>
      </c>
      <c r="F103">
        <v>145.30000000000001</v>
      </c>
      <c r="G103" t="s">
        <v>90</v>
      </c>
      <c r="H103" t="str">
        <f t="shared" si="6"/>
        <v>PreCovid</v>
      </c>
      <c r="I103" s="50">
        <f t="shared" si="9"/>
        <v>2.1082220660576247</v>
      </c>
    </row>
    <row r="104" spans="1:9" x14ac:dyDescent="0.3">
      <c r="A104" t="s">
        <v>33</v>
      </c>
      <c r="B104" s="28">
        <f t="shared" si="10"/>
        <v>43405</v>
      </c>
      <c r="C104">
        <v>2018</v>
      </c>
      <c r="D104" t="s">
        <v>44</v>
      </c>
      <c r="E104">
        <f>VLOOKUP(D104,'Problem Statement 4'!$G$2:$H$13,2,0)</f>
        <v>11</v>
      </c>
      <c r="F104">
        <v>145.1</v>
      </c>
      <c r="G104" t="s">
        <v>90</v>
      </c>
      <c r="H104" t="str">
        <f t="shared" si="6"/>
        <v>PreCovid</v>
      </c>
      <c r="I104" s="50">
        <f t="shared" si="9"/>
        <v>-0.13764624913972268</v>
      </c>
    </row>
    <row r="105" spans="1:9" x14ac:dyDescent="0.3">
      <c r="A105" t="s">
        <v>33</v>
      </c>
      <c r="B105" s="28">
        <f t="shared" si="10"/>
        <v>43435</v>
      </c>
      <c r="C105">
        <v>2018</v>
      </c>
      <c r="D105" t="s">
        <v>45</v>
      </c>
      <c r="E105">
        <f>VLOOKUP(D105,'Problem Statement 4'!$G$2:$H$13,2,0)</f>
        <v>12</v>
      </c>
      <c r="F105">
        <v>142.69999999999999</v>
      </c>
      <c r="G105" t="s">
        <v>90</v>
      </c>
      <c r="H105" t="str">
        <f t="shared" si="6"/>
        <v>PreCovid</v>
      </c>
      <c r="I105" s="50">
        <f t="shared" si="9"/>
        <v>-1.6540317022742976</v>
      </c>
    </row>
    <row r="106" spans="1:9" x14ac:dyDescent="0.3">
      <c r="A106" t="s">
        <v>33</v>
      </c>
      <c r="B106" s="28">
        <f t="shared" si="10"/>
        <v>43466</v>
      </c>
      <c r="C106">
        <v>2019</v>
      </c>
      <c r="D106" t="s">
        <v>31</v>
      </c>
      <c r="E106">
        <f>VLOOKUP(D106,'Problem Statement 4'!$G$2:$H$13,2,0)</f>
        <v>1</v>
      </c>
      <c r="F106">
        <v>139.5</v>
      </c>
      <c r="G106" t="s">
        <v>90</v>
      </c>
      <c r="H106" t="str">
        <f t="shared" si="6"/>
        <v>PreCovid</v>
      </c>
      <c r="I106" s="50">
        <f t="shared" si="9"/>
        <v>-2.2424667133847156</v>
      </c>
    </row>
    <row r="107" spans="1:9" x14ac:dyDescent="0.3">
      <c r="A107" t="s">
        <v>33</v>
      </c>
      <c r="B107" s="28">
        <f t="shared" si="10"/>
        <v>43497</v>
      </c>
      <c r="C107">
        <v>2019</v>
      </c>
      <c r="D107" t="s">
        <v>34</v>
      </c>
      <c r="E107">
        <f>VLOOKUP(D107,'Problem Statement 4'!$G$2:$H$13,2,0)</f>
        <v>2</v>
      </c>
      <c r="F107">
        <v>138.4</v>
      </c>
      <c r="G107" t="s">
        <v>90</v>
      </c>
      <c r="H107" t="str">
        <f t="shared" si="6"/>
        <v>PreCovid</v>
      </c>
      <c r="I107" s="50">
        <f t="shared" si="9"/>
        <v>-0.78853046594981668</v>
      </c>
    </row>
    <row r="108" spans="1:9" x14ac:dyDescent="0.3">
      <c r="A108" t="s">
        <v>33</v>
      </c>
      <c r="B108" s="28">
        <f t="shared" si="10"/>
        <v>43525</v>
      </c>
      <c r="C108">
        <v>2019</v>
      </c>
      <c r="D108" t="s">
        <v>35</v>
      </c>
      <c r="E108">
        <f>VLOOKUP(D108,'Problem Statement 4'!$G$2:$H$13,2,0)</f>
        <v>3</v>
      </c>
      <c r="F108">
        <v>139.69999999999999</v>
      </c>
      <c r="G108" t="s">
        <v>90</v>
      </c>
      <c r="H108" t="str">
        <f t="shared" si="6"/>
        <v>PreCovid</v>
      </c>
      <c r="I108" s="50">
        <f t="shared" si="9"/>
        <v>0.93930635838149046</v>
      </c>
    </row>
    <row r="109" spans="1:9" x14ac:dyDescent="0.3">
      <c r="A109" t="s">
        <v>33</v>
      </c>
      <c r="B109" s="28">
        <f t="shared" si="10"/>
        <v>43586</v>
      </c>
      <c r="C109">
        <v>2019</v>
      </c>
      <c r="D109" t="s">
        <v>37</v>
      </c>
      <c r="E109">
        <f>VLOOKUP(D109,'Problem Statement 4'!$G$2:$H$13,2,0)</f>
        <v>5</v>
      </c>
      <c r="F109">
        <v>140.30000000000001</v>
      </c>
      <c r="G109" t="s">
        <v>90</v>
      </c>
      <c r="H109" t="str">
        <f t="shared" si="6"/>
        <v>PreCovid</v>
      </c>
      <c r="I109" s="50">
        <f t="shared" si="9"/>
        <v>0.42949176807446154</v>
      </c>
    </row>
    <row r="110" spans="1:9" x14ac:dyDescent="0.3">
      <c r="A110" t="s">
        <v>33</v>
      </c>
      <c r="B110" s="28">
        <f t="shared" si="10"/>
        <v>43617</v>
      </c>
      <c r="C110">
        <v>2019</v>
      </c>
      <c r="D110" t="s">
        <v>38</v>
      </c>
      <c r="E110">
        <f>VLOOKUP(D110,'Problem Statement 4'!$G$2:$H$13,2,0)</f>
        <v>6</v>
      </c>
      <c r="F110">
        <v>141.19999999999999</v>
      </c>
      <c r="G110" t="s">
        <v>90</v>
      </c>
      <c r="H110" t="str">
        <f t="shared" si="6"/>
        <v>PreCovid</v>
      </c>
      <c r="I110" s="50">
        <f t="shared" si="9"/>
        <v>0.64148253741979844</v>
      </c>
    </row>
    <row r="111" spans="1:9" x14ac:dyDescent="0.3">
      <c r="A111" t="s">
        <v>33</v>
      </c>
      <c r="B111" s="28">
        <f t="shared" si="10"/>
        <v>43647</v>
      </c>
      <c r="C111">
        <v>2019</v>
      </c>
      <c r="D111" t="s">
        <v>39</v>
      </c>
      <c r="E111">
        <f>VLOOKUP(D111,'Problem Statement 4'!$G$2:$H$13,2,0)</f>
        <v>7</v>
      </c>
      <c r="F111">
        <v>139.30000000000001</v>
      </c>
      <c r="G111" t="s">
        <v>90</v>
      </c>
      <c r="H111" t="str">
        <f t="shared" si="6"/>
        <v>PreCovid</v>
      </c>
      <c r="I111" s="50">
        <f t="shared" si="9"/>
        <v>-1.3456090651557915</v>
      </c>
    </row>
    <row r="112" spans="1:9" x14ac:dyDescent="0.3">
      <c r="A112" t="s">
        <v>33</v>
      </c>
      <c r="B112" s="28">
        <f t="shared" si="10"/>
        <v>43678</v>
      </c>
      <c r="C112">
        <v>2019</v>
      </c>
      <c r="D112" t="s">
        <v>40</v>
      </c>
      <c r="E112">
        <f>VLOOKUP(D112,'Problem Statement 4'!$G$2:$H$13,2,0)</f>
        <v>8</v>
      </c>
      <c r="F112">
        <v>138.5</v>
      </c>
      <c r="G112" t="s">
        <v>90</v>
      </c>
      <c r="H112" t="str">
        <f t="shared" si="6"/>
        <v>PreCovid</v>
      </c>
      <c r="I112" s="50">
        <f t="shared" si="9"/>
        <v>-0.57430007178751707</v>
      </c>
    </row>
    <row r="113" spans="1:9" x14ac:dyDescent="0.3">
      <c r="A113" t="s">
        <v>33</v>
      </c>
      <c r="B113" s="28">
        <f t="shared" si="10"/>
        <v>43709</v>
      </c>
      <c r="C113">
        <v>2019</v>
      </c>
      <c r="D113" t="s">
        <v>41</v>
      </c>
      <c r="E113">
        <f>VLOOKUP(D113,'Problem Statement 4'!$G$2:$H$13,2,0)</f>
        <v>9</v>
      </c>
      <c r="F113">
        <v>139.19999999999999</v>
      </c>
      <c r="G113" t="s">
        <v>90</v>
      </c>
      <c r="H113" t="str">
        <f t="shared" si="6"/>
        <v>PreCovid</v>
      </c>
      <c r="I113" s="50">
        <f t="shared" si="9"/>
        <v>0.50541516245486551</v>
      </c>
    </row>
    <row r="114" spans="1:9" x14ac:dyDescent="0.3">
      <c r="A114" t="s">
        <v>33</v>
      </c>
      <c r="B114" s="28">
        <f t="shared" si="10"/>
        <v>43739</v>
      </c>
      <c r="C114">
        <v>2019</v>
      </c>
      <c r="D114" t="s">
        <v>42</v>
      </c>
      <c r="E114">
        <f>VLOOKUP(D114,'Problem Statement 4'!$G$2:$H$13,2,0)</f>
        <v>10</v>
      </c>
      <c r="F114">
        <v>140.6</v>
      </c>
      <c r="G114" t="s">
        <v>90</v>
      </c>
      <c r="H114" t="str">
        <f t="shared" si="6"/>
        <v>PreCovid</v>
      </c>
      <c r="I114" s="50">
        <f t="shared" si="9"/>
        <v>1.0057471264367857</v>
      </c>
    </row>
    <row r="115" spans="1:9" x14ac:dyDescent="0.3">
      <c r="A115" t="s">
        <v>33</v>
      </c>
      <c r="B115" s="28">
        <f t="shared" si="10"/>
        <v>43770</v>
      </c>
      <c r="C115">
        <v>2019</v>
      </c>
      <c r="D115" t="s">
        <v>44</v>
      </c>
      <c r="E115">
        <f>VLOOKUP(D115,'Problem Statement 4'!$G$2:$H$13,2,0)</f>
        <v>11</v>
      </c>
      <c r="F115">
        <v>142.30000000000001</v>
      </c>
      <c r="G115" t="s">
        <v>90</v>
      </c>
      <c r="H115" t="str">
        <f t="shared" si="6"/>
        <v>PreCovid</v>
      </c>
      <c r="I115" s="50">
        <f t="shared" si="9"/>
        <v>1.2091038406828003</v>
      </c>
    </row>
    <row r="116" spans="1:9" x14ac:dyDescent="0.3">
      <c r="A116" t="s">
        <v>33</v>
      </c>
      <c r="B116" s="28">
        <f t="shared" si="10"/>
        <v>43800</v>
      </c>
      <c r="C116">
        <v>2019</v>
      </c>
      <c r="D116" t="s">
        <v>45</v>
      </c>
      <c r="E116">
        <f>VLOOKUP(D116,'Problem Statement 4'!$G$2:$H$13,2,0)</f>
        <v>12</v>
      </c>
      <c r="F116">
        <v>143.69999999999999</v>
      </c>
      <c r="G116" t="s">
        <v>90</v>
      </c>
      <c r="H116" t="str">
        <f t="shared" si="6"/>
        <v>PreCovid</v>
      </c>
      <c r="I116" s="50">
        <f t="shared" si="9"/>
        <v>0.98383696416020883</v>
      </c>
    </row>
    <row r="117" spans="1:9" x14ac:dyDescent="0.3">
      <c r="A117" t="s">
        <v>33</v>
      </c>
      <c r="B117" s="28">
        <f t="shared" si="10"/>
        <v>43831</v>
      </c>
      <c r="C117">
        <v>2020</v>
      </c>
      <c r="D117" t="s">
        <v>31</v>
      </c>
      <c r="E117">
        <f>VLOOKUP(D117,'Problem Statement 4'!$G$2:$H$13,2,0)</f>
        <v>1</v>
      </c>
      <c r="F117">
        <v>144.6</v>
      </c>
      <c r="G117" t="s">
        <v>90</v>
      </c>
      <c r="H117" t="str">
        <f t="shared" si="6"/>
        <v>PreCovid</v>
      </c>
      <c r="I117" s="50">
        <f t="shared" si="9"/>
        <v>0.62630480167015012</v>
      </c>
    </row>
    <row r="118" spans="1:9" x14ac:dyDescent="0.3">
      <c r="A118" t="s">
        <v>33</v>
      </c>
      <c r="B118" s="28">
        <f t="shared" si="10"/>
        <v>43862</v>
      </c>
      <c r="C118">
        <v>2020</v>
      </c>
      <c r="D118" t="s">
        <v>34</v>
      </c>
      <c r="E118">
        <f>VLOOKUP(D118,'Problem Statement 4'!$G$2:$H$13,2,0)</f>
        <v>2</v>
      </c>
      <c r="F118">
        <v>147.19999999999999</v>
      </c>
      <c r="G118" t="s">
        <v>90</v>
      </c>
      <c r="H118" t="str">
        <f t="shared" si="6"/>
        <v>PreCovid</v>
      </c>
      <c r="I118" s="50">
        <f t="shared" si="9"/>
        <v>1.7980636237897609</v>
      </c>
    </row>
    <row r="119" spans="1:9" x14ac:dyDescent="0.3">
      <c r="A119" t="s">
        <v>33</v>
      </c>
      <c r="B119" s="28">
        <f t="shared" ref="B119:B140" si="11">DATE(C119,E119,1)</f>
        <v>43891</v>
      </c>
      <c r="C119">
        <v>2020</v>
      </c>
      <c r="D119" t="s">
        <v>35</v>
      </c>
      <c r="E119">
        <f>VLOOKUP(D119,'Problem Statement 4'!$G$2:$H$13,2,0)</f>
        <v>3</v>
      </c>
      <c r="F119">
        <v>148.9</v>
      </c>
      <c r="G119" t="s">
        <v>90</v>
      </c>
      <c r="H119" t="str">
        <f t="shared" si="6"/>
        <v>Post Covid</v>
      </c>
      <c r="I119" s="50">
        <f t="shared" si="9"/>
        <v>1.1548913043478377</v>
      </c>
    </row>
    <row r="120" spans="1:9" x14ac:dyDescent="0.3">
      <c r="A120" t="s">
        <v>33</v>
      </c>
      <c r="B120" s="28">
        <f t="shared" si="11"/>
        <v>43922</v>
      </c>
      <c r="C120">
        <v>2020</v>
      </c>
      <c r="D120" t="s">
        <v>36</v>
      </c>
      <c r="E120">
        <f>VLOOKUP(D120,'Problem Statement 4'!$G$2:$H$13,2,0)</f>
        <v>4</v>
      </c>
      <c r="F120">
        <v>144.1</v>
      </c>
      <c r="G120" t="s">
        <v>90</v>
      </c>
      <c r="H120" t="str">
        <f t="shared" si="6"/>
        <v>Post Covid</v>
      </c>
      <c r="I120" s="50">
        <f t="shared" si="9"/>
        <v>-3.2236400268636745</v>
      </c>
    </row>
    <row r="121" spans="1:9" x14ac:dyDescent="0.3">
      <c r="A121" t="s">
        <v>33</v>
      </c>
      <c r="B121" s="28">
        <f t="shared" si="11"/>
        <v>43952</v>
      </c>
      <c r="C121">
        <v>2020</v>
      </c>
      <c r="D121" t="s">
        <v>37</v>
      </c>
      <c r="E121">
        <f>VLOOKUP(D121,'Problem Statement 4'!$G$2:$H$13,2,0)</f>
        <v>5</v>
      </c>
      <c r="F121">
        <v>144.1</v>
      </c>
      <c r="G121" t="s">
        <v>90</v>
      </c>
      <c r="H121" t="str">
        <f t="shared" si="6"/>
        <v>Post Covid</v>
      </c>
      <c r="I121" s="50">
        <f t="shared" si="9"/>
        <v>0</v>
      </c>
    </row>
    <row r="122" spans="1:9" x14ac:dyDescent="0.3">
      <c r="A122" t="s">
        <v>33</v>
      </c>
      <c r="B122" s="28">
        <f t="shared" si="11"/>
        <v>43983</v>
      </c>
      <c r="C122">
        <v>2020</v>
      </c>
      <c r="D122" t="s">
        <v>38</v>
      </c>
      <c r="E122">
        <f>VLOOKUP(D122,'Problem Statement 4'!$G$2:$H$13,2,0)</f>
        <v>6</v>
      </c>
      <c r="F122">
        <v>141.9</v>
      </c>
      <c r="G122" t="s">
        <v>90</v>
      </c>
      <c r="H122" t="str">
        <f t="shared" si="6"/>
        <v>Post Covid</v>
      </c>
      <c r="I122" s="50">
        <f t="shared" si="9"/>
        <v>-1.5267175572519005</v>
      </c>
    </row>
    <row r="123" spans="1:9" x14ac:dyDescent="0.3">
      <c r="A123" t="s">
        <v>33</v>
      </c>
      <c r="B123" s="28">
        <f t="shared" si="11"/>
        <v>44013</v>
      </c>
      <c r="C123">
        <v>2020</v>
      </c>
      <c r="D123" t="s">
        <v>39</v>
      </c>
      <c r="E123">
        <f>VLOOKUP(D123,'Problem Statement 4'!$G$2:$H$13,2,0)</f>
        <v>7</v>
      </c>
      <c r="F123">
        <v>141.9</v>
      </c>
      <c r="G123" t="s">
        <v>90</v>
      </c>
      <c r="H123" t="str">
        <f t="shared" si="6"/>
        <v>Post Covid</v>
      </c>
      <c r="I123" s="50">
        <f t="shared" si="9"/>
        <v>0</v>
      </c>
    </row>
    <row r="124" spans="1:9" x14ac:dyDescent="0.3">
      <c r="A124" t="s">
        <v>33</v>
      </c>
      <c r="B124" s="28">
        <f t="shared" si="11"/>
        <v>44044</v>
      </c>
      <c r="C124">
        <v>2020</v>
      </c>
      <c r="D124" t="s">
        <v>40</v>
      </c>
      <c r="E124">
        <f>VLOOKUP(D124,'Problem Statement 4'!$G$2:$H$13,2,0)</f>
        <v>8</v>
      </c>
      <c r="F124">
        <v>143</v>
      </c>
      <c r="G124" t="s">
        <v>90</v>
      </c>
      <c r="H124" t="str">
        <f t="shared" si="6"/>
        <v>Post Covid</v>
      </c>
      <c r="I124" s="50">
        <f t="shared" si="9"/>
        <v>0.77519379844960845</v>
      </c>
    </row>
    <row r="125" spans="1:9" x14ac:dyDescent="0.3">
      <c r="A125" t="s">
        <v>33</v>
      </c>
      <c r="B125" s="28">
        <f t="shared" si="11"/>
        <v>44075</v>
      </c>
      <c r="C125">
        <v>2020</v>
      </c>
      <c r="D125" t="s">
        <v>41</v>
      </c>
      <c r="E125">
        <f>VLOOKUP(D125,'Problem Statement 4'!$G$2:$H$13,2,0)</f>
        <v>9</v>
      </c>
      <c r="F125">
        <v>142.9</v>
      </c>
      <c r="G125" t="s">
        <v>90</v>
      </c>
      <c r="H125" t="str">
        <f t="shared" si="6"/>
        <v>Post Covid</v>
      </c>
      <c r="I125" s="50">
        <f t="shared" si="9"/>
        <v>-6.9930069930065952E-2</v>
      </c>
    </row>
    <row r="126" spans="1:9" x14ac:dyDescent="0.3">
      <c r="A126" t="s">
        <v>33</v>
      </c>
      <c r="B126" s="28">
        <f t="shared" si="11"/>
        <v>44105</v>
      </c>
      <c r="C126">
        <v>2020</v>
      </c>
      <c r="D126" t="s">
        <v>42</v>
      </c>
      <c r="E126">
        <f>VLOOKUP(D126,'Problem Statement 4'!$G$2:$H$13,2,0)</f>
        <v>10</v>
      </c>
      <c r="F126">
        <v>143.1</v>
      </c>
      <c r="G126" t="s">
        <v>90</v>
      </c>
      <c r="H126" t="str">
        <f t="shared" si="6"/>
        <v>Post Covid</v>
      </c>
      <c r="I126" s="50">
        <f t="shared" si="9"/>
        <v>0.13995801259621315</v>
      </c>
    </row>
    <row r="127" spans="1:9" x14ac:dyDescent="0.3">
      <c r="A127" t="s">
        <v>33</v>
      </c>
      <c r="B127" s="28">
        <f t="shared" si="11"/>
        <v>44136</v>
      </c>
      <c r="C127">
        <v>2020</v>
      </c>
      <c r="D127" t="s">
        <v>44</v>
      </c>
      <c r="E127">
        <f>VLOOKUP(D127,'Problem Statement 4'!$G$2:$H$13,2,0)</f>
        <v>11</v>
      </c>
      <c r="F127">
        <v>143.6</v>
      </c>
      <c r="G127" t="s">
        <v>90</v>
      </c>
      <c r="H127" t="str">
        <f t="shared" si="6"/>
        <v>Post Covid</v>
      </c>
      <c r="I127" s="50">
        <f t="shared" si="9"/>
        <v>0.34940600978336828</v>
      </c>
    </row>
    <row r="128" spans="1:9" x14ac:dyDescent="0.3">
      <c r="A128" t="s">
        <v>33</v>
      </c>
      <c r="B128" s="28">
        <f t="shared" si="11"/>
        <v>44166</v>
      </c>
      <c r="C128">
        <v>2020</v>
      </c>
      <c r="D128" t="s">
        <v>45</v>
      </c>
      <c r="E128">
        <f>VLOOKUP(D128,'Problem Statement 4'!$G$2:$H$13,2,0)</f>
        <v>12</v>
      </c>
      <c r="F128">
        <v>144.6</v>
      </c>
      <c r="G128" t="s">
        <v>90</v>
      </c>
      <c r="H128" t="str">
        <f t="shared" si="6"/>
        <v>Post Covid</v>
      </c>
      <c r="I128" s="50">
        <f t="shared" si="9"/>
        <v>0.69637883008356549</v>
      </c>
    </row>
    <row r="129" spans="1:9" x14ac:dyDescent="0.3">
      <c r="A129" t="s">
        <v>33</v>
      </c>
      <c r="B129" s="28">
        <f t="shared" si="11"/>
        <v>44197</v>
      </c>
      <c r="C129">
        <v>2021</v>
      </c>
      <c r="D129" t="s">
        <v>31</v>
      </c>
      <c r="E129">
        <f>VLOOKUP(D129,'Problem Statement 4'!$G$2:$H$13,2,0)</f>
        <v>1</v>
      </c>
      <c r="F129">
        <v>147.9</v>
      </c>
      <c r="G129" t="s">
        <v>90</v>
      </c>
      <c r="H129" t="str">
        <f t="shared" si="6"/>
        <v>Post Covid</v>
      </c>
      <c r="I129" s="50">
        <f t="shared" si="9"/>
        <v>2.2821576763485556</v>
      </c>
    </row>
    <row r="130" spans="1:9" x14ac:dyDescent="0.3">
      <c r="A130" t="s">
        <v>33</v>
      </c>
      <c r="B130" s="28">
        <f t="shared" si="11"/>
        <v>44228</v>
      </c>
      <c r="C130">
        <v>2021</v>
      </c>
      <c r="D130" t="s">
        <v>34</v>
      </c>
      <c r="E130">
        <f>VLOOKUP(D130,'Problem Statement 4'!$G$2:$H$13,2,0)</f>
        <v>2</v>
      </c>
      <c r="F130">
        <v>152.4</v>
      </c>
      <c r="G130" t="s">
        <v>90</v>
      </c>
      <c r="H130" t="str">
        <f t="shared" si="6"/>
        <v>Post Covid</v>
      </c>
      <c r="I130" s="50">
        <f t="shared" si="9"/>
        <v>3.0425963488843815</v>
      </c>
    </row>
    <row r="131" spans="1:9" x14ac:dyDescent="0.3">
      <c r="A131" t="s">
        <v>33</v>
      </c>
      <c r="B131" s="28">
        <f t="shared" si="11"/>
        <v>44256</v>
      </c>
      <c r="C131">
        <v>2021</v>
      </c>
      <c r="D131" t="s">
        <v>35</v>
      </c>
      <c r="E131">
        <f>VLOOKUP(D131,'Problem Statement 4'!$G$2:$H$13,2,0)</f>
        <v>3</v>
      </c>
      <c r="F131">
        <v>155.5</v>
      </c>
      <c r="G131" t="s">
        <v>90</v>
      </c>
      <c r="H131" t="str">
        <f t="shared" ref="H131:H194" si="12">IF(B131&lt;DATE(2020,3,1),"PreCovid","Post Covid")</f>
        <v>Post Covid</v>
      </c>
      <c r="I131" s="50">
        <f t="shared" si="9"/>
        <v>2.0341207349081327</v>
      </c>
    </row>
    <row r="132" spans="1:9" x14ac:dyDescent="0.3">
      <c r="A132" t="s">
        <v>33</v>
      </c>
      <c r="B132" s="28">
        <f t="shared" si="11"/>
        <v>44287</v>
      </c>
      <c r="C132">
        <v>2021</v>
      </c>
      <c r="D132" t="s">
        <v>36</v>
      </c>
      <c r="E132">
        <f>VLOOKUP(D132,'Problem Statement 4'!$G$2:$H$13,2,0)</f>
        <v>4</v>
      </c>
      <c r="F132">
        <v>155.6</v>
      </c>
      <c r="G132" t="s">
        <v>90</v>
      </c>
      <c r="H132" t="str">
        <f t="shared" si="12"/>
        <v>Post Covid</v>
      </c>
      <c r="I132" s="50">
        <f t="shared" si="9"/>
        <v>6.4308681672022069E-2</v>
      </c>
    </row>
    <row r="133" spans="1:9" x14ac:dyDescent="0.3">
      <c r="A133" t="s">
        <v>33</v>
      </c>
      <c r="B133" s="28">
        <f t="shared" si="11"/>
        <v>44317</v>
      </c>
      <c r="C133">
        <v>2021</v>
      </c>
      <c r="D133" t="s">
        <v>37</v>
      </c>
      <c r="E133">
        <f>VLOOKUP(D133,'Problem Statement 4'!$G$2:$H$13,2,0)</f>
        <v>5</v>
      </c>
      <c r="F133">
        <v>159.4</v>
      </c>
      <c r="G133" t="s">
        <v>90</v>
      </c>
      <c r="H133" t="str">
        <f t="shared" si="12"/>
        <v>Post Covid</v>
      </c>
      <c r="I133" s="50">
        <f t="shared" si="9"/>
        <v>2.4421593830334265</v>
      </c>
    </row>
    <row r="134" spans="1:9" x14ac:dyDescent="0.3">
      <c r="A134" t="s">
        <v>33</v>
      </c>
      <c r="B134" s="28">
        <f t="shared" si="11"/>
        <v>44348</v>
      </c>
      <c r="C134">
        <v>2021</v>
      </c>
      <c r="D134" t="s">
        <v>38</v>
      </c>
      <c r="E134">
        <f>VLOOKUP(D134,'Problem Statement 4'!$G$2:$H$13,2,0)</f>
        <v>6</v>
      </c>
      <c r="F134">
        <v>159.80000000000001</v>
      </c>
      <c r="G134" t="s">
        <v>90</v>
      </c>
      <c r="H134" t="str">
        <f t="shared" si="12"/>
        <v>Post Covid</v>
      </c>
      <c r="I134" s="50">
        <f t="shared" si="9"/>
        <v>0.25094102885822184</v>
      </c>
    </row>
    <row r="135" spans="1:9" x14ac:dyDescent="0.3">
      <c r="A135" t="s">
        <v>33</v>
      </c>
      <c r="B135" s="28">
        <f t="shared" si="11"/>
        <v>44378</v>
      </c>
      <c r="C135">
        <v>2021</v>
      </c>
      <c r="D135" t="s">
        <v>39</v>
      </c>
      <c r="E135">
        <f>VLOOKUP(D135,'Problem Statement 4'!$G$2:$H$13,2,0)</f>
        <v>7</v>
      </c>
      <c r="F135">
        <v>160.69999999999999</v>
      </c>
      <c r="G135" t="s">
        <v>90</v>
      </c>
      <c r="H135" t="str">
        <f t="shared" si="12"/>
        <v>Post Covid</v>
      </c>
      <c r="I135" s="50">
        <f t="shared" si="9"/>
        <v>0.56320400500624357</v>
      </c>
    </row>
    <row r="136" spans="1:9" x14ac:dyDescent="0.3">
      <c r="A136" t="s">
        <v>33</v>
      </c>
      <c r="B136" s="28">
        <f t="shared" si="11"/>
        <v>44409</v>
      </c>
      <c r="C136">
        <v>2021</v>
      </c>
      <c r="D136" t="s">
        <v>40</v>
      </c>
      <c r="E136">
        <f>VLOOKUP(D136,'Problem Statement 4'!$G$2:$H$13,2,0)</f>
        <v>8</v>
      </c>
      <c r="F136">
        <v>162.6</v>
      </c>
      <c r="G136" t="s">
        <v>90</v>
      </c>
      <c r="H136" t="str">
        <f t="shared" si="12"/>
        <v>Post Covid</v>
      </c>
      <c r="I136" s="50">
        <f t="shared" si="9"/>
        <v>1.1823273179838243</v>
      </c>
    </row>
    <row r="137" spans="1:9" x14ac:dyDescent="0.3">
      <c r="A137" t="s">
        <v>33</v>
      </c>
      <c r="B137" s="28">
        <f t="shared" si="11"/>
        <v>44440</v>
      </c>
      <c r="C137">
        <v>2021</v>
      </c>
      <c r="D137" t="s">
        <v>41</v>
      </c>
      <c r="E137">
        <f>VLOOKUP(D137,'Problem Statement 4'!$G$2:$H$13,2,0)</f>
        <v>9</v>
      </c>
      <c r="F137">
        <v>162.6</v>
      </c>
      <c r="G137" t="s">
        <v>90</v>
      </c>
      <c r="H137" t="str">
        <f t="shared" si="12"/>
        <v>Post Covid</v>
      </c>
      <c r="I137" s="50">
        <f t="shared" si="9"/>
        <v>0</v>
      </c>
    </row>
    <row r="138" spans="1:9" x14ac:dyDescent="0.3">
      <c r="A138" t="s">
        <v>33</v>
      </c>
      <c r="B138" s="28">
        <f t="shared" si="11"/>
        <v>44470</v>
      </c>
      <c r="C138">
        <v>2021</v>
      </c>
      <c r="D138" t="s">
        <v>42</v>
      </c>
      <c r="E138">
        <f>VLOOKUP(D138,'Problem Statement 4'!$G$2:$H$13,2,0)</f>
        <v>10</v>
      </c>
      <c r="F138">
        <v>164.2</v>
      </c>
      <c r="G138" t="s">
        <v>90</v>
      </c>
      <c r="H138" t="str">
        <f t="shared" si="12"/>
        <v>Post Covid</v>
      </c>
      <c r="I138" s="50">
        <f t="shared" si="9"/>
        <v>0.98400984009839754</v>
      </c>
    </row>
    <row r="139" spans="1:9" x14ac:dyDescent="0.3">
      <c r="A139" t="s">
        <v>33</v>
      </c>
      <c r="B139" s="28">
        <f t="shared" si="11"/>
        <v>44501</v>
      </c>
      <c r="C139">
        <v>2021</v>
      </c>
      <c r="D139" t="s">
        <v>44</v>
      </c>
      <c r="E139">
        <f>VLOOKUP(D139,'Problem Statement 4'!$G$2:$H$13,2,0)</f>
        <v>11</v>
      </c>
      <c r="F139">
        <v>163.9</v>
      </c>
      <c r="G139" t="s">
        <v>90</v>
      </c>
      <c r="H139" t="str">
        <f t="shared" si="12"/>
        <v>Post Covid</v>
      </c>
      <c r="I139" s="50">
        <f t="shared" si="9"/>
        <v>-0.18270401948841836</v>
      </c>
    </row>
    <row r="140" spans="1:9" x14ac:dyDescent="0.3">
      <c r="A140" t="s">
        <v>33</v>
      </c>
      <c r="B140" s="28">
        <f t="shared" si="11"/>
        <v>44531</v>
      </c>
      <c r="C140">
        <v>2021</v>
      </c>
      <c r="D140" t="s">
        <v>45</v>
      </c>
      <c r="E140">
        <f>VLOOKUP(D140,'Problem Statement 4'!$G$2:$H$13,2,0)</f>
        <v>12</v>
      </c>
      <c r="F140">
        <v>164.1</v>
      </c>
      <c r="G140" t="s">
        <v>90</v>
      </c>
      <c r="H140" t="str">
        <f t="shared" si="12"/>
        <v>Post Covid</v>
      </c>
      <c r="I140" s="50">
        <f t="shared" si="9"/>
        <v>0.12202562538132314</v>
      </c>
    </row>
    <row r="141" spans="1:9" x14ac:dyDescent="0.3">
      <c r="A141" t="s">
        <v>33</v>
      </c>
      <c r="B141" s="28">
        <f t="shared" ref="B141:B157" si="13">DATE(C141,E141,1)</f>
        <v>44562</v>
      </c>
      <c r="C141">
        <v>2022</v>
      </c>
      <c r="D141" t="s">
        <v>31</v>
      </c>
      <c r="E141">
        <f>VLOOKUP(D141,'Problem Statement 4'!$G$2:$H$13,2,0)</f>
        <v>1</v>
      </c>
      <c r="F141">
        <v>164.2</v>
      </c>
      <c r="G141" t="s">
        <v>90</v>
      </c>
      <c r="H141" t="str">
        <f t="shared" si="12"/>
        <v>Post Covid</v>
      </c>
      <c r="I141" s="50">
        <f t="shared" si="9"/>
        <v>6.0938452163311584E-2</v>
      </c>
    </row>
    <row r="142" spans="1:9" x14ac:dyDescent="0.3">
      <c r="A142" t="s">
        <v>33</v>
      </c>
      <c r="B142" s="28">
        <f t="shared" si="13"/>
        <v>44593</v>
      </c>
      <c r="C142">
        <v>2022</v>
      </c>
      <c r="D142" t="s">
        <v>34</v>
      </c>
      <c r="E142">
        <f>VLOOKUP(D142,'Problem Statement 4'!$G$2:$H$13,2,0)</f>
        <v>2</v>
      </c>
      <c r="F142">
        <v>165.7</v>
      </c>
      <c r="G142" t="s">
        <v>90</v>
      </c>
      <c r="H142" t="str">
        <f t="shared" si="12"/>
        <v>Post Covid</v>
      </c>
      <c r="I142" s="50">
        <f t="shared" si="9"/>
        <v>0.91352009744214369</v>
      </c>
    </row>
    <row r="143" spans="1:9" x14ac:dyDescent="0.3">
      <c r="A143" t="s">
        <v>33</v>
      </c>
      <c r="B143" s="28">
        <f t="shared" si="13"/>
        <v>44621</v>
      </c>
      <c r="C143">
        <v>2022</v>
      </c>
      <c r="D143" t="s">
        <v>35</v>
      </c>
      <c r="E143">
        <f>VLOOKUP(D143,'Problem Statement 4'!$G$2:$H$13,2,0)</f>
        <v>3</v>
      </c>
      <c r="F143">
        <v>167.2</v>
      </c>
      <c r="G143" t="s">
        <v>90</v>
      </c>
      <c r="H143" t="str">
        <f t="shared" si="12"/>
        <v>Post Covid</v>
      </c>
      <c r="I143" s="50">
        <f t="shared" si="9"/>
        <v>0.9052504526252263</v>
      </c>
    </row>
    <row r="144" spans="1:9" x14ac:dyDescent="0.3">
      <c r="A144" t="s">
        <v>33</v>
      </c>
      <c r="B144" s="28">
        <f t="shared" si="13"/>
        <v>44652</v>
      </c>
      <c r="C144">
        <v>2022</v>
      </c>
      <c r="D144" t="s">
        <v>36</v>
      </c>
      <c r="E144">
        <f>VLOOKUP(D144,'Problem Statement 4'!$G$2:$H$13,2,0)</f>
        <v>4</v>
      </c>
      <c r="F144">
        <v>172.2</v>
      </c>
      <c r="G144" t="s">
        <v>90</v>
      </c>
      <c r="H144" t="str">
        <f t="shared" si="12"/>
        <v>Post Covid</v>
      </c>
      <c r="I144" s="50">
        <f t="shared" si="9"/>
        <v>2.9904306220095696</v>
      </c>
    </row>
    <row r="145" spans="1:9" x14ac:dyDescent="0.3">
      <c r="A145" t="s">
        <v>33</v>
      </c>
      <c r="B145" s="28">
        <f t="shared" si="13"/>
        <v>44682</v>
      </c>
      <c r="C145">
        <v>2022</v>
      </c>
      <c r="D145" t="s">
        <v>37</v>
      </c>
      <c r="E145">
        <f>VLOOKUP(D145,'Problem Statement 4'!$G$2:$H$13,2,0)</f>
        <v>5</v>
      </c>
      <c r="F145">
        <v>174.6</v>
      </c>
      <c r="G145" t="s">
        <v>90</v>
      </c>
      <c r="H145" t="str">
        <f t="shared" si="12"/>
        <v>Post Covid</v>
      </c>
      <c r="I145" s="50">
        <f t="shared" si="9"/>
        <v>1.3937282229965191</v>
      </c>
    </row>
    <row r="146" spans="1:9" x14ac:dyDescent="0.3">
      <c r="A146" t="s">
        <v>33</v>
      </c>
      <c r="B146" s="28">
        <f t="shared" si="13"/>
        <v>44713</v>
      </c>
      <c r="C146">
        <v>2022</v>
      </c>
      <c r="D146" t="s">
        <v>38</v>
      </c>
      <c r="E146">
        <f>VLOOKUP(D146,'Problem Statement 4'!$G$2:$H$13,2,0)</f>
        <v>6</v>
      </c>
      <c r="F146">
        <v>176</v>
      </c>
      <c r="G146" t="s">
        <v>90</v>
      </c>
      <c r="H146" t="str">
        <f t="shared" si="12"/>
        <v>Post Covid</v>
      </c>
      <c r="I146" s="50">
        <f t="shared" ref="I146:I209" si="14">(F146-F145)/F145*100</f>
        <v>0.80183276059565045</v>
      </c>
    </row>
    <row r="147" spans="1:9" x14ac:dyDescent="0.3">
      <c r="A147" t="s">
        <v>33</v>
      </c>
      <c r="B147" s="28">
        <f t="shared" si="13"/>
        <v>44743</v>
      </c>
      <c r="C147">
        <v>2022</v>
      </c>
      <c r="D147" t="s">
        <v>39</v>
      </c>
      <c r="E147">
        <f>VLOOKUP(D147,'Problem Statement 4'!$G$2:$H$13,2,0)</f>
        <v>7</v>
      </c>
      <c r="F147">
        <v>179.6</v>
      </c>
      <c r="G147" t="s">
        <v>90</v>
      </c>
      <c r="H147" t="str">
        <f t="shared" si="12"/>
        <v>Post Covid</v>
      </c>
      <c r="I147" s="50">
        <f t="shared" si="14"/>
        <v>2.0454545454545423</v>
      </c>
    </row>
    <row r="148" spans="1:9" x14ac:dyDescent="0.3">
      <c r="A148" t="s">
        <v>33</v>
      </c>
      <c r="B148" s="28">
        <f t="shared" si="13"/>
        <v>44774</v>
      </c>
      <c r="C148">
        <v>2022</v>
      </c>
      <c r="D148" t="s">
        <v>40</v>
      </c>
      <c r="E148">
        <f>VLOOKUP(D148,'Problem Statement 4'!$G$2:$H$13,2,0)</f>
        <v>8</v>
      </c>
      <c r="F148">
        <v>178.8</v>
      </c>
      <c r="G148" t="s">
        <v>90</v>
      </c>
      <c r="H148" t="str">
        <f t="shared" si="12"/>
        <v>Post Covid</v>
      </c>
      <c r="I148" s="50">
        <f t="shared" si="14"/>
        <v>-0.44543429844097049</v>
      </c>
    </row>
    <row r="149" spans="1:9" x14ac:dyDescent="0.3">
      <c r="A149" t="s">
        <v>33</v>
      </c>
      <c r="B149" s="28">
        <f t="shared" si="13"/>
        <v>44805</v>
      </c>
      <c r="C149">
        <v>2022</v>
      </c>
      <c r="D149" t="s">
        <v>41</v>
      </c>
      <c r="E149">
        <f>VLOOKUP(D149,'Problem Statement 4'!$G$2:$H$13,2,0)</f>
        <v>9</v>
      </c>
      <c r="F149">
        <v>179.5</v>
      </c>
      <c r="G149" t="s">
        <v>90</v>
      </c>
      <c r="H149" t="str">
        <f t="shared" si="12"/>
        <v>Post Covid</v>
      </c>
      <c r="I149" s="50">
        <f t="shared" si="14"/>
        <v>0.39149888143176093</v>
      </c>
    </row>
    <row r="150" spans="1:9" x14ac:dyDescent="0.3">
      <c r="A150" t="s">
        <v>33</v>
      </c>
      <c r="B150" s="28">
        <f t="shared" si="13"/>
        <v>44835</v>
      </c>
      <c r="C150">
        <v>2022</v>
      </c>
      <c r="D150" t="s">
        <v>42</v>
      </c>
      <c r="E150">
        <f>VLOOKUP(D150,'Problem Statement 4'!$G$2:$H$13,2,0)</f>
        <v>10</v>
      </c>
      <c r="F150">
        <v>180.5</v>
      </c>
      <c r="G150" t="s">
        <v>90</v>
      </c>
      <c r="H150" t="str">
        <f t="shared" si="12"/>
        <v>Post Covid</v>
      </c>
      <c r="I150" s="50">
        <f t="shared" si="14"/>
        <v>0.55710306406685239</v>
      </c>
    </row>
    <row r="151" spans="1:9" x14ac:dyDescent="0.3">
      <c r="A151" t="s">
        <v>33</v>
      </c>
      <c r="B151" s="28">
        <f t="shared" si="13"/>
        <v>44866</v>
      </c>
      <c r="C151">
        <v>2022</v>
      </c>
      <c r="D151" t="s">
        <v>44</v>
      </c>
      <c r="E151">
        <f>VLOOKUP(D151,'Problem Statement 4'!$G$2:$H$13,2,0)</f>
        <v>11</v>
      </c>
      <c r="F151">
        <v>181.3</v>
      </c>
      <c r="G151" t="s">
        <v>90</v>
      </c>
      <c r="H151" t="str">
        <f t="shared" si="12"/>
        <v>Post Covid</v>
      </c>
      <c r="I151" s="50">
        <f t="shared" si="14"/>
        <v>0.44321329639889823</v>
      </c>
    </row>
    <row r="152" spans="1:9" x14ac:dyDescent="0.3">
      <c r="A152" t="s">
        <v>33</v>
      </c>
      <c r="B152" s="28">
        <f t="shared" si="13"/>
        <v>44896</v>
      </c>
      <c r="C152">
        <v>2022</v>
      </c>
      <c r="D152" t="s">
        <v>45</v>
      </c>
      <c r="E152">
        <f>VLOOKUP(D152,'Problem Statement 4'!$G$2:$H$13,2,0)</f>
        <v>12</v>
      </c>
      <c r="F152">
        <v>182</v>
      </c>
      <c r="G152" t="s">
        <v>90</v>
      </c>
      <c r="H152" t="str">
        <f t="shared" si="12"/>
        <v>Post Covid</v>
      </c>
      <c r="I152" s="50">
        <f t="shared" si="14"/>
        <v>0.38610038610037983</v>
      </c>
    </row>
    <row r="153" spans="1:9" x14ac:dyDescent="0.3">
      <c r="A153" t="s">
        <v>33</v>
      </c>
      <c r="B153" s="28">
        <f t="shared" si="13"/>
        <v>44927</v>
      </c>
      <c r="C153">
        <v>2023</v>
      </c>
      <c r="D153" t="s">
        <v>31</v>
      </c>
      <c r="E153">
        <f>VLOOKUP(D153,'Problem Statement 4'!$G$2:$H$13,2,0)</f>
        <v>1</v>
      </c>
      <c r="F153">
        <v>182</v>
      </c>
      <c r="G153" t="s">
        <v>90</v>
      </c>
      <c r="H153" t="str">
        <f t="shared" si="12"/>
        <v>Post Covid</v>
      </c>
      <c r="I153" s="50">
        <f t="shared" si="14"/>
        <v>0</v>
      </c>
    </row>
    <row r="154" spans="1:9" x14ac:dyDescent="0.3">
      <c r="A154" t="s">
        <v>33</v>
      </c>
      <c r="B154" s="28">
        <f t="shared" si="13"/>
        <v>44958</v>
      </c>
      <c r="C154">
        <v>2023</v>
      </c>
      <c r="D154" t="s">
        <v>34</v>
      </c>
      <c r="E154">
        <f>VLOOKUP(D154,'Problem Statement 4'!$G$2:$H$13,2,0)</f>
        <v>2</v>
      </c>
      <c r="F154">
        <v>182.1</v>
      </c>
      <c r="G154" t="s">
        <v>90</v>
      </c>
      <c r="H154" t="str">
        <f t="shared" si="12"/>
        <v>Post Covid</v>
      </c>
      <c r="I154" s="50">
        <f t="shared" si="14"/>
        <v>5.4945054945051822E-2</v>
      </c>
    </row>
    <row r="155" spans="1:9" x14ac:dyDescent="0.3">
      <c r="A155" t="s">
        <v>33</v>
      </c>
      <c r="B155" s="28">
        <f t="shared" si="13"/>
        <v>44986</v>
      </c>
      <c r="C155">
        <v>2023</v>
      </c>
      <c r="D155" t="s">
        <v>35</v>
      </c>
      <c r="E155">
        <f>VLOOKUP(D155,'Problem Statement 4'!$G$2:$H$13,2,0)</f>
        <v>3</v>
      </c>
      <c r="F155">
        <v>181.9</v>
      </c>
      <c r="G155" t="s">
        <v>90</v>
      </c>
      <c r="H155" t="str">
        <f t="shared" si="12"/>
        <v>Post Covid</v>
      </c>
      <c r="I155" s="50">
        <f t="shared" si="14"/>
        <v>-0.10982976386600145</v>
      </c>
    </row>
    <row r="156" spans="1:9" x14ac:dyDescent="0.3">
      <c r="A156" t="s">
        <v>33</v>
      </c>
      <c r="B156" s="28">
        <f t="shared" si="13"/>
        <v>45017</v>
      </c>
      <c r="C156">
        <v>2023</v>
      </c>
      <c r="D156" t="s">
        <v>36</v>
      </c>
      <c r="E156">
        <f>VLOOKUP(D156,'Problem Statement 4'!$G$2:$H$13,2,0)</f>
        <v>4</v>
      </c>
      <c r="F156">
        <v>181.7</v>
      </c>
      <c r="G156" t="s">
        <v>90</v>
      </c>
      <c r="H156" t="str">
        <f t="shared" si="12"/>
        <v>Post Covid</v>
      </c>
      <c r="I156" s="50">
        <f t="shared" si="14"/>
        <v>-0.10995052226499014</v>
      </c>
    </row>
    <row r="157" spans="1:9" x14ac:dyDescent="0.3">
      <c r="A157" t="s">
        <v>33</v>
      </c>
      <c r="B157" s="28">
        <f t="shared" si="13"/>
        <v>45047</v>
      </c>
      <c r="C157">
        <v>2023</v>
      </c>
      <c r="D157" t="s">
        <v>37</v>
      </c>
      <c r="E157">
        <f>VLOOKUP(D157,'Problem Statement 4'!$G$2:$H$13,2,0)</f>
        <v>5</v>
      </c>
      <c r="F157">
        <v>182.8</v>
      </c>
      <c r="G157" t="s">
        <v>90</v>
      </c>
      <c r="H157" t="str">
        <f t="shared" si="12"/>
        <v>Post Covid</v>
      </c>
      <c r="I157" s="50">
        <f t="shared" si="14"/>
        <v>0.60539350577876871</v>
      </c>
    </row>
    <row r="158" spans="1:9" x14ac:dyDescent="0.3">
      <c r="A158" t="s">
        <v>33</v>
      </c>
      <c r="B158" s="28">
        <f t="shared" ref="B158:B175" si="15">DATE(C158,E158,1)</f>
        <v>42675</v>
      </c>
      <c r="C158">
        <v>2016</v>
      </c>
      <c r="D158" t="s">
        <v>44</v>
      </c>
      <c r="E158">
        <f>VLOOKUP(D158,'Problem Statement 4'!$G$2:$H$13,2,0)</f>
        <v>11</v>
      </c>
      <c r="F158">
        <v>115.7</v>
      </c>
      <c r="G158" t="s">
        <v>54</v>
      </c>
      <c r="H158" t="str">
        <f t="shared" si="12"/>
        <v>PreCovid</v>
      </c>
      <c r="I158" s="50">
        <v>0</v>
      </c>
    </row>
    <row r="159" spans="1:9" x14ac:dyDescent="0.3">
      <c r="A159" t="s">
        <v>33</v>
      </c>
      <c r="B159" s="28">
        <f t="shared" si="15"/>
        <v>42705</v>
      </c>
      <c r="C159">
        <v>2016</v>
      </c>
      <c r="D159" t="s">
        <v>45</v>
      </c>
      <c r="E159">
        <f>VLOOKUP(D159,'Problem Statement 4'!$G$2:$H$13,2,0)</f>
        <v>12</v>
      </c>
      <c r="F159">
        <v>116</v>
      </c>
      <c r="G159" t="s">
        <v>54</v>
      </c>
      <c r="H159" t="str">
        <f t="shared" si="12"/>
        <v>PreCovid</v>
      </c>
      <c r="I159" s="50">
        <f t="shared" si="14"/>
        <v>0.25929127052722312</v>
      </c>
    </row>
    <row r="160" spans="1:9" x14ac:dyDescent="0.3">
      <c r="A160" t="s">
        <v>33</v>
      </c>
      <c r="B160" s="28">
        <f t="shared" si="15"/>
        <v>42736</v>
      </c>
      <c r="C160">
        <v>2017</v>
      </c>
      <c r="D160" t="s">
        <v>31</v>
      </c>
      <c r="E160">
        <f>VLOOKUP(D160,'Problem Statement 4'!$G$2:$H$13,2,0)</f>
        <v>1</v>
      </c>
      <c r="F160">
        <v>117</v>
      </c>
      <c r="G160" t="s">
        <v>54</v>
      </c>
      <c r="H160" t="str">
        <f t="shared" si="12"/>
        <v>PreCovid</v>
      </c>
      <c r="I160" s="50">
        <f t="shared" si="14"/>
        <v>0.86206896551724133</v>
      </c>
    </row>
    <row r="161" spans="1:9" x14ac:dyDescent="0.3">
      <c r="A161" t="s">
        <v>33</v>
      </c>
      <c r="B161" s="28">
        <f t="shared" si="15"/>
        <v>42767</v>
      </c>
      <c r="C161">
        <v>2017</v>
      </c>
      <c r="D161" t="s">
        <v>34</v>
      </c>
      <c r="E161">
        <f>VLOOKUP(D161,'Problem Statement 4'!$G$2:$H$13,2,0)</f>
        <v>2</v>
      </c>
      <c r="F161">
        <v>117.4</v>
      </c>
      <c r="G161" t="s">
        <v>54</v>
      </c>
      <c r="H161" t="str">
        <f t="shared" si="12"/>
        <v>PreCovid</v>
      </c>
      <c r="I161" s="50">
        <f t="shared" si="14"/>
        <v>0.34188034188034672</v>
      </c>
    </row>
    <row r="162" spans="1:9" x14ac:dyDescent="0.3">
      <c r="A162" t="s">
        <v>33</v>
      </c>
      <c r="B162" s="28">
        <f t="shared" si="15"/>
        <v>42795</v>
      </c>
      <c r="C162">
        <v>2017</v>
      </c>
      <c r="D162" t="s">
        <v>35</v>
      </c>
      <c r="E162">
        <f>VLOOKUP(D162,'Problem Statement 4'!$G$2:$H$13,2,0)</f>
        <v>3</v>
      </c>
      <c r="F162">
        <v>117.6</v>
      </c>
      <c r="G162" t="s">
        <v>54</v>
      </c>
      <c r="H162" t="str">
        <f t="shared" si="12"/>
        <v>PreCovid</v>
      </c>
      <c r="I162" s="50">
        <f t="shared" si="14"/>
        <v>0.17035775127767344</v>
      </c>
    </row>
    <row r="163" spans="1:9" x14ac:dyDescent="0.3">
      <c r="A163" t="s">
        <v>33</v>
      </c>
      <c r="B163" s="28">
        <f t="shared" si="15"/>
        <v>42826</v>
      </c>
      <c r="C163">
        <v>2017</v>
      </c>
      <c r="D163" t="s">
        <v>36</v>
      </c>
      <c r="E163">
        <f>VLOOKUP(D163,'Problem Statement 4'!$G$2:$H$13,2,0)</f>
        <v>4</v>
      </c>
      <c r="F163">
        <v>116.6</v>
      </c>
      <c r="G163" t="s">
        <v>54</v>
      </c>
      <c r="H163" t="str">
        <f t="shared" si="12"/>
        <v>PreCovid</v>
      </c>
      <c r="I163" s="50">
        <f t="shared" si="14"/>
        <v>-0.85034013605442182</v>
      </c>
    </row>
    <row r="164" spans="1:9" x14ac:dyDescent="0.3">
      <c r="A164" t="s">
        <v>33</v>
      </c>
      <c r="B164" s="28">
        <f t="shared" si="15"/>
        <v>42856</v>
      </c>
      <c r="C164">
        <v>2017</v>
      </c>
      <c r="D164" t="s">
        <v>37</v>
      </c>
      <c r="E164">
        <f>VLOOKUP(D164,'Problem Statement 4'!$G$2:$H$13,2,0)</f>
        <v>5</v>
      </c>
      <c r="F164">
        <v>116.7</v>
      </c>
      <c r="G164" t="s">
        <v>54</v>
      </c>
      <c r="H164" t="str">
        <f t="shared" si="12"/>
        <v>PreCovid</v>
      </c>
      <c r="I164" s="50">
        <f t="shared" si="14"/>
        <v>8.5763293310470445E-2</v>
      </c>
    </row>
    <row r="165" spans="1:9" x14ac:dyDescent="0.3">
      <c r="A165" t="s">
        <v>33</v>
      </c>
      <c r="B165" s="28">
        <f t="shared" si="15"/>
        <v>42887</v>
      </c>
      <c r="C165">
        <v>2017</v>
      </c>
      <c r="D165" t="s">
        <v>38</v>
      </c>
      <c r="E165">
        <f>VLOOKUP(D165,'Problem Statement 4'!$G$2:$H$13,2,0)</f>
        <v>6</v>
      </c>
      <c r="F165">
        <v>116.5</v>
      </c>
      <c r="G165" t="s">
        <v>54</v>
      </c>
      <c r="H165" t="str">
        <f t="shared" si="12"/>
        <v>PreCovid</v>
      </c>
      <c r="I165" s="50">
        <f t="shared" si="14"/>
        <v>-0.17137960582690903</v>
      </c>
    </row>
    <row r="166" spans="1:9" x14ac:dyDescent="0.3">
      <c r="A166" t="s">
        <v>33</v>
      </c>
      <c r="B166" s="28">
        <f t="shared" si="15"/>
        <v>42917</v>
      </c>
      <c r="C166">
        <v>2017</v>
      </c>
      <c r="D166" t="s">
        <v>39</v>
      </c>
      <c r="E166">
        <f>VLOOKUP(D166,'Problem Statement 4'!$G$2:$H$13,2,0)</f>
        <v>7</v>
      </c>
      <c r="F166">
        <v>116</v>
      </c>
      <c r="G166" t="s">
        <v>54</v>
      </c>
      <c r="H166" t="str">
        <f t="shared" si="12"/>
        <v>PreCovid</v>
      </c>
      <c r="I166" s="50">
        <f t="shared" si="14"/>
        <v>-0.42918454935622319</v>
      </c>
    </row>
    <row r="167" spans="1:9" x14ac:dyDescent="0.3">
      <c r="A167" t="s">
        <v>33</v>
      </c>
      <c r="B167" s="28">
        <f t="shared" si="15"/>
        <v>42948</v>
      </c>
      <c r="C167">
        <v>2017</v>
      </c>
      <c r="D167" t="s">
        <v>40</v>
      </c>
      <c r="E167">
        <f>VLOOKUP(D167,'Problem Statement 4'!$G$2:$H$13,2,0)</f>
        <v>8</v>
      </c>
      <c r="F167">
        <v>117.3</v>
      </c>
      <c r="G167" t="s">
        <v>54</v>
      </c>
      <c r="H167" t="str">
        <f t="shared" si="12"/>
        <v>PreCovid</v>
      </c>
      <c r="I167" s="50">
        <f t="shared" si="14"/>
        <v>1.1206896551724113</v>
      </c>
    </row>
    <row r="168" spans="1:9" x14ac:dyDescent="0.3">
      <c r="A168" t="s">
        <v>33</v>
      </c>
      <c r="B168" s="28">
        <f t="shared" si="15"/>
        <v>42979</v>
      </c>
      <c r="C168">
        <v>2017</v>
      </c>
      <c r="D168" t="s">
        <v>41</v>
      </c>
      <c r="E168">
        <f>VLOOKUP(D168,'Problem Statement 4'!$G$2:$H$13,2,0)</f>
        <v>9</v>
      </c>
      <c r="F168">
        <v>118.3</v>
      </c>
      <c r="G168" t="s">
        <v>54</v>
      </c>
      <c r="H168" t="str">
        <f t="shared" si="12"/>
        <v>PreCovid</v>
      </c>
      <c r="I168" s="50">
        <f t="shared" si="14"/>
        <v>0.85251491901108278</v>
      </c>
    </row>
    <row r="169" spans="1:9" x14ac:dyDescent="0.3">
      <c r="A169" t="s">
        <v>33</v>
      </c>
      <c r="B169" s="28">
        <f t="shared" si="15"/>
        <v>43009</v>
      </c>
      <c r="C169">
        <v>2017</v>
      </c>
      <c r="D169" t="s">
        <v>42</v>
      </c>
      <c r="E169">
        <f>VLOOKUP(D169,'Problem Statement 4'!$G$2:$H$13,2,0)</f>
        <v>10</v>
      </c>
      <c r="F169">
        <v>117.8</v>
      </c>
      <c r="G169" t="s">
        <v>54</v>
      </c>
      <c r="H169" t="str">
        <f t="shared" si="12"/>
        <v>PreCovid</v>
      </c>
      <c r="I169" s="50">
        <f t="shared" si="14"/>
        <v>-0.42265426880811502</v>
      </c>
    </row>
    <row r="170" spans="1:9" x14ac:dyDescent="0.3">
      <c r="A170" t="s">
        <v>33</v>
      </c>
      <c r="B170" s="28">
        <f t="shared" si="15"/>
        <v>43040</v>
      </c>
      <c r="C170">
        <v>2017</v>
      </c>
      <c r="D170" t="s">
        <v>44</v>
      </c>
      <c r="E170">
        <f>VLOOKUP(D170,'Problem Statement 4'!$G$2:$H$13,2,0)</f>
        <v>11</v>
      </c>
      <c r="F170">
        <v>118.3</v>
      </c>
      <c r="G170" t="s">
        <v>54</v>
      </c>
      <c r="H170" t="str">
        <f t="shared" si="12"/>
        <v>PreCovid</v>
      </c>
      <c r="I170" s="50">
        <f t="shared" si="14"/>
        <v>0.42444821731748728</v>
      </c>
    </row>
    <row r="171" spans="1:9" x14ac:dyDescent="0.3">
      <c r="A171" t="s">
        <v>33</v>
      </c>
      <c r="B171" s="28">
        <f t="shared" si="15"/>
        <v>43070</v>
      </c>
      <c r="C171">
        <v>2017</v>
      </c>
      <c r="D171" t="s">
        <v>45</v>
      </c>
      <c r="E171">
        <f>VLOOKUP(D171,'Problem Statement 4'!$G$2:$H$13,2,0)</f>
        <v>12</v>
      </c>
      <c r="F171">
        <v>118.5</v>
      </c>
      <c r="G171" t="s">
        <v>54</v>
      </c>
      <c r="H171" t="str">
        <f t="shared" si="12"/>
        <v>PreCovid</v>
      </c>
      <c r="I171" s="50">
        <f t="shared" si="14"/>
        <v>0.16906170752324839</v>
      </c>
    </row>
    <row r="172" spans="1:9" x14ac:dyDescent="0.3">
      <c r="A172" t="s">
        <v>33</v>
      </c>
      <c r="B172" s="28">
        <f t="shared" si="15"/>
        <v>43101</v>
      </c>
      <c r="C172">
        <v>2018</v>
      </c>
      <c r="D172" t="s">
        <v>31</v>
      </c>
      <c r="E172">
        <f>VLOOKUP(D172,'Problem Statement 4'!$G$2:$H$13,2,0)</f>
        <v>1</v>
      </c>
      <c r="F172">
        <v>119.3</v>
      </c>
      <c r="G172" t="s">
        <v>54</v>
      </c>
      <c r="H172" t="str">
        <f t="shared" si="12"/>
        <v>PreCovid</v>
      </c>
      <c r="I172" s="50">
        <f t="shared" si="14"/>
        <v>0.67510548523206504</v>
      </c>
    </row>
    <row r="173" spans="1:9" x14ac:dyDescent="0.3">
      <c r="A173" t="s">
        <v>33</v>
      </c>
      <c r="B173" s="28">
        <f t="shared" si="15"/>
        <v>43132</v>
      </c>
      <c r="C173">
        <v>2018</v>
      </c>
      <c r="D173" t="s">
        <v>34</v>
      </c>
      <c r="E173">
        <f>VLOOKUP(D173,'Problem Statement 4'!$G$2:$H$13,2,0)</f>
        <v>2</v>
      </c>
      <c r="F173">
        <v>120.2</v>
      </c>
      <c r="G173" t="s">
        <v>54</v>
      </c>
      <c r="H173" t="str">
        <f t="shared" si="12"/>
        <v>PreCovid</v>
      </c>
      <c r="I173" s="50">
        <f t="shared" si="14"/>
        <v>0.75440067057837867</v>
      </c>
    </row>
    <row r="174" spans="1:9" x14ac:dyDescent="0.3">
      <c r="A174" t="s">
        <v>33</v>
      </c>
      <c r="B174" s="28">
        <f t="shared" si="15"/>
        <v>43160</v>
      </c>
      <c r="C174">
        <v>2018</v>
      </c>
      <c r="D174" t="s">
        <v>35</v>
      </c>
      <c r="E174">
        <f>VLOOKUP(D174,'Problem Statement 4'!$G$2:$H$13,2,0)</f>
        <v>3</v>
      </c>
      <c r="F174">
        <v>121</v>
      </c>
      <c r="G174" t="s">
        <v>54</v>
      </c>
      <c r="H174" t="str">
        <f t="shared" si="12"/>
        <v>PreCovid</v>
      </c>
      <c r="I174" s="50">
        <f t="shared" si="14"/>
        <v>0.66555740432612076</v>
      </c>
    </row>
    <row r="175" spans="1:9" x14ac:dyDescent="0.3">
      <c r="A175" t="s">
        <v>33</v>
      </c>
      <c r="B175" s="28">
        <f t="shared" si="15"/>
        <v>43191</v>
      </c>
      <c r="C175">
        <v>2018</v>
      </c>
      <c r="D175" t="s">
        <v>36</v>
      </c>
      <c r="E175">
        <f>VLOOKUP(D175,'Problem Statement 4'!$G$2:$H$13,2,0)</f>
        <v>4</v>
      </c>
      <c r="F175">
        <v>121.9</v>
      </c>
      <c r="G175" t="s">
        <v>54</v>
      </c>
      <c r="H175" t="str">
        <f t="shared" si="12"/>
        <v>PreCovid</v>
      </c>
      <c r="I175" s="50">
        <f t="shared" si="14"/>
        <v>0.74380165289256672</v>
      </c>
    </row>
    <row r="176" spans="1:9" x14ac:dyDescent="0.3">
      <c r="A176" t="s">
        <v>33</v>
      </c>
      <c r="B176" s="28">
        <f t="shared" ref="B176:B235" si="16">DATE(C176,E176,1)</f>
        <v>43221</v>
      </c>
      <c r="C176">
        <v>2018</v>
      </c>
      <c r="D176" t="s">
        <v>37</v>
      </c>
      <c r="E176">
        <f>VLOOKUP(D176,'Problem Statement 4'!$G$2:$H$13,2,0)</f>
        <v>5</v>
      </c>
      <c r="F176">
        <v>122.9</v>
      </c>
      <c r="G176" t="s">
        <v>54</v>
      </c>
      <c r="H176" t="str">
        <f t="shared" si="12"/>
        <v>PreCovid</v>
      </c>
      <c r="I176" s="50">
        <f t="shared" si="14"/>
        <v>0.82034454470877771</v>
      </c>
    </row>
    <row r="177" spans="1:9" x14ac:dyDescent="0.3">
      <c r="A177" t="s">
        <v>33</v>
      </c>
      <c r="B177" s="28">
        <f t="shared" si="16"/>
        <v>43252</v>
      </c>
      <c r="C177">
        <v>2018</v>
      </c>
      <c r="D177" t="s">
        <v>38</v>
      </c>
      <c r="E177">
        <f>VLOOKUP(D177,'Problem Statement 4'!$G$2:$H$13,2,0)</f>
        <v>6</v>
      </c>
      <c r="F177">
        <v>123.7</v>
      </c>
      <c r="G177" t="s">
        <v>54</v>
      </c>
      <c r="H177" t="str">
        <f t="shared" si="12"/>
        <v>PreCovid</v>
      </c>
      <c r="I177" s="50">
        <f t="shared" si="14"/>
        <v>0.650935720097638</v>
      </c>
    </row>
    <row r="178" spans="1:9" x14ac:dyDescent="0.3">
      <c r="A178" t="s">
        <v>33</v>
      </c>
      <c r="B178" s="28">
        <f t="shared" si="16"/>
        <v>43282</v>
      </c>
      <c r="C178">
        <v>2018</v>
      </c>
      <c r="D178" t="s">
        <v>39</v>
      </c>
      <c r="E178">
        <f>VLOOKUP(D178,'Problem Statement 4'!$G$2:$H$13,2,0)</f>
        <v>7</v>
      </c>
      <c r="F178">
        <v>123.6</v>
      </c>
      <c r="G178" t="s">
        <v>54</v>
      </c>
      <c r="H178" t="str">
        <f t="shared" si="12"/>
        <v>PreCovid</v>
      </c>
      <c r="I178" s="50">
        <f t="shared" si="14"/>
        <v>-8.0840743734849257E-2</v>
      </c>
    </row>
    <row r="179" spans="1:9" x14ac:dyDescent="0.3">
      <c r="A179" t="s">
        <v>33</v>
      </c>
      <c r="B179" s="28">
        <f t="shared" si="16"/>
        <v>43313</v>
      </c>
      <c r="C179">
        <v>2018</v>
      </c>
      <c r="D179" t="s">
        <v>40</v>
      </c>
      <c r="E179">
        <f>VLOOKUP(D179,'Problem Statement 4'!$G$2:$H$13,2,0)</f>
        <v>8</v>
      </c>
      <c r="F179">
        <v>124.3</v>
      </c>
      <c r="G179" t="s">
        <v>54</v>
      </c>
      <c r="H179" t="str">
        <f t="shared" si="12"/>
        <v>PreCovid</v>
      </c>
      <c r="I179" s="50">
        <f t="shared" si="14"/>
        <v>0.56634304207119968</v>
      </c>
    </row>
    <row r="180" spans="1:9" x14ac:dyDescent="0.3">
      <c r="A180" t="s">
        <v>33</v>
      </c>
      <c r="B180" s="28">
        <f t="shared" si="16"/>
        <v>43344</v>
      </c>
      <c r="C180">
        <v>2018</v>
      </c>
      <c r="D180" t="s">
        <v>41</v>
      </c>
      <c r="E180">
        <f>VLOOKUP(D180,'Problem Statement 4'!$G$2:$H$13,2,0)</f>
        <v>9</v>
      </c>
      <c r="F180">
        <v>126</v>
      </c>
      <c r="G180" t="s">
        <v>54</v>
      </c>
      <c r="H180" t="str">
        <f t="shared" si="12"/>
        <v>PreCovid</v>
      </c>
      <c r="I180" s="50">
        <f t="shared" si="14"/>
        <v>1.3676588897827859</v>
      </c>
    </row>
    <row r="181" spans="1:9" x14ac:dyDescent="0.3">
      <c r="A181" t="s">
        <v>33</v>
      </c>
      <c r="B181" s="28">
        <f t="shared" si="16"/>
        <v>43374</v>
      </c>
      <c r="C181">
        <v>2018</v>
      </c>
      <c r="D181" t="s">
        <v>42</v>
      </c>
      <c r="E181">
        <f>VLOOKUP(D181,'Problem Statement 4'!$G$2:$H$13,2,0)</f>
        <v>10</v>
      </c>
      <c r="F181">
        <v>125.5</v>
      </c>
      <c r="G181" t="s">
        <v>54</v>
      </c>
      <c r="H181" t="str">
        <f t="shared" si="12"/>
        <v>PreCovid</v>
      </c>
      <c r="I181" s="50">
        <f t="shared" si="14"/>
        <v>-0.3968253968253968</v>
      </c>
    </row>
    <row r="182" spans="1:9" x14ac:dyDescent="0.3">
      <c r="A182" t="s">
        <v>33</v>
      </c>
      <c r="B182" s="28">
        <f t="shared" si="16"/>
        <v>43405</v>
      </c>
      <c r="C182">
        <v>2018</v>
      </c>
      <c r="D182" t="s">
        <v>44</v>
      </c>
      <c r="E182">
        <f>VLOOKUP(D182,'Problem Statement 4'!$G$2:$H$13,2,0)</f>
        <v>11</v>
      </c>
      <c r="F182">
        <v>125.5</v>
      </c>
      <c r="G182" t="s">
        <v>54</v>
      </c>
      <c r="H182" t="str">
        <f t="shared" si="12"/>
        <v>PreCovid</v>
      </c>
      <c r="I182" s="50">
        <f t="shared" si="14"/>
        <v>0</v>
      </c>
    </row>
    <row r="183" spans="1:9" x14ac:dyDescent="0.3">
      <c r="A183" t="s">
        <v>33</v>
      </c>
      <c r="B183" s="28">
        <f t="shared" si="16"/>
        <v>43435</v>
      </c>
      <c r="C183">
        <v>2018</v>
      </c>
      <c r="D183" t="s">
        <v>45</v>
      </c>
      <c r="E183">
        <f>VLOOKUP(D183,'Problem Statement 4'!$G$2:$H$13,2,0)</f>
        <v>12</v>
      </c>
      <c r="F183">
        <v>123.6</v>
      </c>
      <c r="G183" t="s">
        <v>54</v>
      </c>
      <c r="H183" t="str">
        <f t="shared" si="12"/>
        <v>PreCovid</v>
      </c>
      <c r="I183" s="50">
        <f t="shared" si="14"/>
        <v>-1.5139442231075744</v>
      </c>
    </row>
    <row r="184" spans="1:9" x14ac:dyDescent="0.3">
      <c r="A184" t="s">
        <v>33</v>
      </c>
      <c r="B184" s="28">
        <f t="shared" si="16"/>
        <v>43466</v>
      </c>
      <c r="C184">
        <v>2019</v>
      </c>
      <c r="D184" t="s">
        <v>31</v>
      </c>
      <c r="E184">
        <f>VLOOKUP(D184,'Problem Statement 4'!$G$2:$H$13,2,0)</f>
        <v>1</v>
      </c>
      <c r="F184">
        <v>123.3</v>
      </c>
      <c r="G184" t="s">
        <v>54</v>
      </c>
      <c r="H184" t="str">
        <f t="shared" si="12"/>
        <v>PreCovid</v>
      </c>
      <c r="I184" s="50">
        <f t="shared" si="14"/>
        <v>-0.24271844660193947</v>
      </c>
    </row>
    <row r="185" spans="1:9" x14ac:dyDescent="0.3">
      <c r="A185" t="s">
        <v>33</v>
      </c>
      <c r="B185" s="28">
        <f t="shared" si="16"/>
        <v>43497</v>
      </c>
      <c r="C185">
        <v>2019</v>
      </c>
      <c r="D185" t="s">
        <v>34</v>
      </c>
      <c r="E185">
        <f>VLOOKUP(D185,'Problem Statement 4'!$G$2:$H$13,2,0)</f>
        <v>2</v>
      </c>
      <c r="F185">
        <v>123.9</v>
      </c>
      <c r="G185" t="s">
        <v>54</v>
      </c>
      <c r="H185" t="str">
        <f t="shared" si="12"/>
        <v>PreCovid</v>
      </c>
      <c r="I185" s="50">
        <f t="shared" si="14"/>
        <v>0.486618004866187</v>
      </c>
    </row>
    <row r="186" spans="1:9" x14ac:dyDescent="0.3">
      <c r="A186" t="s">
        <v>33</v>
      </c>
      <c r="B186" s="28">
        <f t="shared" si="16"/>
        <v>43525</v>
      </c>
      <c r="C186">
        <v>2019</v>
      </c>
      <c r="D186" t="s">
        <v>35</v>
      </c>
      <c r="E186">
        <f>VLOOKUP(D186,'Problem Statement 4'!$G$2:$H$13,2,0)</f>
        <v>3</v>
      </c>
      <c r="F186">
        <v>124.6</v>
      </c>
      <c r="G186" t="s">
        <v>54</v>
      </c>
      <c r="H186" t="str">
        <f t="shared" si="12"/>
        <v>PreCovid</v>
      </c>
      <c r="I186" s="50">
        <f t="shared" si="14"/>
        <v>0.56497175141242018</v>
      </c>
    </row>
    <row r="187" spans="1:9" x14ac:dyDescent="0.3">
      <c r="A187" t="s">
        <v>33</v>
      </c>
      <c r="B187" s="28">
        <f t="shared" si="16"/>
        <v>43586</v>
      </c>
      <c r="C187">
        <v>2019</v>
      </c>
      <c r="D187" t="s">
        <v>37</v>
      </c>
      <c r="E187">
        <f>VLOOKUP(D187,'Problem Statement 4'!$G$2:$H$13,2,0)</f>
        <v>5</v>
      </c>
      <c r="F187">
        <v>124.9</v>
      </c>
      <c r="G187" t="s">
        <v>54</v>
      </c>
      <c r="H187" t="str">
        <f t="shared" si="12"/>
        <v>PreCovid</v>
      </c>
      <c r="I187" s="50">
        <f t="shared" si="14"/>
        <v>0.24077046548957576</v>
      </c>
    </row>
    <row r="188" spans="1:9" x14ac:dyDescent="0.3">
      <c r="A188" t="s">
        <v>33</v>
      </c>
      <c r="B188" s="28">
        <f t="shared" si="16"/>
        <v>43617</v>
      </c>
      <c r="C188">
        <v>2019</v>
      </c>
      <c r="D188" t="s">
        <v>38</v>
      </c>
      <c r="E188">
        <f>VLOOKUP(D188,'Problem Statement 4'!$G$2:$H$13,2,0)</f>
        <v>6</v>
      </c>
      <c r="F188">
        <v>124.6</v>
      </c>
      <c r="G188" t="s">
        <v>54</v>
      </c>
      <c r="H188" t="str">
        <f t="shared" si="12"/>
        <v>PreCovid</v>
      </c>
      <c r="I188" s="50">
        <f t="shared" si="14"/>
        <v>-0.24019215372298747</v>
      </c>
    </row>
    <row r="189" spans="1:9" x14ac:dyDescent="0.3">
      <c r="A189" t="s">
        <v>33</v>
      </c>
      <c r="B189" s="28">
        <f t="shared" si="16"/>
        <v>43647</v>
      </c>
      <c r="C189">
        <v>2019</v>
      </c>
      <c r="D189" t="s">
        <v>39</v>
      </c>
      <c r="E189">
        <f>VLOOKUP(D189,'Problem Statement 4'!$G$2:$H$13,2,0)</f>
        <v>7</v>
      </c>
      <c r="F189">
        <v>125.6</v>
      </c>
      <c r="G189" t="s">
        <v>54</v>
      </c>
      <c r="H189" t="str">
        <f t="shared" si="12"/>
        <v>PreCovid</v>
      </c>
      <c r="I189" s="50">
        <f t="shared" si="14"/>
        <v>0.80256821829855551</v>
      </c>
    </row>
    <row r="190" spans="1:9" x14ac:dyDescent="0.3">
      <c r="A190" t="s">
        <v>33</v>
      </c>
      <c r="B190" s="28">
        <f t="shared" si="16"/>
        <v>43678</v>
      </c>
      <c r="C190">
        <v>2019</v>
      </c>
      <c r="D190" t="s">
        <v>40</v>
      </c>
      <c r="E190">
        <f>VLOOKUP(D190,'Problem Statement 4'!$G$2:$H$13,2,0)</f>
        <v>8</v>
      </c>
      <c r="F190">
        <v>125.8</v>
      </c>
      <c r="G190" t="s">
        <v>54</v>
      </c>
      <c r="H190" t="str">
        <f t="shared" si="12"/>
        <v>PreCovid</v>
      </c>
      <c r="I190" s="50">
        <f t="shared" si="14"/>
        <v>0.15923566878981119</v>
      </c>
    </row>
    <row r="191" spans="1:9" x14ac:dyDescent="0.3">
      <c r="A191" t="s">
        <v>33</v>
      </c>
      <c r="B191" s="28">
        <f t="shared" si="16"/>
        <v>43709</v>
      </c>
      <c r="C191">
        <v>2019</v>
      </c>
      <c r="D191" t="s">
        <v>41</v>
      </c>
      <c r="E191">
        <f>VLOOKUP(D191,'Problem Statement 4'!$G$2:$H$13,2,0)</f>
        <v>9</v>
      </c>
      <c r="F191">
        <v>126.1</v>
      </c>
      <c r="G191" t="s">
        <v>54</v>
      </c>
      <c r="H191" t="str">
        <f t="shared" si="12"/>
        <v>PreCovid</v>
      </c>
      <c r="I191" s="50">
        <f t="shared" si="14"/>
        <v>0.23847376788553032</v>
      </c>
    </row>
    <row r="192" spans="1:9" x14ac:dyDescent="0.3">
      <c r="A192" t="s">
        <v>33</v>
      </c>
      <c r="B192" s="28">
        <f t="shared" si="16"/>
        <v>43739</v>
      </c>
      <c r="C192">
        <v>2019</v>
      </c>
      <c r="D192" t="s">
        <v>42</v>
      </c>
      <c r="E192">
        <f>VLOOKUP(D192,'Problem Statement 4'!$G$2:$H$13,2,0)</f>
        <v>10</v>
      </c>
      <c r="F192">
        <v>126.3</v>
      </c>
      <c r="G192" t="s">
        <v>54</v>
      </c>
      <c r="H192" t="str">
        <f t="shared" si="12"/>
        <v>PreCovid</v>
      </c>
      <c r="I192" s="50">
        <f t="shared" si="14"/>
        <v>0.15860428231562479</v>
      </c>
    </row>
    <row r="193" spans="1:9" x14ac:dyDescent="0.3">
      <c r="A193" t="s">
        <v>33</v>
      </c>
      <c r="B193" s="28">
        <f t="shared" si="16"/>
        <v>43770</v>
      </c>
      <c r="C193">
        <v>2019</v>
      </c>
      <c r="D193" t="s">
        <v>44</v>
      </c>
      <c r="E193">
        <f>VLOOKUP(D193,'Problem Statement 4'!$G$2:$H$13,2,0)</f>
        <v>11</v>
      </c>
      <c r="F193">
        <v>126.6</v>
      </c>
      <c r="G193" t="s">
        <v>54</v>
      </c>
      <c r="H193" t="str">
        <f t="shared" si="12"/>
        <v>PreCovid</v>
      </c>
      <c r="I193" s="50">
        <f t="shared" si="14"/>
        <v>0.23752969121139919</v>
      </c>
    </row>
    <row r="194" spans="1:9" x14ac:dyDescent="0.3">
      <c r="A194" t="s">
        <v>33</v>
      </c>
      <c r="B194" s="28">
        <f t="shared" si="16"/>
        <v>43800</v>
      </c>
      <c r="C194">
        <v>2019</v>
      </c>
      <c r="D194" t="s">
        <v>45</v>
      </c>
      <c r="E194">
        <f>VLOOKUP(D194,'Problem Statement 4'!$G$2:$H$13,2,0)</f>
        <v>12</v>
      </c>
      <c r="F194">
        <v>129.80000000000001</v>
      </c>
      <c r="G194" t="s">
        <v>54</v>
      </c>
      <c r="H194" t="str">
        <f t="shared" si="12"/>
        <v>PreCovid</v>
      </c>
      <c r="I194" s="50">
        <f t="shared" si="14"/>
        <v>2.5276461295418775</v>
      </c>
    </row>
    <row r="195" spans="1:9" x14ac:dyDescent="0.3">
      <c r="A195" t="s">
        <v>33</v>
      </c>
      <c r="B195" s="28">
        <f t="shared" si="16"/>
        <v>43831</v>
      </c>
      <c r="C195">
        <v>2020</v>
      </c>
      <c r="D195" t="s">
        <v>31</v>
      </c>
      <c r="E195">
        <f>VLOOKUP(D195,'Problem Statement 4'!$G$2:$H$13,2,0)</f>
        <v>1</v>
      </c>
      <c r="F195">
        <v>130.9</v>
      </c>
      <c r="G195" t="s">
        <v>54</v>
      </c>
      <c r="H195" t="str">
        <f t="shared" ref="H195:H258" si="17">IF(B195&lt;DATE(2020,3,1),"PreCovid","Post Covid")</f>
        <v>PreCovid</v>
      </c>
      <c r="I195" s="50">
        <f t="shared" si="14"/>
        <v>0.84745762711863959</v>
      </c>
    </row>
    <row r="196" spans="1:9" x14ac:dyDescent="0.3">
      <c r="A196" t="s">
        <v>33</v>
      </c>
      <c r="B196" s="28">
        <f t="shared" si="16"/>
        <v>43862</v>
      </c>
      <c r="C196">
        <v>2020</v>
      </c>
      <c r="D196" t="s">
        <v>34</v>
      </c>
      <c r="E196">
        <f>VLOOKUP(D196,'Problem Statement 4'!$G$2:$H$13,2,0)</f>
        <v>2</v>
      </c>
      <c r="F196">
        <v>130.30000000000001</v>
      </c>
      <c r="G196" t="s">
        <v>54</v>
      </c>
      <c r="H196" t="str">
        <f t="shared" si="17"/>
        <v>PreCovid</v>
      </c>
      <c r="I196" s="50">
        <f t="shared" si="14"/>
        <v>-0.45836516424751278</v>
      </c>
    </row>
    <row r="197" spans="1:9" x14ac:dyDescent="0.3">
      <c r="A197" t="s">
        <v>33</v>
      </c>
      <c r="B197" s="28">
        <f t="shared" si="16"/>
        <v>43891</v>
      </c>
      <c r="C197">
        <v>2020</v>
      </c>
      <c r="D197" t="s">
        <v>35</v>
      </c>
      <c r="E197">
        <f>VLOOKUP(D197,'Problem Statement 4'!$G$2:$H$13,2,0)</f>
        <v>3</v>
      </c>
      <c r="F197">
        <v>129.9</v>
      </c>
      <c r="G197" t="s">
        <v>54</v>
      </c>
      <c r="H197" t="str">
        <f t="shared" si="17"/>
        <v>Post Covid</v>
      </c>
      <c r="I197" s="50">
        <f t="shared" si="14"/>
        <v>-0.30698388334612864</v>
      </c>
    </row>
    <row r="198" spans="1:9" x14ac:dyDescent="0.3">
      <c r="A198" t="s">
        <v>33</v>
      </c>
      <c r="B198" s="28">
        <f t="shared" si="16"/>
        <v>43922</v>
      </c>
      <c r="C198">
        <v>2020</v>
      </c>
      <c r="D198" t="s">
        <v>36</v>
      </c>
      <c r="E198">
        <f>VLOOKUP(D198,'Problem Statement 4'!$G$2:$H$13,2,0)</f>
        <v>4</v>
      </c>
      <c r="F198">
        <v>129.9</v>
      </c>
      <c r="G198" t="s">
        <v>54</v>
      </c>
      <c r="H198" t="str">
        <f t="shared" si="17"/>
        <v>Post Covid</v>
      </c>
      <c r="I198" s="50">
        <f t="shared" si="14"/>
        <v>0</v>
      </c>
    </row>
    <row r="199" spans="1:9" x14ac:dyDescent="0.3">
      <c r="A199" t="s">
        <v>33</v>
      </c>
      <c r="B199" s="28">
        <f t="shared" si="16"/>
        <v>43952</v>
      </c>
      <c r="C199">
        <v>2020</v>
      </c>
      <c r="D199" t="s">
        <v>37</v>
      </c>
      <c r="E199">
        <f>VLOOKUP(D199,'Problem Statement 4'!$G$2:$H$13,2,0)</f>
        <v>5</v>
      </c>
      <c r="F199">
        <v>129.9</v>
      </c>
      <c r="G199" t="s">
        <v>54</v>
      </c>
      <c r="H199" t="str">
        <f t="shared" si="17"/>
        <v>Post Covid</v>
      </c>
      <c r="I199" s="50">
        <f t="shared" si="14"/>
        <v>0</v>
      </c>
    </row>
    <row r="200" spans="1:9" x14ac:dyDescent="0.3">
      <c r="A200" t="s">
        <v>33</v>
      </c>
      <c r="B200" s="28">
        <f t="shared" si="16"/>
        <v>43983</v>
      </c>
      <c r="C200">
        <v>2020</v>
      </c>
      <c r="D200" t="s">
        <v>38</v>
      </c>
      <c r="E200">
        <f>VLOOKUP(D200,'Problem Statement 4'!$G$2:$H$13,2,0)</f>
        <v>6</v>
      </c>
      <c r="F200">
        <v>135</v>
      </c>
      <c r="G200" t="s">
        <v>54</v>
      </c>
      <c r="H200" t="str">
        <f t="shared" si="17"/>
        <v>Post Covid</v>
      </c>
      <c r="I200" s="50">
        <f t="shared" si="14"/>
        <v>3.9260969976905264</v>
      </c>
    </row>
    <row r="201" spans="1:9" x14ac:dyDescent="0.3">
      <c r="A201" t="s">
        <v>33</v>
      </c>
      <c r="B201" s="28">
        <f t="shared" si="16"/>
        <v>44013</v>
      </c>
      <c r="C201">
        <v>2020</v>
      </c>
      <c r="D201" t="s">
        <v>39</v>
      </c>
      <c r="E201">
        <f>VLOOKUP(D201,'Problem Statement 4'!$G$2:$H$13,2,0)</f>
        <v>7</v>
      </c>
      <c r="F201">
        <v>135</v>
      </c>
      <c r="G201" t="s">
        <v>54</v>
      </c>
      <c r="H201" t="str">
        <f t="shared" si="17"/>
        <v>Post Covid</v>
      </c>
      <c r="I201" s="50">
        <f t="shared" si="14"/>
        <v>0</v>
      </c>
    </row>
    <row r="202" spans="1:9" x14ac:dyDescent="0.3">
      <c r="A202" t="s">
        <v>33</v>
      </c>
      <c r="B202" s="28">
        <f t="shared" si="16"/>
        <v>44044</v>
      </c>
      <c r="C202">
        <v>2020</v>
      </c>
      <c r="D202" t="s">
        <v>40</v>
      </c>
      <c r="E202">
        <f>VLOOKUP(D202,'Problem Statement 4'!$G$2:$H$13,2,0)</f>
        <v>8</v>
      </c>
      <c r="F202">
        <v>138.5</v>
      </c>
      <c r="G202" t="s">
        <v>54</v>
      </c>
      <c r="H202" t="str">
        <f t="shared" si="17"/>
        <v>Post Covid</v>
      </c>
      <c r="I202" s="50">
        <f t="shared" si="14"/>
        <v>2.5925925925925926</v>
      </c>
    </row>
    <row r="203" spans="1:9" x14ac:dyDescent="0.3">
      <c r="A203" t="s">
        <v>33</v>
      </c>
      <c r="B203" s="28">
        <f t="shared" si="16"/>
        <v>44075</v>
      </c>
      <c r="C203">
        <v>2020</v>
      </c>
      <c r="D203" t="s">
        <v>41</v>
      </c>
      <c r="E203">
        <f>VLOOKUP(D203,'Problem Statement 4'!$G$2:$H$13,2,0)</f>
        <v>9</v>
      </c>
      <c r="F203">
        <v>139.6</v>
      </c>
      <c r="G203" t="s">
        <v>54</v>
      </c>
      <c r="H203" t="str">
        <f t="shared" si="17"/>
        <v>Post Covid</v>
      </c>
      <c r="I203" s="50">
        <f t="shared" si="14"/>
        <v>0.7942238267147973</v>
      </c>
    </row>
    <row r="204" spans="1:9" x14ac:dyDescent="0.3">
      <c r="A204" t="s">
        <v>33</v>
      </c>
      <c r="B204" s="28">
        <f t="shared" si="16"/>
        <v>44105</v>
      </c>
      <c r="C204">
        <v>2020</v>
      </c>
      <c r="D204" t="s">
        <v>42</v>
      </c>
      <c r="E204">
        <f>VLOOKUP(D204,'Problem Statement 4'!$G$2:$H$13,2,0)</f>
        <v>10</v>
      </c>
      <c r="F204">
        <v>140.6</v>
      </c>
      <c r="G204" t="s">
        <v>54</v>
      </c>
      <c r="H204" t="str">
        <f t="shared" si="17"/>
        <v>Post Covid</v>
      </c>
      <c r="I204" s="50">
        <f t="shared" si="14"/>
        <v>0.71633237822349571</v>
      </c>
    </row>
    <row r="205" spans="1:9" x14ac:dyDescent="0.3">
      <c r="A205" t="s">
        <v>33</v>
      </c>
      <c r="B205" s="28">
        <f t="shared" si="16"/>
        <v>44136</v>
      </c>
      <c r="C205">
        <v>2020</v>
      </c>
      <c r="D205" t="s">
        <v>44</v>
      </c>
      <c r="E205">
        <f>VLOOKUP(D205,'Problem Statement 4'!$G$2:$H$13,2,0)</f>
        <v>11</v>
      </c>
      <c r="F205">
        <v>140.4</v>
      </c>
      <c r="G205" t="s">
        <v>54</v>
      </c>
      <c r="H205" t="str">
        <f t="shared" si="17"/>
        <v>Post Covid</v>
      </c>
      <c r="I205" s="50">
        <f t="shared" si="14"/>
        <v>-0.14224751066855523</v>
      </c>
    </row>
    <row r="206" spans="1:9" x14ac:dyDescent="0.3">
      <c r="A206" t="s">
        <v>33</v>
      </c>
      <c r="B206" s="28">
        <f t="shared" si="16"/>
        <v>44166</v>
      </c>
      <c r="C206">
        <v>2020</v>
      </c>
      <c r="D206" t="s">
        <v>45</v>
      </c>
      <c r="E206">
        <f>VLOOKUP(D206,'Problem Statement 4'!$G$2:$H$13,2,0)</f>
        <v>12</v>
      </c>
      <c r="F206">
        <v>140.69999999999999</v>
      </c>
      <c r="G206" t="s">
        <v>54</v>
      </c>
      <c r="H206" t="str">
        <f t="shared" si="17"/>
        <v>Post Covid</v>
      </c>
      <c r="I206" s="50">
        <f t="shared" si="14"/>
        <v>0.21367521367520151</v>
      </c>
    </row>
    <row r="207" spans="1:9" x14ac:dyDescent="0.3">
      <c r="A207" t="s">
        <v>33</v>
      </c>
      <c r="B207" s="28">
        <f t="shared" si="16"/>
        <v>44197</v>
      </c>
      <c r="C207">
        <v>2021</v>
      </c>
      <c r="D207" t="s">
        <v>31</v>
      </c>
      <c r="E207">
        <f>VLOOKUP(D207,'Problem Statement 4'!$G$2:$H$13,2,0)</f>
        <v>1</v>
      </c>
      <c r="F207">
        <v>141.9</v>
      </c>
      <c r="G207" t="s">
        <v>54</v>
      </c>
      <c r="H207" t="str">
        <f t="shared" si="17"/>
        <v>Post Covid</v>
      </c>
      <c r="I207" s="50">
        <f t="shared" si="14"/>
        <v>0.85287846481877549</v>
      </c>
    </row>
    <row r="208" spans="1:9" x14ac:dyDescent="0.3">
      <c r="A208" t="s">
        <v>33</v>
      </c>
      <c r="B208" s="28">
        <f t="shared" si="16"/>
        <v>44228</v>
      </c>
      <c r="C208">
        <v>2021</v>
      </c>
      <c r="D208" t="s">
        <v>34</v>
      </c>
      <c r="E208">
        <f>VLOOKUP(D208,'Problem Statement 4'!$G$2:$H$13,2,0)</f>
        <v>2</v>
      </c>
      <c r="F208">
        <v>145.1</v>
      </c>
      <c r="G208" t="s">
        <v>54</v>
      </c>
      <c r="H208" t="str">
        <f t="shared" si="17"/>
        <v>Post Covid</v>
      </c>
      <c r="I208" s="50">
        <f t="shared" si="14"/>
        <v>2.2551092318534098</v>
      </c>
    </row>
    <row r="209" spans="1:9" x14ac:dyDescent="0.3">
      <c r="A209" t="s">
        <v>33</v>
      </c>
      <c r="B209" s="28">
        <f t="shared" si="16"/>
        <v>44256</v>
      </c>
      <c r="C209">
        <v>2021</v>
      </c>
      <c r="D209" t="s">
        <v>35</v>
      </c>
      <c r="E209">
        <f>VLOOKUP(D209,'Problem Statement 4'!$G$2:$H$13,2,0)</f>
        <v>3</v>
      </c>
      <c r="F209">
        <v>146.19999999999999</v>
      </c>
      <c r="G209" t="s">
        <v>54</v>
      </c>
      <c r="H209" t="str">
        <f t="shared" si="17"/>
        <v>Post Covid</v>
      </c>
      <c r="I209" s="50">
        <f t="shared" si="14"/>
        <v>0.75809786354238073</v>
      </c>
    </row>
    <row r="210" spans="1:9" x14ac:dyDescent="0.3">
      <c r="A210" t="s">
        <v>33</v>
      </c>
      <c r="B210" s="28">
        <f t="shared" si="16"/>
        <v>44287</v>
      </c>
      <c r="C210">
        <v>2021</v>
      </c>
      <c r="D210" t="s">
        <v>36</v>
      </c>
      <c r="E210">
        <f>VLOOKUP(D210,'Problem Statement 4'!$G$2:$H$13,2,0)</f>
        <v>4</v>
      </c>
      <c r="F210">
        <v>146.6</v>
      </c>
      <c r="G210" t="s">
        <v>54</v>
      </c>
      <c r="H210" t="str">
        <f t="shared" si="17"/>
        <v>Post Covid</v>
      </c>
      <c r="I210" s="50">
        <f t="shared" ref="I210:I273" si="18">(F210-F209)/F209*100</f>
        <v>0.27359781121751414</v>
      </c>
    </row>
    <row r="211" spans="1:9" x14ac:dyDescent="0.3">
      <c r="A211" t="s">
        <v>33</v>
      </c>
      <c r="B211" s="28">
        <f t="shared" si="16"/>
        <v>44317</v>
      </c>
      <c r="C211">
        <v>2021</v>
      </c>
      <c r="D211" t="s">
        <v>37</v>
      </c>
      <c r="E211">
        <f>VLOOKUP(D211,'Problem Statement 4'!$G$2:$H$13,2,0)</f>
        <v>5</v>
      </c>
      <c r="F211">
        <v>148.9</v>
      </c>
      <c r="G211" t="s">
        <v>54</v>
      </c>
      <c r="H211" t="str">
        <f t="shared" si="17"/>
        <v>Post Covid</v>
      </c>
      <c r="I211" s="50">
        <f t="shared" si="18"/>
        <v>1.5688949522510309</v>
      </c>
    </row>
    <row r="212" spans="1:9" x14ac:dyDescent="0.3">
      <c r="A212" t="s">
        <v>33</v>
      </c>
      <c r="B212" s="28">
        <f t="shared" si="16"/>
        <v>44348</v>
      </c>
      <c r="C212">
        <v>2021</v>
      </c>
      <c r="D212" t="s">
        <v>38</v>
      </c>
      <c r="E212">
        <f>VLOOKUP(D212,'Problem Statement 4'!$G$2:$H$13,2,0)</f>
        <v>6</v>
      </c>
      <c r="F212">
        <v>150.69999999999999</v>
      </c>
      <c r="G212" t="s">
        <v>54</v>
      </c>
      <c r="H212" t="str">
        <f t="shared" si="17"/>
        <v>Post Covid</v>
      </c>
      <c r="I212" s="50">
        <f t="shared" si="18"/>
        <v>1.2088650100738636</v>
      </c>
    </row>
    <row r="213" spans="1:9" x14ac:dyDescent="0.3">
      <c r="A213" t="s">
        <v>33</v>
      </c>
      <c r="B213" s="28">
        <f t="shared" si="16"/>
        <v>44378</v>
      </c>
      <c r="C213">
        <v>2021</v>
      </c>
      <c r="D213" t="s">
        <v>39</v>
      </c>
      <c r="E213">
        <f>VLOOKUP(D213,'Problem Statement 4'!$G$2:$H$13,2,0)</f>
        <v>7</v>
      </c>
      <c r="F213">
        <v>153.1</v>
      </c>
      <c r="G213" t="s">
        <v>54</v>
      </c>
      <c r="H213" t="str">
        <f t="shared" si="17"/>
        <v>Post Covid</v>
      </c>
      <c r="I213" s="50">
        <f t="shared" si="18"/>
        <v>1.5925680159256841</v>
      </c>
    </row>
    <row r="214" spans="1:9" x14ac:dyDescent="0.3">
      <c r="A214" t="s">
        <v>33</v>
      </c>
      <c r="B214" s="28">
        <f t="shared" si="16"/>
        <v>44409</v>
      </c>
      <c r="C214">
        <v>2021</v>
      </c>
      <c r="D214" t="s">
        <v>40</v>
      </c>
      <c r="E214">
        <f>VLOOKUP(D214,'Problem Statement 4'!$G$2:$H$13,2,0)</f>
        <v>8</v>
      </c>
      <c r="F214">
        <v>154</v>
      </c>
      <c r="G214" t="s">
        <v>54</v>
      </c>
      <c r="H214" t="str">
        <f t="shared" si="17"/>
        <v>Post Covid</v>
      </c>
      <c r="I214" s="50">
        <f t="shared" si="18"/>
        <v>0.58785107772697953</v>
      </c>
    </row>
    <row r="215" spans="1:9" x14ac:dyDescent="0.3">
      <c r="A215" t="s">
        <v>33</v>
      </c>
      <c r="B215" s="28">
        <f t="shared" si="16"/>
        <v>44440</v>
      </c>
      <c r="C215">
        <v>2021</v>
      </c>
      <c r="D215" t="s">
        <v>41</v>
      </c>
      <c r="E215">
        <f>VLOOKUP(D215,'Problem Statement 4'!$G$2:$H$13,2,0)</f>
        <v>9</v>
      </c>
      <c r="F215">
        <v>154</v>
      </c>
      <c r="G215" t="s">
        <v>54</v>
      </c>
      <c r="H215" t="str">
        <f t="shared" si="17"/>
        <v>Post Covid</v>
      </c>
      <c r="I215" s="50">
        <f t="shared" si="18"/>
        <v>0</v>
      </c>
    </row>
    <row r="216" spans="1:9" x14ac:dyDescent="0.3">
      <c r="A216" t="s">
        <v>33</v>
      </c>
      <c r="B216" s="28">
        <f t="shared" si="16"/>
        <v>44470</v>
      </c>
      <c r="C216">
        <v>2021</v>
      </c>
      <c r="D216" t="s">
        <v>42</v>
      </c>
      <c r="E216">
        <f>VLOOKUP(D216,'Problem Statement 4'!$G$2:$H$13,2,0)</f>
        <v>10</v>
      </c>
      <c r="F216">
        <v>155.69999999999999</v>
      </c>
      <c r="G216" t="s">
        <v>54</v>
      </c>
      <c r="H216" t="str">
        <f t="shared" si="17"/>
        <v>Post Covid</v>
      </c>
      <c r="I216" s="50">
        <f t="shared" si="18"/>
        <v>1.1038961038960964</v>
      </c>
    </row>
    <row r="217" spans="1:9" x14ac:dyDescent="0.3">
      <c r="A217" t="s">
        <v>33</v>
      </c>
      <c r="B217" s="28">
        <f t="shared" si="16"/>
        <v>44501</v>
      </c>
      <c r="C217">
        <v>2021</v>
      </c>
      <c r="D217" t="s">
        <v>44</v>
      </c>
      <c r="E217">
        <f>VLOOKUP(D217,'Problem Statement 4'!$G$2:$H$13,2,0)</f>
        <v>11</v>
      </c>
      <c r="F217">
        <v>154.80000000000001</v>
      </c>
      <c r="G217" t="s">
        <v>54</v>
      </c>
      <c r="H217" t="str">
        <f t="shared" si="17"/>
        <v>Post Covid</v>
      </c>
      <c r="I217" s="50">
        <f t="shared" si="18"/>
        <v>-0.57803468208091024</v>
      </c>
    </row>
    <row r="218" spans="1:9" x14ac:dyDescent="0.3">
      <c r="A218" t="s">
        <v>33</v>
      </c>
      <c r="B218" s="28">
        <f t="shared" si="16"/>
        <v>44531</v>
      </c>
      <c r="C218">
        <v>2021</v>
      </c>
      <c r="D218" t="s">
        <v>45</v>
      </c>
      <c r="E218">
        <f>VLOOKUP(D218,'Problem Statement 4'!$G$2:$H$13,2,0)</f>
        <v>12</v>
      </c>
      <c r="F218">
        <v>155.69999999999999</v>
      </c>
      <c r="G218" t="s">
        <v>54</v>
      </c>
      <c r="H218" t="str">
        <f t="shared" si="17"/>
        <v>Post Covid</v>
      </c>
      <c r="I218" s="50">
        <f t="shared" si="18"/>
        <v>0.58139534883719457</v>
      </c>
    </row>
    <row r="219" spans="1:9" x14ac:dyDescent="0.3">
      <c r="A219" t="s">
        <v>33</v>
      </c>
      <c r="B219" s="28">
        <f t="shared" si="16"/>
        <v>44562</v>
      </c>
      <c r="C219">
        <v>2022</v>
      </c>
      <c r="D219" t="s">
        <v>31</v>
      </c>
      <c r="E219">
        <f>VLOOKUP(D219,'Problem Statement 4'!$G$2:$H$13,2,0)</f>
        <v>1</v>
      </c>
      <c r="F219">
        <v>156.5</v>
      </c>
      <c r="G219" t="s">
        <v>54</v>
      </c>
      <c r="H219" t="str">
        <f t="shared" si="17"/>
        <v>Post Covid</v>
      </c>
      <c r="I219" s="50">
        <f t="shared" si="18"/>
        <v>0.51380860629416281</v>
      </c>
    </row>
    <row r="220" spans="1:9" x14ac:dyDescent="0.3">
      <c r="A220" t="s">
        <v>33</v>
      </c>
      <c r="B220" s="28">
        <f t="shared" si="16"/>
        <v>44593</v>
      </c>
      <c r="C220">
        <v>2022</v>
      </c>
      <c r="D220" t="s">
        <v>34</v>
      </c>
      <c r="E220">
        <f>VLOOKUP(D220,'Problem Statement 4'!$G$2:$H$13,2,0)</f>
        <v>2</v>
      </c>
      <c r="F220">
        <v>156.9</v>
      </c>
      <c r="G220" t="s">
        <v>54</v>
      </c>
      <c r="H220" t="str">
        <f t="shared" si="17"/>
        <v>Post Covid</v>
      </c>
      <c r="I220" s="50">
        <f t="shared" si="18"/>
        <v>0.25559105431310269</v>
      </c>
    </row>
    <row r="221" spans="1:9" x14ac:dyDescent="0.3">
      <c r="A221" t="s">
        <v>33</v>
      </c>
      <c r="B221" s="28">
        <f t="shared" si="16"/>
        <v>44621</v>
      </c>
      <c r="C221">
        <v>2022</v>
      </c>
      <c r="D221" t="s">
        <v>35</v>
      </c>
      <c r="E221">
        <f>VLOOKUP(D221,'Problem Statement 4'!$G$2:$H$13,2,0)</f>
        <v>3</v>
      </c>
      <c r="F221">
        <v>157.9</v>
      </c>
      <c r="G221" t="s">
        <v>54</v>
      </c>
      <c r="H221" t="str">
        <f t="shared" si="17"/>
        <v>Post Covid</v>
      </c>
      <c r="I221" s="50">
        <f t="shared" si="18"/>
        <v>0.63734862970044615</v>
      </c>
    </row>
    <row r="222" spans="1:9" x14ac:dyDescent="0.3">
      <c r="A222" t="s">
        <v>33</v>
      </c>
      <c r="B222" s="28">
        <f t="shared" si="16"/>
        <v>44652</v>
      </c>
      <c r="C222">
        <v>2022</v>
      </c>
      <c r="D222" t="s">
        <v>36</v>
      </c>
      <c r="E222">
        <f>VLOOKUP(D222,'Problem Statement 4'!$G$2:$H$13,2,0)</f>
        <v>4</v>
      </c>
      <c r="F222">
        <v>162.6</v>
      </c>
      <c r="G222" t="s">
        <v>54</v>
      </c>
      <c r="H222" t="str">
        <f t="shared" si="17"/>
        <v>Post Covid</v>
      </c>
      <c r="I222" s="50">
        <f t="shared" si="18"/>
        <v>2.9765674477517345</v>
      </c>
    </row>
    <row r="223" spans="1:9" x14ac:dyDescent="0.3">
      <c r="A223" t="s">
        <v>33</v>
      </c>
      <c r="B223" s="28">
        <f t="shared" si="16"/>
        <v>44682</v>
      </c>
      <c r="C223">
        <v>2022</v>
      </c>
      <c r="D223" t="s">
        <v>37</v>
      </c>
      <c r="E223">
        <f>VLOOKUP(D223,'Problem Statement 4'!$G$2:$H$13,2,0)</f>
        <v>5</v>
      </c>
      <c r="F223">
        <v>163</v>
      </c>
      <c r="G223" t="s">
        <v>54</v>
      </c>
      <c r="H223" t="str">
        <f t="shared" si="17"/>
        <v>Post Covid</v>
      </c>
      <c r="I223" s="50">
        <f t="shared" si="18"/>
        <v>0.24600246002460377</v>
      </c>
    </row>
    <row r="224" spans="1:9" x14ac:dyDescent="0.3">
      <c r="A224" t="s">
        <v>33</v>
      </c>
      <c r="B224" s="28">
        <f t="shared" si="16"/>
        <v>44713</v>
      </c>
      <c r="C224">
        <v>2022</v>
      </c>
      <c r="D224" t="s">
        <v>38</v>
      </c>
      <c r="E224">
        <f>VLOOKUP(D224,'Problem Statement 4'!$G$2:$H$13,2,0)</f>
        <v>6</v>
      </c>
      <c r="F224">
        <v>161.1</v>
      </c>
      <c r="G224" t="s">
        <v>54</v>
      </c>
      <c r="H224" t="str">
        <f t="shared" si="17"/>
        <v>Post Covid</v>
      </c>
      <c r="I224" s="50">
        <f t="shared" si="18"/>
        <v>-1.1656441717791446</v>
      </c>
    </row>
    <row r="225" spans="1:9" x14ac:dyDescent="0.3">
      <c r="A225" t="s">
        <v>33</v>
      </c>
      <c r="B225" s="28">
        <f t="shared" si="16"/>
        <v>44743</v>
      </c>
      <c r="C225">
        <v>2022</v>
      </c>
      <c r="D225" t="s">
        <v>39</v>
      </c>
      <c r="E225">
        <f>VLOOKUP(D225,'Problem Statement 4'!$G$2:$H$13,2,0)</f>
        <v>7</v>
      </c>
      <c r="F225">
        <v>161.6</v>
      </c>
      <c r="G225" t="s">
        <v>54</v>
      </c>
      <c r="H225" t="str">
        <f t="shared" si="17"/>
        <v>Post Covid</v>
      </c>
      <c r="I225" s="50">
        <f t="shared" si="18"/>
        <v>0.31036623215394166</v>
      </c>
    </row>
    <row r="226" spans="1:9" x14ac:dyDescent="0.3">
      <c r="A226" t="s">
        <v>33</v>
      </c>
      <c r="B226" s="28">
        <f t="shared" si="16"/>
        <v>44774</v>
      </c>
      <c r="C226">
        <v>2022</v>
      </c>
      <c r="D226" t="s">
        <v>40</v>
      </c>
      <c r="E226">
        <f>VLOOKUP(D226,'Problem Statement 4'!$G$2:$H$13,2,0)</f>
        <v>8</v>
      </c>
      <c r="F226">
        <v>161.9</v>
      </c>
      <c r="G226" t="s">
        <v>54</v>
      </c>
      <c r="H226" t="str">
        <f t="shared" si="17"/>
        <v>Post Covid</v>
      </c>
      <c r="I226" s="50">
        <f t="shared" si="18"/>
        <v>0.18564356435644269</v>
      </c>
    </row>
    <row r="227" spans="1:9" x14ac:dyDescent="0.3">
      <c r="A227" t="s">
        <v>33</v>
      </c>
      <c r="B227" s="28">
        <f t="shared" si="16"/>
        <v>44805</v>
      </c>
      <c r="C227">
        <v>2022</v>
      </c>
      <c r="D227" t="s">
        <v>41</v>
      </c>
      <c r="E227">
        <f>VLOOKUP(D227,'Problem Statement 4'!$G$2:$H$13,2,0)</f>
        <v>9</v>
      </c>
      <c r="F227">
        <v>162.30000000000001</v>
      </c>
      <c r="G227" t="s">
        <v>54</v>
      </c>
      <c r="H227" t="str">
        <f t="shared" si="17"/>
        <v>Post Covid</v>
      </c>
      <c r="I227" s="50">
        <f t="shared" si="18"/>
        <v>0.2470660901791264</v>
      </c>
    </row>
    <row r="228" spans="1:9" x14ac:dyDescent="0.3">
      <c r="A228" t="s">
        <v>33</v>
      </c>
      <c r="B228" s="28">
        <f t="shared" si="16"/>
        <v>44835</v>
      </c>
      <c r="C228">
        <v>2022</v>
      </c>
      <c r="D228" t="s">
        <v>42</v>
      </c>
      <c r="E228">
        <f>VLOOKUP(D228,'Problem Statement 4'!$G$2:$H$13,2,0)</f>
        <v>10</v>
      </c>
      <c r="F228">
        <v>162.9</v>
      </c>
      <c r="G228" t="s">
        <v>54</v>
      </c>
      <c r="H228" t="str">
        <f t="shared" si="17"/>
        <v>Post Covid</v>
      </c>
      <c r="I228" s="50">
        <f t="shared" si="18"/>
        <v>0.36968576709796319</v>
      </c>
    </row>
    <row r="229" spans="1:9" x14ac:dyDescent="0.3">
      <c r="A229" t="s">
        <v>33</v>
      </c>
      <c r="B229" s="28">
        <f t="shared" si="16"/>
        <v>44866</v>
      </c>
      <c r="C229">
        <v>2022</v>
      </c>
      <c r="D229" t="s">
        <v>44</v>
      </c>
      <c r="E229">
        <f>VLOOKUP(D229,'Problem Statement 4'!$G$2:$H$13,2,0)</f>
        <v>11</v>
      </c>
      <c r="F229">
        <v>163</v>
      </c>
      <c r="G229" t="s">
        <v>54</v>
      </c>
      <c r="H229" t="str">
        <f t="shared" si="17"/>
        <v>Post Covid</v>
      </c>
      <c r="I229" s="50">
        <f t="shared" si="18"/>
        <v>6.1387354205030269E-2</v>
      </c>
    </row>
    <row r="230" spans="1:9" x14ac:dyDescent="0.3">
      <c r="A230" t="s">
        <v>33</v>
      </c>
      <c r="B230" s="28">
        <f t="shared" si="16"/>
        <v>44896</v>
      </c>
      <c r="C230">
        <v>2022</v>
      </c>
      <c r="D230" t="s">
        <v>45</v>
      </c>
      <c r="E230">
        <f>VLOOKUP(D230,'Problem Statement 4'!$G$2:$H$13,2,0)</f>
        <v>12</v>
      </c>
      <c r="F230">
        <v>163.4</v>
      </c>
      <c r="G230" t="s">
        <v>54</v>
      </c>
      <c r="H230" t="str">
        <f t="shared" si="17"/>
        <v>Post Covid</v>
      </c>
      <c r="I230" s="50">
        <f t="shared" si="18"/>
        <v>0.24539877300613847</v>
      </c>
    </row>
    <row r="231" spans="1:9" x14ac:dyDescent="0.3">
      <c r="A231" t="s">
        <v>33</v>
      </c>
      <c r="B231" s="28">
        <f t="shared" si="16"/>
        <v>44927</v>
      </c>
      <c r="C231">
        <v>2023</v>
      </c>
      <c r="D231" t="s">
        <v>31</v>
      </c>
      <c r="E231">
        <f>VLOOKUP(D231,'Problem Statement 4'!$G$2:$H$13,2,0)</f>
        <v>1</v>
      </c>
      <c r="F231">
        <v>163.6</v>
      </c>
      <c r="G231" t="s">
        <v>54</v>
      </c>
      <c r="H231" t="str">
        <f t="shared" si="17"/>
        <v>Post Covid</v>
      </c>
      <c r="I231" s="50">
        <f t="shared" si="18"/>
        <v>0.12239902080782657</v>
      </c>
    </row>
    <row r="232" spans="1:9" x14ac:dyDescent="0.3">
      <c r="A232" t="s">
        <v>33</v>
      </c>
      <c r="B232" s="28">
        <f t="shared" si="16"/>
        <v>44958</v>
      </c>
      <c r="C232">
        <v>2023</v>
      </c>
      <c r="D232" t="s">
        <v>34</v>
      </c>
      <c r="E232">
        <f>VLOOKUP(D232,'Problem Statement 4'!$G$2:$H$13,2,0)</f>
        <v>2</v>
      </c>
      <c r="F232">
        <v>164.2</v>
      </c>
      <c r="G232" t="s">
        <v>54</v>
      </c>
      <c r="H232" t="str">
        <f t="shared" si="17"/>
        <v>Post Covid</v>
      </c>
      <c r="I232" s="50">
        <f t="shared" si="18"/>
        <v>0.36674816625916523</v>
      </c>
    </row>
    <row r="233" spans="1:9" x14ac:dyDescent="0.3">
      <c r="A233" t="s">
        <v>33</v>
      </c>
      <c r="B233" s="28">
        <f t="shared" si="16"/>
        <v>44986</v>
      </c>
      <c r="C233">
        <v>2023</v>
      </c>
      <c r="D233" t="s">
        <v>35</v>
      </c>
      <c r="E233">
        <f>VLOOKUP(D233,'Problem Statement 4'!$G$2:$H$13,2,0)</f>
        <v>3</v>
      </c>
      <c r="F233">
        <v>164.2</v>
      </c>
      <c r="G233" t="s">
        <v>54</v>
      </c>
      <c r="H233" t="str">
        <f t="shared" si="17"/>
        <v>Post Covid</v>
      </c>
      <c r="I233" s="50">
        <f t="shared" si="18"/>
        <v>0</v>
      </c>
    </row>
    <row r="234" spans="1:9" x14ac:dyDescent="0.3">
      <c r="A234" t="s">
        <v>33</v>
      </c>
      <c r="B234" s="28">
        <f t="shared" si="16"/>
        <v>45017</v>
      </c>
      <c r="C234">
        <v>2023</v>
      </c>
      <c r="D234" t="s">
        <v>36</v>
      </c>
      <c r="E234">
        <f>VLOOKUP(D234,'Problem Statement 4'!$G$2:$H$13,2,0)</f>
        <v>4</v>
      </c>
      <c r="F234">
        <v>164.5</v>
      </c>
      <c r="G234" t="s">
        <v>54</v>
      </c>
      <c r="H234" t="str">
        <f t="shared" si="17"/>
        <v>Post Covid</v>
      </c>
      <c r="I234" s="50">
        <f t="shared" si="18"/>
        <v>0.18270401948843568</v>
      </c>
    </row>
    <row r="235" spans="1:9" x14ac:dyDescent="0.3">
      <c r="A235" t="s">
        <v>33</v>
      </c>
      <c r="B235" s="28">
        <f t="shared" si="16"/>
        <v>45047</v>
      </c>
      <c r="C235">
        <v>2023</v>
      </c>
      <c r="D235" t="s">
        <v>37</v>
      </c>
      <c r="E235">
        <f>VLOOKUP(D235,'Problem Statement 4'!$G$2:$H$13,2,0)</f>
        <v>5</v>
      </c>
      <c r="F235">
        <v>164.8</v>
      </c>
      <c r="G235" t="s">
        <v>54</v>
      </c>
      <c r="H235" t="str">
        <f t="shared" si="17"/>
        <v>Post Covid</v>
      </c>
      <c r="I235" s="50">
        <f t="shared" si="18"/>
        <v>0.18237082066869992</v>
      </c>
    </row>
    <row r="236" spans="1:9" x14ac:dyDescent="0.3">
      <c r="A236" t="s">
        <v>33</v>
      </c>
      <c r="B236" s="28">
        <f t="shared" ref="B236:B253" si="19">DATE(C236,E236,1)</f>
        <v>42675</v>
      </c>
      <c r="C236">
        <v>2016</v>
      </c>
      <c r="D236" t="s">
        <v>44</v>
      </c>
      <c r="E236">
        <f>VLOOKUP(D236,'Problem Statement 4'!$G$2:$H$13,2,0)</f>
        <v>11</v>
      </c>
      <c r="F236">
        <v>132.80000000000001</v>
      </c>
      <c r="G236" t="s">
        <v>26</v>
      </c>
      <c r="H236" t="str">
        <f t="shared" si="17"/>
        <v>PreCovid</v>
      </c>
      <c r="I236" s="50">
        <v>0</v>
      </c>
    </row>
    <row r="237" spans="1:9" x14ac:dyDescent="0.3">
      <c r="A237" t="s">
        <v>33</v>
      </c>
      <c r="B237" s="28">
        <f t="shared" si="19"/>
        <v>42705</v>
      </c>
      <c r="C237">
        <v>2016</v>
      </c>
      <c r="D237" t="s">
        <v>45</v>
      </c>
      <c r="E237">
        <f>VLOOKUP(D237,'Problem Statement 4'!$G$2:$H$13,2,0)</f>
        <v>12</v>
      </c>
      <c r="F237">
        <v>133.1</v>
      </c>
      <c r="G237" t="s">
        <v>26</v>
      </c>
      <c r="H237" t="str">
        <f t="shared" si="17"/>
        <v>PreCovid</v>
      </c>
      <c r="I237" s="50">
        <f t="shared" si="18"/>
        <v>0.22590361445781848</v>
      </c>
    </row>
    <row r="238" spans="1:9" x14ac:dyDescent="0.3">
      <c r="A238" t="s">
        <v>33</v>
      </c>
      <c r="B238" s="28">
        <f t="shared" si="19"/>
        <v>42736</v>
      </c>
      <c r="C238">
        <v>2017</v>
      </c>
      <c r="D238" t="s">
        <v>31</v>
      </c>
      <c r="E238">
        <f>VLOOKUP(D238,'Problem Statement 4'!$G$2:$H$13,2,0)</f>
        <v>1</v>
      </c>
      <c r="F238">
        <v>133.30000000000001</v>
      </c>
      <c r="G238" t="s">
        <v>26</v>
      </c>
      <c r="H238" t="str">
        <f t="shared" si="17"/>
        <v>PreCovid</v>
      </c>
      <c r="I238" s="50">
        <f t="shared" si="18"/>
        <v>0.15026296018032836</v>
      </c>
    </row>
    <row r="239" spans="1:9" x14ac:dyDescent="0.3">
      <c r="A239" t="s">
        <v>33</v>
      </c>
      <c r="B239" s="28">
        <f t="shared" si="19"/>
        <v>42767</v>
      </c>
      <c r="C239">
        <v>2017</v>
      </c>
      <c r="D239" t="s">
        <v>34</v>
      </c>
      <c r="E239">
        <f>VLOOKUP(D239,'Problem Statement 4'!$G$2:$H$13,2,0)</f>
        <v>2</v>
      </c>
      <c r="F239">
        <v>133.4</v>
      </c>
      <c r="G239" t="s">
        <v>26</v>
      </c>
      <c r="H239" t="str">
        <f t="shared" si="17"/>
        <v>PreCovid</v>
      </c>
      <c r="I239" s="50">
        <f t="shared" si="18"/>
        <v>7.5018754688667894E-2</v>
      </c>
    </row>
    <row r="240" spans="1:9" x14ac:dyDescent="0.3">
      <c r="A240" t="s">
        <v>33</v>
      </c>
      <c r="B240" s="28">
        <f t="shared" si="19"/>
        <v>42795</v>
      </c>
      <c r="C240">
        <v>2017</v>
      </c>
      <c r="D240" t="s">
        <v>35</v>
      </c>
      <c r="E240">
        <f>VLOOKUP(D240,'Problem Statement 4'!$G$2:$H$13,2,0)</f>
        <v>3</v>
      </c>
      <c r="F240">
        <v>133.80000000000001</v>
      </c>
      <c r="G240" t="s">
        <v>26</v>
      </c>
      <c r="H240" t="str">
        <f t="shared" si="17"/>
        <v>PreCovid</v>
      </c>
      <c r="I240" s="50">
        <f t="shared" si="18"/>
        <v>0.29985007496252297</v>
      </c>
    </row>
    <row r="241" spans="1:9" x14ac:dyDescent="0.3">
      <c r="A241" t="s">
        <v>33</v>
      </c>
      <c r="B241" s="28">
        <f t="shared" si="19"/>
        <v>42826</v>
      </c>
      <c r="C241">
        <v>2017</v>
      </c>
      <c r="D241" t="s">
        <v>36</v>
      </c>
      <c r="E241">
        <f>VLOOKUP(D241,'Problem Statement 4'!$G$2:$H$13,2,0)</f>
        <v>4</v>
      </c>
      <c r="F241">
        <v>134.5</v>
      </c>
      <c r="G241" t="s">
        <v>26</v>
      </c>
      <c r="H241" t="str">
        <f t="shared" si="17"/>
        <v>PreCovid</v>
      </c>
      <c r="I241" s="50">
        <f t="shared" si="18"/>
        <v>0.52316890881912448</v>
      </c>
    </row>
    <row r="242" spans="1:9" x14ac:dyDescent="0.3">
      <c r="A242" t="s">
        <v>33</v>
      </c>
      <c r="B242" s="28">
        <f t="shared" si="19"/>
        <v>42856</v>
      </c>
      <c r="C242">
        <v>2017</v>
      </c>
      <c r="D242" t="s">
        <v>37</v>
      </c>
      <c r="E242">
        <f>VLOOKUP(D242,'Problem Statement 4'!$G$2:$H$13,2,0)</f>
        <v>5</v>
      </c>
      <c r="F242">
        <v>134.80000000000001</v>
      </c>
      <c r="G242" t="s">
        <v>26</v>
      </c>
      <c r="H242" t="str">
        <f t="shared" si="17"/>
        <v>PreCovid</v>
      </c>
      <c r="I242" s="50">
        <f t="shared" si="18"/>
        <v>0.22304832713755493</v>
      </c>
    </row>
    <row r="243" spans="1:9" x14ac:dyDescent="0.3">
      <c r="A243" t="s">
        <v>33</v>
      </c>
      <c r="B243" s="28">
        <f t="shared" si="19"/>
        <v>42887</v>
      </c>
      <c r="C243">
        <v>2017</v>
      </c>
      <c r="D243" t="s">
        <v>38</v>
      </c>
      <c r="E243">
        <f>VLOOKUP(D243,'Problem Statement 4'!$G$2:$H$13,2,0)</f>
        <v>6</v>
      </c>
      <c r="F243">
        <v>135.4</v>
      </c>
      <c r="G243" t="s">
        <v>26</v>
      </c>
      <c r="H243" t="str">
        <f t="shared" si="17"/>
        <v>PreCovid</v>
      </c>
      <c r="I243" s="50">
        <f t="shared" si="18"/>
        <v>0.44510385756676135</v>
      </c>
    </row>
    <row r="244" spans="1:9" x14ac:dyDescent="0.3">
      <c r="A244" t="s">
        <v>33</v>
      </c>
      <c r="B244" s="28">
        <f t="shared" si="19"/>
        <v>42917</v>
      </c>
      <c r="C244">
        <v>2017</v>
      </c>
      <c r="D244" t="s">
        <v>39</v>
      </c>
      <c r="E244">
        <f>VLOOKUP(D244,'Problem Statement 4'!$G$2:$H$13,2,0)</f>
        <v>7</v>
      </c>
      <c r="F244">
        <v>136.80000000000001</v>
      </c>
      <c r="G244" t="s">
        <v>26</v>
      </c>
      <c r="H244" t="str">
        <f t="shared" si="17"/>
        <v>PreCovid</v>
      </c>
      <c r="I244" s="50">
        <f t="shared" si="18"/>
        <v>1.0339734121122641</v>
      </c>
    </row>
    <row r="245" spans="1:9" x14ac:dyDescent="0.3">
      <c r="A245" t="s">
        <v>33</v>
      </c>
      <c r="B245" s="28">
        <f t="shared" si="19"/>
        <v>42948</v>
      </c>
      <c r="C245">
        <v>2017</v>
      </c>
      <c r="D245" t="s">
        <v>40</v>
      </c>
      <c r="E245">
        <f>VLOOKUP(D245,'Problem Statement 4'!$G$2:$H$13,2,0)</f>
        <v>8</v>
      </c>
      <c r="F245">
        <v>137.6</v>
      </c>
      <c r="G245" t="s">
        <v>26</v>
      </c>
      <c r="H245" t="str">
        <f t="shared" si="17"/>
        <v>PreCovid</v>
      </c>
      <c r="I245" s="50">
        <f t="shared" si="18"/>
        <v>0.58479532163741443</v>
      </c>
    </row>
    <row r="246" spans="1:9" x14ac:dyDescent="0.3">
      <c r="A246" t="s">
        <v>33</v>
      </c>
      <c r="B246" s="28">
        <f t="shared" si="19"/>
        <v>42979</v>
      </c>
      <c r="C246">
        <v>2017</v>
      </c>
      <c r="D246" t="s">
        <v>41</v>
      </c>
      <c r="E246">
        <f>VLOOKUP(D246,'Problem Statement 4'!$G$2:$H$13,2,0)</f>
        <v>9</v>
      </c>
      <c r="F246">
        <v>137.4</v>
      </c>
      <c r="G246" t="s">
        <v>26</v>
      </c>
      <c r="H246" t="str">
        <f t="shared" si="17"/>
        <v>PreCovid</v>
      </c>
      <c r="I246" s="50">
        <f t="shared" si="18"/>
        <v>-0.14534883720929406</v>
      </c>
    </row>
    <row r="247" spans="1:9" x14ac:dyDescent="0.3">
      <c r="A247" t="s">
        <v>33</v>
      </c>
      <c r="B247" s="28">
        <f t="shared" si="19"/>
        <v>43009</v>
      </c>
      <c r="C247">
        <v>2017</v>
      </c>
      <c r="D247" t="s">
        <v>42</v>
      </c>
      <c r="E247">
        <f>VLOOKUP(D247,'Problem Statement 4'!$G$2:$H$13,2,0)</f>
        <v>10</v>
      </c>
      <c r="F247">
        <v>137.9</v>
      </c>
      <c r="G247" t="s">
        <v>26</v>
      </c>
      <c r="H247" t="str">
        <f t="shared" si="17"/>
        <v>PreCovid</v>
      </c>
      <c r="I247" s="50">
        <f t="shared" si="18"/>
        <v>0.36390101892285298</v>
      </c>
    </row>
    <row r="248" spans="1:9" x14ac:dyDescent="0.3">
      <c r="A248" t="s">
        <v>33</v>
      </c>
      <c r="B248" s="28">
        <f t="shared" si="19"/>
        <v>43040</v>
      </c>
      <c r="C248">
        <v>2017</v>
      </c>
      <c r="D248" t="s">
        <v>44</v>
      </c>
      <c r="E248">
        <f>VLOOKUP(D248,'Problem Statement 4'!$G$2:$H$13,2,0)</f>
        <v>11</v>
      </c>
      <c r="F248">
        <v>138.6</v>
      </c>
      <c r="G248" t="s">
        <v>26</v>
      </c>
      <c r="H248" t="str">
        <f t="shared" si="17"/>
        <v>PreCovid</v>
      </c>
      <c r="I248" s="50">
        <f t="shared" si="18"/>
        <v>0.50761421319796129</v>
      </c>
    </row>
    <row r="249" spans="1:9" x14ac:dyDescent="0.3">
      <c r="A249" t="s">
        <v>33</v>
      </c>
      <c r="B249" s="28">
        <f t="shared" si="19"/>
        <v>43070</v>
      </c>
      <c r="C249">
        <v>2017</v>
      </c>
      <c r="D249" t="s">
        <v>45</v>
      </c>
      <c r="E249">
        <f>VLOOKUP(D249,'Problem Statement 4'!$G$2:$H$13,2,0)</f>
        <v>12</v>
      </c>
      <c r="F249">
        <v>138.5</v>
      </c>
      <c r="G249" t="s">
        <v>26</v>
      </c>
      <c r="H249" t="str">
        <f t="shared" si="17"/>
        <v>PreCovid</v>
      </c>
      <c r="I249" s="50">
        <f t="shared" si="18"/>
        <v>-7.2150072150068051E-2</v>
      </c>
    </row>
    <row r="250" spans="1:9" x14ac:dyDescent="0.3">
      <c r="A250" t="s">
        <v>33</v>
      </c>
      <c r="B250" s="28">
        <f t="shared" si="19"/>
        <v>43101</v>
      </c>
      <c r="C250">
        <v>2018</v>
      </c>
      <c r="D250" t="s">
        <v>31</v>
      </c>
      <c r="E250">
        <f>VLOOKUP(D250,'Problem Statement 4'!$G$2:$H$13,2,0)</f>
        <v>1</v>
      </c>
      <c r="F250">
        <v>139</v>
      </c>
      <c r="G250" t="s">
        <v>26</v>
      </c>
      <c r="H250" t="str">
        <f t="shared" si="17"/>
        <v>PreCovid</v>
      </c>
      <c r="I250" s="50">
        <f t="shared" si="18"/>
        <v>0.36101083032490977</v>
      </c>
    </row>
    <row r="251" spans="1:9" x14ac:dyDescent="0.3">
      <c r="A251" t="s">
        <v>33</v>
      </c>
      <c r="B251" s="28">
        <f t="shared" si="19"/>
        <v>43132</v>
      </c>
      <c r="C251">
        <v>2018</v>
      </c>
      <c r="D251" t="s">
        <v>34</v>
      </c>
      <c r="E251">
        <f>VLOOKUP(D251,'Problem Statement 4'!$G$2:$H$13,2,0)</f>
        <v>2</v>
      </c>
      <c r="F251">
        <v>139</v>
      </c>
      <c r="G251" t="s">
        <v>26</v>
      </c>
      <c r="H251" t="str">
        <f t="shared" si="17"/>
        <v>PreCovid</v>
      </c>
      <c r="I251" s="50">
        <f t="shared" si="18"/>
        <v>0</v>
      </c>
    </row>
    <row r="252" spans="1:9" x14ac:dyDescent="0.3">
      <c r="A252" t="s">
        <v>33</v>
      </c>
      <c r="B252" s="28">
        <f t="shared" si="19"/>
        <v>43160</v>
      </c>
      <c r="C252">
        <v>2018</v>
      </c>
      <c r="D252" t="s">
        <v>35</v>
      </c>
      <c r="E252">
        <f>VLOOKUP(D252,'Problem Statement 4'!$G$2:$H$13,2,0)</f>
        <v>3</v>
      </c>
      <c r="F252">
        <v>139.80000000000001</v>
      </c>
      <c r="G252" t="s">
        <v>26</v>
      </c>
      <c r="H252" t="str">
        <f t="shared" si="17"/>
        <v>PreCovid</v>
      </c>
      <c r="I252" s="50">
        <f t="shared" si="18"/>
        <v>0.57553956834533193</v>
      </c>
    </row>
    <row r="253" spans="1:9" x14ac:dyDescent="0.3">
      <c r="A253" t="s">
        <v>33</v>
      </c>
      <c r="B253" s="28">
        <f t="shared" si="19"/>
        <v>43191</v>
      </c>
      <c r="C253">
        <v>2018</v>
      </c>
      <c r="D253" t="s">
        <v>36</v>
      </c>
      <c r="E253">
        <f>VLOOKUP(D253,'Problem Statement 4'!$G$2:$H$13,2,0)</f>
        <v>4</v>
      </c>
      <c r="F253">
        <v>141.4</v>
      </c>
      <c r="G253" t="s">
        <v>26</v>
      </c>
      <c r="H253" t="str">
        <f t="shared" si="17"/>
        <v>PreCovid</v>
      </c>
      <c r="I253" s="50">
        <f t="shared" si="18"/>
        <v>1.144492131616591</v>
      </c>
    </row>
    <row r="254" spans="1:9" x14ac:dyDescent="0.3">
      <c r="A254" t="s">
        <v>33</v>
      </c>
      <c r="B254" s="28">
        <f t="shared" ref="B254:B313" si="20">DATE(C254,E254,1)</f>
        <v>43221</v>
      </c>
      <c r="C254">
        <v>2018</v>
      </c>
      <c r="D254" t="s">
        <v>37</v>
      </c>
      <c r="E254">
        <f>VLOOKUP(D254,'Problem Statement 4'!$G$2:$H$13,2,0)</f>
        <v>5</v>
      </c>
      <c r="F254">
        <v>142.1</v>
      </c>
      <c r="G254" t="s">
        <v>26</v>
      </c>
      <c r="H254" t="str">
        <f t="shared" si="17"/>
        <v>PreCovid</v>
      </c>
      <c r="I254" s="50">
        <f t="shared" si="18"/>
        <v>0.495049504950487</v>
      </c>
    </row>
    <row r="255" spans="1:9" x14ac:dyDescent="0.3">
      <c r="A255" t="s">
        <v>33</v>
      </c>
      <c r="B255" s="28">
        <f t="shared" si="20"/>
        <v>43252</v>
      </c>
      <c r="C255">
        <v>2018</v>
      </c>
      <c r="D255" t="s">
        <v>38</v>
      </c>
      <c r="E255">
        <f>VLOOKUP(D255,'Problem Statement 4'!$G$2:$H$13,2,0)</f>
        <v>6</v>
      </c>
      <c r="F255">
        <v>142.80000000000001</v>
      </c>
      <c r="G255" t="s">
        <v>26</v>
      </c>
      <c r="H255" t="str">
        <f t="shared" si="17"/>
        <v>PreCovid</v>
      </c>
      <c r="I255" s="50">
        <f t="shared" si="18"/>
        <v>0.4926108374384357</v>
      </c>
    </row>
    <row r="256" spans="1:9" x14ac:dyDescent="0.3">
      <c r="A256" t="s">
        <v>33</v>
      </c>
      <c r="B256" s="28">
        <f t="shared" si="20"/>
        <v>43282</v>
      </c>
      <c r="C256">
        <v>2018</v>
      </c>
      <c r="D256" t="s">
        <v>39</v>
      </c>
      <c r="E256">
        <f>VLOOKUP(D256,'Problem Statement 4'!$G$2:$H$13,2,0)</f>
        <v>7</v>
      </c>
      <c r="F256">
        <v>144.69999999999999</v>
      </c>
      <c r="G256" t="s">
        <v>26</v>
      </c>
      <c r="H256" t="str">
        <f t="shared" si="17"/>
        <v>PreCovid</v>
      </c>
      <c r="I256" s="50">
        <f t="shared" si="18"/>
        <v>1.330532212885138</v>
      </c>
    </row>
    <row r="257" spans="1:9" x14ac:dyDescent="0.3">
      <c r="A257" t="s">
        <v>33</v>
      </c>
      <c r="B257" s="28">
        <f t="shared" si="20"/>
        <v>43313</v>
      </c>
      <c r="C257">
        <v>2018</v>
      </c>
      <c r="D257" t="s">
        <v>40</v>
      </c>
      <c r="E257">
        <f>VLOOKUP(D257,'Problem Statement 4'!$G$2:$H$13,2,0)</f>
        <v>8</v>
      </c>
      <c r="F257">
        <v>146</v>
      </c>
      <c r="G257" t="s">
        <v>26</v>
      </c>
      <c r="H257" t="str">
        <f t="shared" si="17"/>
        <v>PreCovid</v>
      </c>
      <c r="I257" s="50">
        <f t="shared" si="18"/>
        <v>0.8984105044920605</v>
      </c>
    </row>
    <row r="258" spans="1:9" x14ac:dyDescent="0.3">
      <c r="A258" t="s">
        <v>33</v>
      </c>
      <c r="B258" s="28">
        <f t="shared" si="20"/>
        <v>43344</v>
      </c>
      <c r="C258">
        <v>2018</v>
      </c>
      <c r="D258" t="s">
        <v>41</v>
      </c>
      <c r="E258">
        <f>VLOOKUP(D258,'Problem Statement 4'!$G$2:$H$13,2,0)</f>
        <v>9</v>
      </c>
      <c r="F258">
        <v>146.19999999999999</v>
      </c>
      <c r="G258" t="s">
        <v>26</v>
      </c>
      <c r="H258" t="str">
        <f t="shared" si="17"/>
        <v>PreCovid</v>
      </c>
      <c r="I258" s="50">
        <f t="shared" si="18"/>
        <v>0.13698630136985523</v>
      </c>
    </row>
    <row r="259" spans="1:9" x14ac:dyDescent="0.3">
      <c r="A259" t="s">
        <v>33</v>
      </c>
      <c r="B259" s="28">
        <f t="shared" si="20"/>
        <v>43374</v>
      </c>
      <c r="C259">
        <v>2018</v>
      </c>
      <c r="D259" t="s">
        <v>42</v>
      </c>
      <c r="E259">
        <f>VLOOKUP(D259,'Problem Statement 4'!$G$2:$H$13,2,0)</f>
        <v>10</v>
      </c>
      <c r="F259">
        <v>147.80000000000001</v>
      </c>
      <c r="G259" t="s">
        <v>26</v>
      </c>
      <c r="H259" t="str">
        <f t="shared" ref="H259:H322" si="21">IF(B259&lt;DATE(2020,3,1),"PreCovid","Post Covid")</f>
        <v>PreCovid</v>
      </c>
      <c r="I259" s="50">
        <f t="shared" si="18"/>
        <v>1.0943912448700566</v>
      </c>
    </row>
    <row r="260" spans="1:9" x14ac:dyDescent="0.3">
      <c r="A260" t="s">
        <v>33</v>
      </c>
      <c r="B260" s="28">
        <f t="shared" si="20"/>
        <v>43405</v>
      </c>
      <c r="C260">
        <v>2018</v>
      </c>
      <c r="D260" t="s">
        <v>44</v>
      </c>
      <c r="E260">
        <f>VLOOKUP(D260,'Problem Statement 4'!$G$2:$H$13,2,0)</f>
        <v>11</v>
      </c>
      <c r="F260">
        <v>147.80000000000001</v>
      </c>
      <c r="G260" t="s">
        <v>26</v>
      </c>
      <c r="H260" t="str">
        <f t="shared" si="21"/>
        <v>PreCovid</v>
      </c>
      <c r="I260" s="50">
        <f t="shared" si="18"/>
        <v>0</v>
      </c>
    </row>
    <row r="261" spans="1:9" x14ac:dyDescent="0.3">
      <c r="A261" t="s">
        <v>33</v>
      </c>
      <c r="B261" s="28">
        <f t="shared" si="20"/>
        <v>43435</v>
      </c>
      <c r="C261">
        <v>2018</v>
      </c>
      <c r="D261" t="s">
        <v>45</v>
      </c>
      <c r="E261">
        <f>VLOOKUP(D261,'Problem Statement 4'!$G$2:$H$13,2,0)</f>
        <v>12</v>
      </c>
      <c r="F261">
        <v>150.1</v>
      </c>
      <c r="G261" t="s">
        <v>26</v>
      </c>
      <c r="H261" t="str">
        <f t="shared" si="21"/>
        <v>PreCovid</v>
      </c>
      <c r="I261" s="50">
        <f t="shared" si="18"/>
        <v>1.5561569688768488</v>
      </c>
    </row>
    <row r="262" spans="1:9" x14ac:dyDescent="0.3">
      <c r="A262" t="s">
        <v>33</v>
      </c>
      <c r="B262" s="28">
        <f t="shared" si="20"/>
        <v>43466</v>
      </c>
      <c r="C262">
        <v>2019</v>
      </c>
      <c r="D262" t="s">
        <v>31</v>
      </c>
      <c r="E262">
        <f>VLOOKUP(D262,'Problem Statement 4'!$G$2:$H$13,2,0)</f>
        <v>1</v>
      </c>
      <c r="F262">
        <v>150.19999999999999</v>
      </c>
      <c r="G262" t="s">
        <v>26</v>
      </c>
      <c r="H262" t="str">
        <f t="shared" si="21"/>
        <v>PreCovid</v>
      </c>
      <c r="I262" s="50">
        <f t="shared" si="18"/>
        <v>6.662225183210814E-2</v>
      </c>
    </row>
    <row r="263" spans="1:9" x14ac:dyDescent="0.3">
      <c r="A263" t="s">
        <v>33</v>
      </c>
      <c r="B263" s="28">
        <f t="shared" si="20"/>
        <v>43497</v>
      </c>
      <c r="C263">
        <v>2019</v>
      </c>
      <c r="D263" t="s">
        <v>34</v>
      </c>
      <c r="E263">
        <f>VLOOKUP(D263,'Problem Statement 4'!$G$2:$H$13,2,0)</f>
        <v>2</v>
      </c>
      <c r="F263">
        <v>150.30000000000001</v>
      </c>
      <c r="G263" t="s">
        <v>26</v>
      </c>
      <c r="H263" t="str">
        <f t="shared" si="21"/>
        <v>PreCovid</v>
      </c>
      <c r="I263" s="50">
        <f t="shared" si="18"/>
        <v>6.657789613849717E-2</v>
      </c>
    </row>
    <row r="264" spans="1:9" x14ac:dyDescent="0.3">
      <c r="A264" t="s">
        <v>33</v>
      </c>
      <c r="B264" s="28">
        <f t="shared" si="20"/>
        <v>43525</v>
      </c>
      <c r="C264">
        <v>2019</v>
      </c>
      <c r="D264" t="s">
        <v>35</v>
      </c>
      <c r="E264">
        <f>VLOOKUP(D264,'Problem Statement 4'!$G$2:$H$13,2,0)</f>
        <v>3</v>
      </c>
      <c r="F264">
        <v>150.30000000000001</v>
      </c>
      <c r="G264" t="s">
        <v>26</v>
      </c>
      <c r="H264" t="str">
        <f t="shared" si="21"/>
        <v>PreCovid</v>
      </c>
      <c r="I264" s="50">
        <f t="shared" si="18"/>
        <v>0</v>
      </c>
    </row>
    <row r="265" spans="1:9" x14ac:dyDescent="0.3">
      <c r="A265" t="s">
        <v>33</v>
      </c>
      <c r="B265" s="28">
        <f t="shared" si="20"/>
        <v>43586</v>
      </c>
      <c r="C265">
        <v>2019</v>
      </c>
      <c r="D265" t="s">
        <v>37</v>
      </c>
      <c r="E265">
        <f>VLOOKUP(D265,'Problem Statement 4'!$G$2:$H$13,2,0)</f>
        <v>5</v>
      </c>
      <c r="F265">
        <v>151.6</v>
      </c>
      <c r="G265" t="s">
        <v>26</v>
      </c>
      <c r="H265" t="str">
        <f t="shared" si="21"/>
        <v>PreCovid</v>
      </c>
      <c r="I265" s="50">
        <f t="shared" si="18"/>
        <v>0.8649367930804942</v>
      </c>
    </row>
    <row r="266" spans="1:9" x14ac:dyDescent="0.3">
      <c r="A266" t="s">
        <v>33</v>
      </c>
      <c r="B266" s="28">
        <f t="shared" si="20"/>
        <v>43617</v>
      </c>
      <c r="C266">
        <v>2019</v>
      </c>
      <c r="D266" t="s">
        <v>38</v>
      </c>
      <c r="E266">
        <f>VLOOKUP(D266,'Problem Statement 4'!$G$2:$H$13,2,0)</f>
        <v>6</v>
      </c>
      <c r="F266">
        <v>152.5</v>
      </c>
      <c r="G266" t="s">
        <v>26</v>
      </c>
      <c r="H266" t="str">
        <f t="shared" si="21"/>
        <v>PreCovid</v>
      </c>
      <c r="I266" s="50">
        <f t="shared" si="18"/>
        <v>0.5936675461741463</v>
      </c>
    </row>
    <row r="267" spans="1:9" x14ac:dyDescent="0.3">
      <c r="A267" t="s">
        <v>33</v>
      </c>
      <c r="B267" s="28">
        <f t="shared" si="20"/>
        <v>43647</v>
      </c>
      <c r="C267">
        <v>2019</v>
      </c>
      <c r="D267" t="s">
        <v>39</v>
      </c>
      <c r="E267">
        <f>VLOOKUP(D267,'Problem Statement 4'!$G$2:$H$13,2,0)</f>
        <v>7</v>
      </c>
      <c r="F267">
        <v>154</v>
      </c>
      <c r="G267" t="s">
        <v>26</v>
      </c>
      <c r="H267" t="str">
        <f t="shared" si="21"/>
        <v>PreCovid</v>
      </c>
      <c r="I267" s="50">
        <f t="shared" si="18"/>
        <v>0.98360655737704927</v>
      </c>
    </row>
    <row r="268" spans="1:9" x14ac:dyDescent="0.3">
      <c r="A268" t="s">
        <v>33</v>
      </c>
      <c r="B268" s="28">
        <f t="shared" si="20"/>
        <v>43678</v>
      </c>
      <c r="C268">
        <v>2019</v>
      </c>
      <c r="D268" t="s">
        <v>40</v>
      </c>
      <c r="E268">
        <f>VLOOKUP(D268,'Problem Statement 4'!$G$2:$H$13,2,0)</f>
        <v>8</v>
      </c>
      <c r="F268">
        <v>154.9</v>
      </c>
      <c r="G268" t="s">
        <v>26</v>
      </c>
      <c r="H268" t="str">
        <f t="shared" si="21"/>
        <v>PreCovid</v>
      </c>
      <c r="I268" s="50">
        <f t="shared" si="18"/>
        <v>0.58441558441558805</v>
      </c>
    </row>
    <row r="269" spans="1:9" x14ac:dyDescent="0.3">
      <c r="A269" t="s">
        <v>33</v>
      </c>
      <c r="B269" s="28">
        <f t="shared" si="20"/>
        <v>43709</v>
      </c>
      <c r="C269">
        <v>2019</v>
      </c>
      <c r="D269" t="s">
        <v>41</v>
      </c>
      <c r="E269">
        <f>VLOOKUP(D269,'Problem Statement 4'!$G$2:$H$13,2,0)</f>
        <v>9</v>
      </c>
      <c r="F269">
        <v>155.19999999999999</v>
      </c>
      <c r="G269" t="s">
        <v>26</v>
      </c>
      <c r="H269" t="str">
        <f t="shared" si="21"/>
        <v>PreCovid</v>
      </c>
      <c r="I269" s="50">
        <f t="shared" si="18"/>
        <v>0.19367333763717429</v>
      </c>
    </row>
    <row r="270" spans="1:9" x14ac:dyDescent="0.3">
      <c r="A270" t="s">
        <v>33</v>
      </c>
      <c r="B270" s="28">
        <f t="shared" si="20"/>
        <v>43739</v>
      </c>
      <c r="C270">
        <v>2019</v>
      </c>
      <c r="D270" t="s">
        <v>42</v>
      </c>
      <c r="E270">
        <f>VLOOKUP(D270,'Problem Statement 4'!$G$2:$H$13,2,0)</f>
        <v>10</v>
      </c>
      <c r="F270">
        <v>155.4</v>
      </c>
      <c r="G270" t="s">
        <v>26</v>
      </c>
      <c r="H270" t="str">
        <f t="shared" si="21"/>
        <v>PreCovid</v>
      </c>
      <c r="I270" s="50">
        <f t="shared" si="18"/>
        <v>0.12886597938145428</v>
      </c>
    </row>
    <row r="271" spans="1:9" x14ac:dyDescent="0.3">
      <c r="A271" t="s">
        <v>33</v>
      </c>
      <c r="B271" s="28">
        <f t="shared" si="20"/>
        <v>43770</v>
      </c>
      <c r="C271">
        <v>2019</v>
      </c>
      <c r="D271" t="s">
        <v>44</v>
      </c>
      <c r="E271">
        <f>VLOOKUP(D271,'Problem Statement 4'!$G$2:$H$13,2,0)</f>
        <v>11</v>
      </c>
      <c r="F271">
        <v>155.5</v>
      </c>
      <c r="G271" t="s">
        <v>26</v>
      </c>
      <c r="H271" t="str">
        <f t="shared" si="21"/>
        <v>PreCovid</v>
      </c>
      <c r="I271" s="50">
        <f t="shared" si="18"/>
        <v>6.4350064350060687E-2</v>
      </c>
    </row>
    <row r="272" spans="1:9" x14ac:dyDescent="0.3">
      <c r="A272" t="s">
        <v>33</v>
      </c>
      <c r="B272" s="28">
        <f t="shared" si="20"/>
        <v>43800</v>
      </c>
      <c r="C272">
        <v>2019</v>
      </c>
      <c r="D272" t="s">
        <v>45</v>
      </c>
      <c r="E272">
        <f>VLOOKUP(D272,'Problem Statement 4'!$G$2:$H$13,2,0)</f>
        <v>12</v>
      </c>
      <c r="F272">
        <v>155.69999999999999</v>
      </c>
      <c r="G272" t="s">
        <v>26</v>
      </c>
      <c r="H272" t="str">
        <f t="shared" si="21"/>
        <v>PreCovid</v>
      </c>
      <c r="I272" s="50">
        <f t="shared" si="18"/>
        <v>0.12861736334404414</v>
      </c>
    </row>
    <row r="273" spans="1:9" x14ac:dyDescent="0.3">
      <c r="A273" t="s">
        <v>33</v>
      </c>
      <c r="B273" s="28">
        <f t="shared" si="20"/>
        <v>43831</v>
      </c>
      <c r="C273">
        <v>2020</v>
      </c>
      <c r="D273" t="s">
        <v>31</v>
      </c>
      <c r="E273">
        <f>VLOOKUP(D273,'Problem Statement 4'!$G$2:$H$13,2,0)</f>
        <v>1</v>
      </c>
      <c r="F273">
        <v>156.1</v>
      </c>
      <c r="G273" t="s">
        <v>26</v>
      </c>
      <c r="H273" t="str">
        <f t="shared" si="21"/>
        <v>PreCovid</v>
      </c>
      <c r="I273" s="50">
        <f t="shared" si="18"/>
        <v>0.2569043031470814</v>
      </c>
    </row>
    <row r="274" spans="1:9" x14ac:dyDescent="0.3">
      <c r="A274" t="s">
        <v>33</v>
      </c>
      <c r="B274" s="28">
        <f t="shared" si="20"/>
        <v>43862</v>
      </c>
      <c r="C274">
        <v>2020</v>
      </c>
      <c r="D274" t="s">
        <v>34</v>
      </c>
      <c r="E274">
        <f>VLOOKUP(D274,'Problem Statement 4'!$G$2:$H$13,2,0)</f>
        <v>2</v>
      </c>
      <c r="F274">
        <v>156.19999999999999</v>
      </c>
      <c r="G274" t="s">
        <v>26</v>
      </c>
      <c r="H274" t="str">
        <f t="shared" si="21"/>
        <v>PreCovid</v>
      </c>
      <c r="I274" s="50">
        <f t="shared" ref="I274:I337" si="22">(F274-F273)/F273*100</f>
        <v>6.4061499039073877E-2</v>
      </c>
    </row>
    <row r="275" spans="1:9" x14ac:dyDescent="0.3">
      <c r="A275" t="s">
        <v>33</v>
      </c>
      <c r="B275" s="28">
        <f t="shared" si="20"/>
        <v>43891</v>
      </c>
      <c r="C275">
        <v>2020</v>
      </c>
      <c r="D275" t="s">
        <v>35</v>
      </c>
      <c r="E275">
        <f>VLOOKUP(D275,'Problem Statement 4'!$G$2:$H$13,2,0)</f>
        <v>3</v>
      </c>
      <c r="F275">
        <v>156.1</v>
      </c>
      <c r="G275" t="s">
        <v>26</v>
      </c>
      <c r="H275" t="str">
        <f t="shared" si="21"/>
        <v>Post Covid</v>
      </c>
      <c r="I275" s="50">
        <f t="shared" si="22"/>
        <v>-6.4020486555694187E-2</v>
      </c>
    </row>
    <row r="276" spans="1:9" x14ac:dyDescent="0.3">
      <c r="A276" t="s">
        <v>33</v>
      </c>
      <c r="B276" s="28">
        <f t="shared" si="20"/>
        <v>43922</v>
      </c>
      <c r="C276">
        <v>2020</v>
      </c>
      <c r="D276" t="s">
        <v>36</v>
      </c>
      <c r="E276">
        <f>VLOOKUP(D276,'Problem Statement 4'!$G$2:$H$13,2,0)</f>
        <v>4</v>
      </c>
      <c r="F276">
        <v>156.1</v>
      </c>
      <c r="G276" t="s">
        <v>26</v>
      </c>
      <c r="H276" t="str">
        <f t="shared" si="21"/>
        <v>Post Covid</v>
      </c>
      <c r="I276" s="50">
        <f t="shared" si="22"/>
        <v>0</v>
      </c>
    </row>
    <row r="277" spans="1:9" x14ac:dyDescent="0.3">
      <c r="A277" t="s">
        <v>33</v>
      </c>
      <c r="B277" s="28">
        <f t="shared" si="20"/>
        <v>43952</v>
      </c>
      <c r="C277">
        <v>2020</v>
      </c>
      <c r="D277" t="s">
        <v>37</v>
      </c>
      <c r="E277">
        <f>VLOOKUP(D277,'Problem Statement 4'!$G$2:$H$13,2,0)</f>
        <v>5</v>
      </c>
      <c r="F277">
        <v>156.1</v>
      </c>
      <c r="G277" t="s">
        <v>26</v>
      </c>
      <c r="H277" t="str">
        <f t="shared" si="21"/>
        <v>Post Covid</v>
      </c>
      <c r="I277" s="50">
        <f t="shared" si="22"/>
        <v>0</v>
      </c>
    </row>
    <row r="278" spans="1:9" x14ac:dyDescent="0.3">
      <c r="A278" t="s">
        <v>33</v>
      </c>
      <c r="B278" s="28">
        <f t="shared" si="20"/>
        <v>43983</v>
      </c>
      <c r="C278">
        <v>2020</v>
      </c>
      <c r="D278" t="s">
        <v>38</v>
      </c>
      <c r="E278">
        <f>VLOOKUP(D278,'Problem Statement 4'!$G$2:$H$13,2,0)</f>
        <v>6</v>
      </c>
      <c r="F278">
        <v>156.4</v>
      </c>
      <c r="G278" t="s">
        <v>26</v>
      </c>
      <c r="H278" t="str">
        <f t="shared" si="21"/>
        <v>Post Covid</v>
      </c>
      <c r="I278" s="50">
        <f t="shared" si="22"/>
        <v>0.19218449711723984</v>
      </c>
    </row>
    <row r="279" spans="1:9" x14ac:dyDescent="0.3">
      <c r="A279" t="s">
        <v>33</v>
      </c>
      <c r="B279" s="28">
        <f t="shared" si="20"/>
        <v>44013</v>
      </c>
      <c r="C279">
        <v>2020</v>
      </c>
      <c r="D279" t="s">
        <v>39</v>
      </c>
      <c r="E279">
        <f>VLOOKUP(D279,'Problem Statement 4'!$G$2:$H$13,2,0)</f>
        <v>7</v>
      </c>
      <c r="F279">
        <v>156.4</v>
      </c>
      <c r="G279" t="s">
        <v>26</v>
      </c>
      <c r="H279" t="str">
        <f t="shared" si="21"/>
        <v>Post Covid</v>
      </c>
      <c r="I279" s="50">
        <f t="shared" si="22"/>
        <v>0</v>
      </c>
    </row>
    <row r="280" spans="1:9" x14ac:dyDescent="0.3">
      <c r="A280" t="s">
        <v>33</v>
      </c>
      <c r="B280" s="28">
        <f t="shared" si="20"/>
        <v>44044</v>
      </c>
      <c r="C280">
        <v>2020</v>
      </c>
      <c r="D280" t="s">
        <v>40</v>
      </c>
      <c r="E280">
        <f>VLOOKUP(D280,'Problem Statement 4'!$G$2:$H$13,2,0)</f>
        <v>8</v>
      </c>
      <c r="F280">
        <v>158.5</v>
      </c>
      <c r="G280" t="s">
        <v>26</v>
      </c>
      <c r="H280" t="str">
        <f t="shared" si="21"/>
        <v>Post Covid</v>
      </c>
      <c r="I280" s="50">
        <f t="shared" si="22"/>
        <v>1.3427109974424516</v>
      </c>
    </row>
    <row r="281" spans="1:9" x14ac:dyDescent="0.3">
      <c r="A281" t="s">
        <v>33</v>
      </c>
      <c r="B281" s="28">
        <f t="shared" si="20"/>
        <v>44075</v>
      </c>
      <c r="C281">
        <v>2020</v>
      </c>
      <c r="D281" t="s">
        <v>41</v>
      </c>
      <c r="E281">
        <f>VLOOKUP(D281,'Problem Statement 4'!$G$2:$H$13,2,0)</f>
        <v>9</v>
      </c>
      <c r="F281">
        <v>157.5</v>
      </c>
      <c r="G281" t="s">
        <v>26</v>
      </c>
      <c r="H281" t="str">
        <f t="shared" si="21"/>
        <v>Post Covid</v>
      </c>
      <c r="I281" s="50">
        <f t="shared" si="22"/>
        <v>-0.63091482649842268</v>
      </c>
    </row>
    <row r="282" spans="1:9" x14ac:dyDescent="0.3">
      <c r="A282" t="s">
        <v>33</v>
      </c>
      <c r="B282" s="28">
        <f t="shared" si="20"/>
        <v>44105</v>
      </c>
      <c r="C282">
        <v>2020</v>
      </c>
      <c r="D282" t="s">
        <v>42</v>
      </c>
      <c r="E282">
        <f>VLOOKUP(D282,'Problem Statement 4'!$G$2:$H$13,2,0)</f>
        <v>10</v>
      </c>
      <c r="F282">
        <v>158.5</v>
      </c>
      <c r="G282" t="s">
        <v>26</v>
      </c>
      <c r="H282" t="str">
        <f t="shared" si="21"/>
        <v>Post Covid</v>
      </c>
      <c r="I282" s="50">
        <f t="shared" si="22"/>
        <v>0.63492063492063489</v>
      </c>
    </row>
    <row r="283" spans="1:9" x14ac:dyDescent="0.3">
      <c r="A283" t="s">
        <v>33</v>
      </c>
      <c r="B283" s="28">
        <f t="shared" si="20"/>
        <v>44136</v>
      </c>
      <c r="C283">
        <v>2020</v>
      </c>
      <c r="D283" t="s">
        <v>44</v>
      </c>
      <c r="E283">
        <f>VLOOKUP(D283,'Problem Statement 4'!$G$2:$H$13,2,0)</f>
        <v>11</v>
      </c>
      <c r="F283">
        <v>158.6</v>
      </c>
      <c r="G283" t="s">
        <v>26</v>
      </c>
      <c r="H283" t="str">
        <f t="shared" si="21"/>
        <v>Post Covid</v>
      </c>
      <c r="I283" s="50">
        <f t="shared" si="22"/>
        <v>6.3091482649838687E-2</v>
      </c>
    </row>
    <row r="284" spans="1:9" x14ac:dyDescent="0.3">
      <c r="A284" t="s">
        <v>33</v>
      </c>
      <c r="B284" s="28">
        <f t="shared" si="20"/>
        <v>44166</v>
      </c>
      <c r="C284">
        <v>2020</v>
      </c>
      <c r="D284" t="s">
        <v>45</v>
      </c>
      <c r="E284">
        <f>VLOOKUP(D284,'Problem Statement 4'!$G$2:$H$13,2,0)</f>
        <v>12</v>
      </c>
      <c r="F284">
        <v>159.4</v>
      </c>
      <c r="G284" t="s">
        <v>26</v>
      </c>
      <c r="H284" t="str">
        <f t="shared" si="21"/>
        <v>Post Covid</v>
      </c>
      <c r="I284" s="50">
        <f t="shared" si="22"/>
        <v>0.50441361916772476</v>
      </c>
    </row>
    <row r="285" spans="1:9" x14ac:dyDescent="0.3">
      <c r="A285" t="s">
        <v>33</v>
      </c>
      <c r="B285" s="28">
        <f t="shared" si="20"/>
        <v>44197</v>
      </c>
      <c r="C285">
        <v>2021</v>
      </c>
      <c r="D285" t="s">
        <v>31</v>
      </c>
      <c r="E285">
        <f>VLOOKUP(D285,'Problem Statement 4'!$G$2:$H$13,2,0)</f>
        <v>1</v>
      </c>
      <c r="F285">
        <v>159.19999999999999</v>
      </c>
      <c r="G285" t="s">
        <v>26</v>
      </c>
      <c r="H285" t="str">
        <f t="shared" si="21"/>
        <v>Post Covid</v>
      </c>
      <c r="I285" s="50">
        <f t="shared" si="22"/>
        <v>-0.12547051442911986</v>
      </c>
    </row>
    <row r="286" spans="1:9" x14ac:dyDescent="0.3">
      <c r="A286" t="s">
        <v>33</v>
      </c>
      <c r="B286" s="28">
        <f t="shared" si="20"/>
        <v>44228</v>
      </c>
      <c r="C286">
        <v>2021</v>
      </c>
      <c r="D286" t="s">
        <v>34</v>
      </c>
      <c r="E286">
        <f>VLOOKUP(D286,'Problem Statement 4'!$G$2:$H$13,2,0)</f>
        <v>2</v>
      </c>
      <c r="F286">
        <v>159.5</v>
      </c>
      <c r="G286" t="s">
        <v>26</v>
      </c>
      <c r="H286" t="str">
        <f t="shared" si="21"/>
        <v>Post Covid</v>
      </c>
      <c r="I286" s="50">
        <f t="shared" si="22"/>
        <v>0.18844221105528353</v>
      </c>
    </row>
    <row r="287" spans="1:9" x14ac:dyDescent="0.3">
      <c r="A287" t="s">
        <v>33</v>
      </c>
      <c r="B287" s="28">
        <f t="shared" si="20"/>
        <v>44256</v>
      </c>
      <c r="C287">
        <v>2021</v>
      </c>
      <c r="D287" t="s">
        <v>35</v>
      </c>
      <c r="E287">
        <f>VLOOKUP(D287,'Problem Statement 4'!$G$2:$H$13,2,0)</f>
        <v>3</v>
      </c>
      <c r="F287">
        <v>160.19999999999999</v>
      </c>
      <c r="G287" t="s">
        <v>26</v>
      </c>
      <c r="H287" t="str">
        <f t="shared" si="21"/>
        <v>Post Covid</v>
      </c>
      <c r="I287" s="50">
        <f t="shared" si="22"/>
        <v>0.43887147335422488</v>
      </c>
    </row>
    <row r="288" spans="1:9" x14ac:dyDescent="0.3">
      <c r="A288" t="s">
        <v>33</v>
      </c>
      <c r="B288" s="28">
        <f t="shared" si="20"/>
        <v>44287</v>
      </c>
      <c r="C288">
        <v>2021</v>
      </c>
      <c r="D288" t="s">
        <v>36</v>
      </c>
      <c r="E288">
        <f>VLOOKUP(D288,'Problem Statement 4'!$G$2:$H$13,2,0)</f>
        <v>4</v>
      </c>
      <c r="F288">
        <v>160.30000000000001</v>
      </c>
      <c r="G288" t="s">
        <v>26</v>
      </c>
      <c r="H288" t="str">
        <f t="shared" si="21"/>
        <v>Post Covid</v>
      </c>
      <c r="I288" s="50">
        <f t="shared" si="22"/>
        <v>6.2421972534346275E-2</v>
      </c>
    </row>
    <row r="289" spans="1:9" x14ac:dyDescent="0.3">
      <c r="A289" t="s">
        <v>33</v>
      </c>
      <c r="B289" s="28">
        <f t="shared" si="20"/>
        <v>44317</v>
      </c>
      <c r="C289">
        <v>2021</v>
      </c>
      <c r="D289" t="s">
        <v>37</v>
      </c>
      <c r="E289">
        <f>VLOOKUP(D289,'Problem Statement 4'!$G$2:$H$13,2,0)</f>
        <v>5</v>
      </c>
      <c r="F289">
        <v>161.19999999999999</v>
      </c>
      <c r="G289" t="s">
        <v>26</v>
      </c>
      <c r="H289" t="str">
        <f t="shared" si="21"/>
        <v>Post Covid</v>
      </c>
      <c r="I289" s="50">
        <f t="shared" si="22"/>
        <v>0.56144728633810181</v>
      </c>
    </row>
    <row r="290" spans="1:9" x14ac:dyDescent="0.3">
      <c r="A290" t="s">
        <v>33</v>
      </c>
      <c r="B290" s="28">
        <f t="shared" si="20"/>
        <v>44348</v>
      </c>
      <c r="C290">
        <v>2021</v>
      </c>
      <c r="D290" t="s">
        <v>38</v>
      </c>
      <c r="E290">
        <f>VLOOKUP(D290,'Problem Statement 4'!$G$2:$H$13,2,0)</f>
        <v>6</v>
      </c>
      <c r="F290">
        <v>161.69999999999999</v>
      </c>
      <c r="G290" t="s">
        <v>26</v>
      </c>
      <c r="H290" t="str">
        <f t="shared" si="21"/>
        <v>Post Covid</v>
      </c>
      <c r="I290" s="50">
        <f t="shared" si="22"/>
        <v>0.3101736972704715</v>
      </c>
    </row>
    <row r="291" spans="1:9" x14ac:dyDescent="0.3">
      <c r="A291" t="s">
        <v>33</v>
      </c>
      <c r="B291" s="28">
        <f t="shared" si="20"/>
        <v>44378</v>
      </c>
      <c r="C291">
        <v>2021</v>
      </c>
      <c r="D291" t="s">
        <v>39</v>
      </c>
      <c r="E291">
        <f>VLOOKUP(D291,'Problem Statement 4'!$G$2:$H$13,2,0)</f>
        <v>7</v>
      </c>
      <c r="F291">
        <v>163.19999999999999</v>
      </c>
      <c r="G291" t="s">
        <v>26</v>
      </c>
      <c r="H291" t="str">
        <f t="shared" si="21"/>
        <v>Post Covid</v>
      </c>
      <c r="I291" s="50">
        <f t="shared" si="22"/>
        <v>0.927643784786642</v>
      </c>
    </row>
    <row r="292" spans="1:9" x14ac:dyDescent="0.3">
      <c r="A292" t="s">
        <v>33</v>
      </c>
      <c r="B292" s="28">
        <f t="shared" si="20"/>
        <v>44409</v>
      </c>
      <c r="C292">
        <v>2021</v>
      </c>
      <c r="D292" t="s">
        <v>40</v>
      </c>
      <c r="E292">
        <f>VLOOKUP(D292,'Problem Statement 4'!$G$2:$H$13,2,0)</f>
        <v>8</v>
      </c>
      <c r="F292">
        <v>163.80000000000001</v>
      </c>
      <c r="G292" t="s">
        <v>26</v>
      </c>
      <c r="H292" t="str">
        <f t="shared" si="21"/>
        <v>Post Covid</v>
      </c>
      <c r="I292" s="50">
        <f t="shared" si="22"/>
        <v>0.36764705882354337</v>
      </c>
    </row>
    <row r="293" spans="1:9" x14ac:dyDescent="0.3">
      <c r="A293" t="s">
        <v>33</v>
      </c>
      <c r="B293" s="28">
        <f t="shared" si="20"/>
        <v>44440</v>
      </c>
      <c r="C293">
        <v>2021</v>
      </c>
      <c r="D293" t="s">
        <v>41</v>
      </c>
      <c r="E293">
        <f>VLOOKUP(D293,'Problem Statement 4'!$G$2:$H$13,2,0)</f>
        <v>9</v>
      </c>
      <c r="F293">
        <v>163.69999999999999</v>
      </c>
      <c r="G293" t="s">
        <v>26</v>
      </c>
      <c r="H293" t="str">
        <f t="shared" si="21"/>
        <v>Post Covid</v>
      </c>
      <c r="I293" s="50">
        <f t="shared" si="22"/>
        <v>-6.1050061050074926E-2</v>
      </c>
    </row>
    <row r="294" spans="1:9" x14ac:dyDescent="0.3">
      <c r="A294" t="s">
        <v>33</v>
      </c>
      <c r="B294" s="28">
        <f t="shared" si="20"/>
        <v>44470</v>
      </c>
      <c r="C294">
        <v>2021</v>
      </c>
      <c r="D294" t="s">
        <v>42</v>
      </c>
      <c r="E294">
        <f>VLOOKUP(D294,'Problem Statement 4'!$G$2:$H$13,2,0)</f>
        <v>10</v>
      </c>
      <c r="F294">
        <v>163.9</v>
      </c>
      <c r="G294" t="s">
        <v>26</v>
      </c>
      <c r="H294" t="str">
        <f t="shared" si="21"/>
        <v>Post Covid</v>
      </c>
      <c r="I294" s="50">
        <f t="shared" si="22"/>
        <v>0.12217470983507457</v>
      </c>
    </row>
    <row r="295" spans="1:9" x14ac:dyDescent="0.3">
      <c r="A295" t="s">
        <v>33</v>
      </c>
      <c r="B295" s="28">
        <f t="shared" si="20"/>
        <v>44501</v>
      </c>
      <c r="C295">
        <v>2021</v>
      </c>
      <c r="D295" t="s">
        <v>44</v>
      </c>
      <c r="E295">
        <f>VLOOKUP(D295,'Problem Statement 4'!$G$2:$H$13,2,0)</f>
        <v>11</v>
      </c>
      <c r="F295">
        <v>164.3</v>
      </c>
      <c r="G295" t="s">
        <v>26</v>
      </c>
      <c r="H295" t="str">
        <f t="shared" si="21"/>
        <v>Post Covid</v>
      </c>
      <c r="I295" s="50">
        <f t="shared" si="22"/>
        <v>0.24405125076266362</v>
      </c>
    </row>
    <row r="296" spans="1:9" x14ac:dyDescent="0.3">
      <c r="A296" t="s">
        <v>33</v>
      </c>
      <c r="B296" s="28">
        <f t="shared" si="20"/>
        <v>44531</v>
      </c>
      <c r="C296">
        <v>2021</v>
      </c>
      <c r="D296" t="s">
        <v>45</v>
      </c>
      <c r="E296">
        <f>VLOOKUP(D296,'Problem Statement 4'!$G$2:$H$13,2,0)</f>
        <v>12</v>
      </c>
      <c r="F296">
        <v>164.4</v>
      </c>
      <c r="G296" t="s">
        <v>26</v>
      </c>
      <c r="H296" t="str">
        <f t="shared" si="21"/>
        <v>Post Covid</v>
      </c>
      <c r="I296" s="50">
        <f t="shared" si="22"/>
        <v>6.0864272671938099E-2</v>
      </c>
    </row>
    <row r="297" spans="1:9" x14ac:dyDescent="0.3">
      <c r="A297" t="s">
        <v>33</v>
      </c>
      <c r="B297" s="28">
        <f t="shared" si="20"/>
        <v>44562</v>
      </c>
      <c r="C297">
        <v>2022</v>
      </c>
      <c r="D297" t="s">
        <v>31</v>
      </c>
      <c r="E297">
        <f>VLOOKUP(D297,'Problem Statement 4'!$G$2:$H$13,2,0)</f>
        <v>1</v>
      </c>
      <c r="F297">
        <v>164.7</v>
      </c>
      <c r="G297" t="s">
        <v>26</v>
      </c>
      <c r="H297" t="str">
        <f t="shared" si="21"/>
        <v>Post Covid</v>
      </c>
      <c r="I297" s="50">
        <f t="shared" si="22"/>
        <v>0.18248175182480714</v>
      </c>
    </row>
    <row r="298" spans="1:9" x14ac:dyDescent="0.3">
      <c r="A298" t="s">
        <v>33</v>
      </c>
      <c r="B298" s="28">
        <f t="shared" si="20"/>
        <v>44593</v>
      </c>
      <c r="C298">
        <v>2022</v>
      </c>
      <c r="D298" t="s">
        <v>34</v>
      </c>
      <c r="E298">
        <f>VLOOKUP(D298,'Problem Statement 4'!$G$2:$H$13,2,0)</f>
        <v>2</v>
      </c>
      <c r="F298">
        <v>165.4</v>
      </c>
      <c r="G298" t="s">
        <v>26</v>
      </c>
      <c r="H298" t="str">
        <f t="shared" si="21"/>
        <v>Post Covid</v>
      </c>
      <c r="I298" s="50">
        <f t="shared" si="22"/>
        <v>0.42501517911355013</v>
      </c>
    </row>
    <row r="299" spans="1:9" x14ac:dyDescent="0.3">
      <c r="A299" t="s">
        <v>33</v>
      </c>
      <c r="B299" s="28">
        <f t="shared" si="20"/>
        <v>44621</v>
      </c>
      <c r="C299">
        <v>2022</v>
      </c>
      <c r="D299" t="s">
        <v>35</v>
      </c>
      <c r="E299">
        <f>VLOOKUP(D299,'Problem Statement 4'!$G$2:$H$13,2,0)</f>
        <v>3</v>
      </c>
      <c r="F299">
        <v>166</v>
      </c>
      <c r="G299" t="s">
        <v>26</v>
      </c>
      <c r="H299" t="str">
        <f t="shared" si="21"/>
        <v>Post Covid</v>
      </c>
      <c r="I299" s="50">
        <f t="shared" si="22"/>
        <v>0.36275695284159265</v>
      </c>
    </row>
    <row r="300" spans="1:9" x14ac:dyDescent="0.3">
      <c r="A300" t="s">
        <v>33</v>
      </c>
      <c r="B300" s="28">
        <f t="shared" si="20"/>
        <v>44652</v>
      </c>
      <c r="C300">
        <v>2022</v>
      </c>
      <c r="D300" t="s">
        <v>36</v>
      </c>
      <c r="E300">
        <f>VLOOKUP(D300,'Problem Statement 4'!$G$2:$H$13,2,0)</f>
        <v>4</v>
      </c>
      <c r="F300">
        <v>166.9</v>
      </c>
      <c r="G300" t="s">
        <v>26</v>
      </c>
      <c r="H300" t="str">
        <f t="shared" si="21"/>
        <v>Post Covid</v>
      </c>
      <c r="I300" s="50">
        <f t="shared" si="22"/>
        <v>0.54216867469879859</v>
      </c>
    </row>
    <row r="301" spans="1:9" x14ac:dyDescent="0.3">
      <c r="A301" t="s">
        <v>33</v>
      </c>
      <c r="B301" s="28">
        <f t="shared" si="20"/>
        <v>44682</v>
      </c>
      <c r="C301">
        <v>2022</v>
      </c>
      <c r="D301" t="s">
        <v>37</v>
      </c>
      <c r="E301">
        <f>VLOOKUP(D301,'Problem Statement 4'!$G$2:$H$13,2,0)</f>
        <v>5</v>
      </c>
      <c r="F301">
        <v>167.9</v>
      </c>
      <c r="G301" t="s">
        <v>26</v>
      </c>
      <c r="H301" t="str">
        <f t="shared" si="21"/>
        <v>Post Covid</v>
      </c>
      <c r="I301" s="50">
        <f t="shared" si="22"/>
        <v>0.59916117435590177</v>
      </c>
    </row>
    <row r="302" spans="1:9" x14ac:dyDescent="0.3">
      <c r="A302" t="s">
        <v>33</v>
      </c>
      <c r="B302" s="28">
        <f t="shared" si="20"/>
        <v>44713</v>
      </c>
      <c r="C302">
        <v>2022</v>
      </c>
      <c r="D302" t="s">
        <v>38</v>
      </c>
      <c r="E302">
        <f>VLOOKUP(D302,'Problem Statement 4'!$G$2:$H$13,2,0)</f>
        <v>6</v>
      </c>
      <c r="F302">
        <v>169</v>
      </c>
      <c r="G302" t="s">
        <v>26</v>
      </c>
      <c r="H302" t="str">
        <f t="shared" si="21"/>
        <v>Post Covid</v>
      </c>
      <c r="I302" s="50">
        <f t="shared" si="22"/>
        <v>0.65515187611673276</v>
      </c>
    </row>
    <row r="303" spans="1:9" x14ac:dyDescent="0.3">
      <c r="A303" t="s">
        <v>33</v>
      </c>
      <c r="B303" s="28">
        <f t="shared" si="20"/>
        <v>44743</v>
      </c>
      <c r="C303">
        <v>2022</v>
      </c>
      <c r="D303" t="s">
        <v>39</v>
      </c>
      <c r="E303">
        <f>VLOOKUP(D303,'Problem Statement 4'!$G$2:$H$13,2,0)</f>
        <v>7</v>
      </c>
      <c r="F303">
        <v>171.4</v>
      </c>
      <c r="G303" t="s">
        <v>26</v>
      </c>
      <c r="H303" t="str">
        <f t="shared" si="21"/>
        <v>Post Covid</v>
      </c>
      <c r="I303" s="50">
        <f t="shared" si="22"/>
        <v>1.4201183431952698</v>
      </c>
    </row>
    <row r="304" spans="1:9" x14ac:dyDescent="0.3">
      <c r="A304" t="s">
        <v>33</v>
      </c>
      <c r="B304" s="28">
        <f t="shared" si="20"/>
        <v>44774</v>
      </c>
      <c r="C304">
        <v>2022</v>
      </c>
      <c r="D304" t="s">
        <v>40</v>
      </c>
      <c r="E304">
        <f>VLOOKUP(D304,'Problem Statement 4'!$G$2:$H$13,2,0)</f>
        <v>8</v>
      </c>
      <c r="F304">
        <v>172.3</v>
      </c>
      <c r="G304" t="s">
        <v>26</v>
      </c>
      <c r="H304" t="str">
        <f t="shared" si="21"/>
        <v>Post Covid</v>
      </c>
      <c r="I304" s="50">
        <f t="shared" si="22"/>
        <v>0.52508751458576763</v>
      </c>
    </row>
    <row r="305" spans="1:9" x14ac:dyDescent="0.3">
      <c r="A305" t="s">
        <v>33</v>
      </c>
      <c r="B305" s="28">
        <f t="shared" si="20"/>
        <v>44805</v>
      </c>
      <c r="C305">
        <v>2022</v>
      </c>
      <c r="D305" t="s">
        <v>41</v>
      </c>
      <c r="E305">
        <f>VLOOKUP(D305,'Problem Statement 4'!$G$2:$H$13,2,0)</f>
        <v>9</v>
      </c>
      <c r="F305">
        <v>173.1</v>
      </c>
      <c r="G305" t="s">
        <v>26</v>
      </c>
      <c r="H305" t="str">
        <f t="shared" si="21"/>
        <v>Post Covid</v>
      </c>
      <c r="I305" s="50">
        <f t="shared" si="22"/>
        <v>0.46430644225187634</v>
      </c>
    </row>
    <row r="306" spans="1:9" x14ac:dyDescent="0.3">
      <c r="A306" t="s">
        <v>33</v>
      </c>
      <c r="B306" s="28">
        <f t="shared" si="20"/>
        <v>44835</v>
      </c>
      <c r="C306">
        <v>2022</v>
      </c>
      <c r="D306" t="s">
        <v>42</v>
      </c>
      <c r="E306">
        <f>VLOOKUP(D306,'Problem Statement 4'!$G$2:$H$13,2,0)</f>
        <v>10</v>
      </c>
      <c r="F306">
        <v>173.4</v>
      </c>
      <c r="G306" t="s">
        <v>26</v>
      </c>
      <c r="H306" t="str">
        <f t="shared" si="21"/>
        <v>Post Covid</v>
      </c>
      <c r="I306" s="50">
        <f t="shared" si="22"/>
        <v>0.17331022530329948</v>
      </c>
    </row>
    <row r="307" spans="1:9" x14ac:dyDescent="0.3">
      <c r="A307" t="s">
        <v>33</v>
      </c>
      <c r="B307" s="28">
        <f t="shared" si="20"/>
        <v>44866</v>
      </c>
      <c r="C307">
        <v>2022</v>
      </c>
      <c r="D307" t="s">
        <v>44</v>
      </c>
      <c r="E307">
        <f>VLOOKUP(D307,'Problem Statement 4'!$G$2:$H$13,2,0)</f>
        <v>11</v>
      </c>
      <c r="F307">
        <v>173.7</v>
      </c>
      <c r="G307" t="s">
        <v>26</v>
      </c>
      <c r="H307" t="str">
        <f t="shared" si="21"/>
        <v>Post Covid</v>
      </c>
      <c r="I307" s="50">
        <f t="shared" si="22"/>
        <v>0.17301038062282753</v>
      </c>
    </row>
    <row r="308" spans="1:9" x14ac:dyDescent="0.3">
      <c r="A308" t="s">
        <v>33</v>
      </c>
      <c r="B308" s="28">
        <f t="shared" si="20"/>
        <v>44896</v>
      </c>
      <c r="C308">
        <v>2022</v>
      </c>
      <c r="D308" t="s">
        <v>45</v>
      </c>
      <c r="E308">
        <f>VLOOKUP(D308,'Problem Statement 4'!$G$2:$H$13,2,0)</f>
        <v>12</v>
      </c>
      <c r="F308">
        <v>174.1</v>
      </c>
      <c r="G308" t="s">
        <v>26</v>
      </c>
      <c r="H308" t="str">
        <f t="shared" si="21"/>
        <v>Post Covid</v>
      </c>
      <c r="I308" s="50">
        <f t="shared" si="22"/>
        <v>0.23028209556707294</v>
      </c>
    </row>
    <row r="309" spans="1:9" x14ac:dyDescent="0.3">
      <c r="A309" t="s">
        <v>33</v>
      </c>
      <c r="B309" s="28">
        <f t="shared" si="20"/>
        <v>44927</v>
      </c>
      <c r="C309">
        <v>2023</v>
      </c>
      <c r="D309" t="s">
        <v>31</v>
      </c>
      <c r="E309">
        <f>VLOOKUP(D309,'Problem Statement 4'!$G$2:$H$13,2,0)</f>
        <v>1</v>
      </c>
      <c r="F309">
        <v>174.3</v>
      </c>
      <c r="G309" t="s">
        <v>26</v>
      </c>
      <c r="H309" t="str">
        <f t="shared" si="21"/>
        <v>Post Covid</v>
      </c>
      <c r="I309" s="50">
        <f t="shared" si="22"/>
        <v>0.11487650775417407</v>
      </c>
    </row>
    <row r="310" spans="1:9" x14ac:dyDescent="0.3">
      <c r="A310" t="s">
        <v>33</v>
      </c>
      <c r="B310" s="28">
        <f t="shared" si="20"/>
        <v>44958</v>
      </c>
      <c r="C310">
        <v>2023</v>
      </c>
      <c r="D310" t="s">
        <v>34</v>
      </c>
      <c r="E310">
        <f>VLOOKUP(D310,'Problem Statement 4'!$G$2:$H$13,2,0)</f>
        <v>2</v>
      </c>
      <c r="F310">
        <v>175</v>
      </c>
      <c r="G310" t="s">
        <v>26</v>
      </c>
      <c r="H310" t="str">
        <f t="shared" si="21"/>
        <v>Post Covid</v>
      </c>
      <c r="I310" s="50">
        <f t="shared" si="22"/>
        <v>0.40160642570280469</v>
      </c>
    </row>
    <row r="311" spans="1:9" x14ac:dyDescent="0.3">
      <c r="A311" t="s">
        <v>33</v>
      </c>
      <c r="B311" s="28">
        <f t="shared" si="20"/>
        <v>44986</v>
      </c>
      <c r="C311">
        <v>2023</v>
      </c>
      <c r="D311" t="s">
        <v>35</v>
      </c>
      <c r="E311">
        <f>VLOOKUP(D311,'Problem Statement 4'!$G$2:$H$13,2,0)</f>
        <v>3</v>
      </c>
      <c r="F311">
        <v>175</v>
      </c>
      <c r="G311" t="s">
        <v>26</v>
      </c>
      <c r="H311" t="str">
        <f t="shared" si="21"/>
        <v>Post Covid</v>
      </c>
      <c r="I311" s="50">
        <f t="shared" si="22"/>
        <v>0</v>
      </c>
    </row>
    <row r="312" spans="1:9" x14ac:dyDescent="0.3">
      <c r="A312" t="s">
        <v>33</v>
      </c>
      <c r="B312" s="28">
        <f t="shared" si="20"/>
        <v>45017</v>
      </c>
      <c r="C312">
        <v>2023</v>
      </c>
      <c r="D312" t="s">
        <v>36</v>
      </c>
      <c r="E312">
        <f>VLOOKUP(D312,'Problem Statement 4'!$G$2:$H$13,2,0)</f>
        <v>4</v>
      </c>
      <c r="F312">
        <v>176.4</v>
      </c>
      <c r="G312" t="s">
        <v>26</v>
      </c>
      <c r="H312" t="str">
        <f t="shared" si="21"/>
        <v>Post Covid</v>
      </c>
      <c r="I312" s="50">
        <f t="shared" si="22"/>
        <v>0.80000000000000326</v>
      </c>
    </row>
    <row r="313" spans="1:9" x14ac:dyDescent="0.3">
      <c r="A313" t="s">
        <v>33</v>
      </c>
      <c r="B313" s="28">
        <f t="shared" si="20"/>
        <v>45047</v>
      </c>
      <c r="C313">
        <v>2023</v>
      </c>
      <c r="D313" t="s">
        <v>37</v>
      </c>
      <c r="E313">
        <f>VLOOKUP(D313,'Problem Statement 4'!$G$2:$H$13,2,0)</f>
        <v>5</v>
      </c>
      <c r="F313">
        <v>177.1</v>
      </c>
      <c r="G313" t="s">
        <v>26</v>
      </c>
      <c r="H313" t="str">
        <f t="shared" si="21"/>
        <v>Post Covid</v>
      </c>
      <c r="I313" s="50">
        <f t="shared" si="22"/>
        <v>0.39682539682539036</v>
      </c>
    </row>
    <row r="314" spans="1:9" x14ac:dyDescent="0.3">
      <c r="A314" t="s">
        <v>33</v>
      </c>
      <c r="B314" s="28">
        <f t="shared" ref="B314:B331" si="23">DATE(C314,E314,1)</f>
        <v>42675</v>
      </c>
      <c r="C314">
        <v>2016</v>
      </c>
      <c r="D314" t="s">
        <v>44</v>
      </c>
      <c r="E314">
        <f>VLOOKUP(D314,'Problem Statement 4'!$G$2:$H$13,2,0)</f>
        <v>11</v>
      </c>
      <c r="F314">
        <v>1296.5999999999999</v>
      </c>
      <c r="G314" t="s">
        <v>55</v>
      </c>
      <c r="H314" t="str">
        <f t="shared" si="21"/>
        <v>PreCovid</v>
      </c>
      <c r="I314" s="50">
        <v>0</v>
      </c>
    </row>
    <row r="315" spans="1:9" x14ac:dyDescent="0.3">
      <c r="A315" t="s">
        <v>33</v>
      </c>
      <c r="B315" s="28">
        <f t="shared" si="23"/>
        <v>42705</v>
      </c>
      <c r="C315">
        <v>2016</v>
      </c>
      <c r="D315" t="s">
        <v>45</v>
      </c>
      <c r="E315">
        <f>VLOOKUP(D315,'Problem Statement 4'!$G$2:$H$13,2,0)</f>
        <v>12</v>
      </c>
      <c r="F315">
        <v>1298.3999999999999</v>
      </c>
      <c r="G315" t="s">
        <v>55</v>
      </c>
      <c r="H315" t="str">
        <f t="shared" si="21"/>
        <v>PreCovid</v>
      </c>
      <c r="I315" s="50">
        <f t="shared" si="22"/>
        <v>0.13882461823229636</v>
      </c>
    </row>
    <row r="316" spans="1:9" x14ac:dyDescent="0.3">
      <c r="A316" t="s">
        <v>33</v>
      </c>
      <c r="B316" s="28">
        <f t="shared" si="23"/>
        <v>42736</v>
      </c>
      <c r="C316">
        <v>2017</v>
      </c>
      <c r="D316" t="s">
        <v>31</v>
      </c>
      <c r="E316">
        <f>VLOOKUP(D316,'Problem Statement 4'!$G$2:$H$13,2,0)</f>
        <v>1</v>
      </c>
      <c r="F316">
        <v>1302.6000000000001</v>
      </c>
      <c r="G316" t="s">
        <v>55</v>
      </c>
      <c r="H316" t="str">
        <f t="shared" si="21"/>
        <v>PreCovid</v>
      </c>
      <c r="I316" s="50">
        <f t="shared" si="22"/>
        <v>0.32347504621074191</v>
      </c>
    </row>
    <row r="317" spans="1:9" x14ac:dyDescent="0.3">
      <c r="A317" t="s">
        <v>33</v>
      </c>
      <c r="B317" s="28">
        <f t="shared" si="23"/>
        <v>42767</v>
      </c>
      <c r="C317">
        <v>2017</v>
      </c>
      <c r="D317" t="s">
        <v>34</v>
      </c>
      <c r="E317">
        <f>VLOOKUP(D317,'Problem Statement 4'!$G$2:$H$13,2,0)</f>
        <v>2</v>
      </c>
      <c r="F317">
        <v>1307</v>
      </c>
      <c r="G317" t="s">
        <v>55</v>
      </c>
      <c r="H317" t="str">
        <f t="shared" si="21"/>
        <v>PreCovid</v>
      </c>
      <c r="I317" s="50">
        <f t="shared" si="22"/>
        <v>0.33778596652847098</v>
      </c>
    </row>
    <row r="318" spans="1:9" x14ac:dyDescent="0.3">
      <c r="A318" t="s">
        <v>33</v>
      </c>
      <c r="B318" s="28">
        <f t="shared" si="23"/>
        <v>42795</v>
      </c>
      <c r="C318">
        <v>2017</v>
      </c>
      <c r="D318" t="s">
        <v>35</v>
      </c>
      <c r="E318">
        <f>VLOOKUP(D318,'Problem Statement 4'!$G$2:$H$13,2,0)</f>
        <v>3</v>
      </c>
      <c r="F318">
        <v>1311.1</v>
      </c>
      <c r="G318" t="s">
        <v>55</v>
      </c>
      <c r="H318" t="str">
        <f t="shared" si="21"/>
        <v>PreCovid</v>
      </c>
      <c r="I318" s="50">
        <f t="shared" si="22"/>
        <v>0.31369548584544066</v>
      </c>
    </row>
    <row r="319" spans="1:9" x14ac:dyDescent="0.3">
      <c r="A319" t="s">
        <v>33</v>
      </c>
      <c r="B319" s="28">
        <f t="shared" si="23"/>
        <v>42826</v>
      </c>
      <c r="C319">
        <v>2017</v>
      </c>
      <c r="D319" t="s">
        <v>36</v>
      </c>
      <c r="E319">
        <f>VLOOKUP(D319,'Problem Statement 4'!$G$2:$H$13,2,0)</f>
        <v>4</v>
      </c>
      <c r="F319">
        <v>1314.9999999999998</v>
      </c>
      <c r="G319" t="s">
        <v>55</v>
      </c>
      <c r="H319" t="str">
        <f t="shared" si="21"/>
        <v>PreCovid</v>
      </c>
      <c r="I319" s="50">
        <f t="shared" si="22"/>
        <v>0.29746014796734527</v>
      </c>
    </row>
    <row r="320" spans="1:9" x14ac:dyDescent="0.3">
      <c r="A320" t="s">
        <v>33</v>
      </c>
      <c r="B320" s="28">
        <f t="shared" si="23"/>
        <v>42856</v>
      </c>
      <c r="C320">
        <v>2017</v>
      </c>
      <c r="D320" t="s">
        <v>37</v>
      </c>
      <c r="E320">
        <f>VLOOKUP(D320,'Problem Statement 4'!$G$2:$H$13,2,0)</f>
        <v>5</v>
      </c>
      <c r="F320">
        <v>1318.3999999999999</v>
      </c>
      <c r="G320" t="s">
        <v>55</v>
      </c>
      <c r="H320" t="str">
        <f t="shared" si="21"/>
        <v>PreCovid</v>
      </c>
      <c r="I320" s="50">
        <f t="shared" si="22"/>
        <v>0.25855513307985489</v>
      </c>
    </row>
    <row r="321" spans="1:9" x14ac:dyDescent="0.3">
      <c r="A321" t="s">
        <v>33</v>
      </c>
      <c r="B321" s="28">
        <f t="shared" si="23"/>
        <v>42887</v>
      </c>
      <c r="C321">
        <v>2017</v>
      </c>
      <c r="D321" t="s">
        <v>38</v>
      </c>
      <c r="E321">
        <f>VLOOKUP(D321,'Problem Statement 4'!$G$2:$H$13,2,0)</f>
        <v>6</v>
      </c>
      <c r="F321">
        <v>1320.1000000000001</v>
      </c>
      <c r="G321" t="s">
        <v>55</v>
      </c>
      <c r="H321" t="str">
        <f t="shared" si="21"/>
        <v>PreCovid</v>
      </c>
      <c r="I321" s="50">
        <f t="shared" si="22"/>
        <v>0.12894417475730227</v>
      </c>
    </row>
    <row r="322" spans="1:9" x14ac:dyDescent="0.3">
      <c r="A322" t="s">
        <v>33</v>
      </c>
      <c r="B322" s="28">
        <f t="shared" si="23"/>
        <v>42917</v>
      </c>
      <c r="C322">
        <v>2017</v>
      </c>
      <c r="D322" t="s">
        <v>39</v>
      </c>
      <c r="E322">
        <f>VLOOKUP(D322,'Problem Statement 4'!$G$2:$H$13,2,0)</f>
        <v>7</v>
      </c>
      <c r="F322">
        <v>1327.9</v>
      </c>
      <c r="G322" t="s">
        <v>55</v>
      </c>
      <c r="H322" t="str">
        <f t="shared" si="21"/>
        <v>PreCovid</v>
      </c>
      <c r="I322" s="50">
        <f t="shared" si="22"/>
        <v>0.59086432845996162</v>
      </c>
    </row>
    <row r="323" spans="1:9" x14ac:dyDescent="0.3">
      <c r="A323" t="s">
        <v>33</v>
      </c>
      <c r="B323" s="28">
        <f t="shared" si="23"/>
        <v>42948</v>
      </c>
      <c r="C323">
        <v>2017</v>
      </c>
      <c r="D323" t="s">
        <v>40</v>
      </c>
      <c r="E323">
        <f>VLOOKUP(D323,'Problem Statement 4'!$G$2:$H$13,2,0)</f>
        <v>8</v>
      </c>
      <c r="F323">
        <v>1338.4</v>
      </c>
      <c r="G323" t="s">
        <v>55</v>
      </c>
      <c r="H323" t="str">
        <f t="shared" ref="H323:H386" si="24">IF(B323&lt;DATE(2020,3,1),"PreCovid","Post Covid")</f>
        <v>PreCovid</v>
      </c>
      <c r="I323" s="50">
        <f t="shared" si="22"/>
        <v>0.79072219293621504</v>
      </c>
    </row>
    <row r="324" spans="1:9" x14ac:dyDescent="0.3">
      <c r="A324" t="s">
        <v>33</v>
      </c>
      <c r="B324" s="28">
        <f t="shared" si="23"/>
        <v>42979</v>
      </c>
      <c r="C324">
        <v>2017</v>
      </c>
      <c r="D324" t="s">
        <v>41</v>
      </c>
      <c r="E324">
        <f>VLOOKUP(D324,'Problem Statement 4'!$G$2:$H$13,2,0)</f>
        <v>9</v>
      </c>
      <c r="F324">
        <v>1346</v>
      </c>
      <c r="G324" t="s">
        <v>55</v>
      </c>
      <c r="H324" t="str">
        <f t="shared" si="24"/>
        <v>PreCovid</v>
      </c>
      <c r="I324" s="50">
        <f t="shared" si="22"/>
        <v>0.56784219964135596</v>
      </c>
    </row>
    <row r="325" spans="1:9" x14ac:dyDescent="0.3">
      <c r="A325" t="s">
        <v>33</v>
      </c>
      <c r="B325" s="28">
        <f t="shared" si="23"/>
        <v>43009</v>
      </c>
      <c r="C325">
        <v>2017</v>
      </c>
      <c r="D325" t="s">
        <v>42</v>
      </c>
      <c r="E325">
        <f>VLOOKUP(D325,'Problem Statement 4'!$G$2:$H$13,2,0)</f>
        <v>10</v>
      </c>
      <c r="F325">
        <v>1353.0000000000002</v>
      </c>
      <c r="G325" t="s">
        <v>55</v>
      </c>
      <c r="H325" t="str">
        <f t="shared" si="24"/>
        <v>PreCovid</v>
      </c>
      <c r="I325" s="50">
        <f t="shared" si="22"/>
        <v>0.52005943536405852</v>
      </c>
    </row>
    <row r="326" spans="1:9" x14ac:dyDescent="0.3">
      <c r="A326" t="s">
        <v>33</v>
      </c>
      <c r="B326" s="28">
        <f t="shared" si="23"/>
        <v>43040</v>
      </c>
      <c r="C326">
        <v>2017</v>
      </c>
      <c r="D326" t="s">
        <v>44</v>
      </c>
      <c r="E326">
        <f>VLOOKUP(D326,'Problem Statement 4'!$G$2:$H$13,2,0)</f>
        <v>11</v>
      </c>
      <c r="F326">
        <v>1362.5</v>
      </c>
      <c r="G326" t="s">
        <v>55</v>
      </c>
      <c r="H326" t="str">
        <f t="shared" si="24"/>
        <v>PreCovid</v>
      </c>
      <c r="I326" s="50">
        <f t="shared" si="22"/>
        <v>0.70214338507019736</v>
      </c>
    </row>
    <row r="327" spans="1:9" x14ac:dyDescent="0.3">
      <c r="A327" t="s">
        <v>33</v>
      </c>
      <c r="B327" s="28">
        <f t="shared" si="23"/>
        <v>43070</v>
      </c>
      <c r="C327">
        <v>2017</v>
      </c>
      <c r="D327" t="s">
        <v>45</v>
      </c>
      <c r="E327">
        <f>VLOOKUP(D327,'Problem Statement 4'!$G$2:$H$13,2,0)</f>
        <v>12</v>
      </c>
      <c r="F327">
        <v>1365.4</v>
      </c>
      <c r="G327" t="s">
        <v>55</v>
      </c>
      <c r="H327" t="str">
        <f t="shared" si="24"/>
        <v>PreCovid</v>
      </c>
      <c r="I327" s="50">
        <f t="shared" si="22"/>
        <v>0.21284403669725435</v>
      </c>
    </row>
    <row r="328" spans="1:9" x14ac:dyDescent="0.3">
      <c r="A328" t="s">
        <v>33</v>
      </c>
      <c r="B328" s="28">
        <f t="shared" si="23"/>
        <v>43101</v>
      </c>
      <c r="C328">
        <v>2018</v>
      </c>
      <c r="D328" t="s">
        <v>31</v>
      </c>
      <c r="E328">
        <f>VLOOKUP(D328,'Problem Statement 4'!$G$2:$H$13,2,0)</f>
        <v>1</v>
      </c>
      <c r="F328">
        <v>1370.6999999999998</v>
      </c>
      <c r="G328" t="s">
        <v>55</v>
      </c>
      <c r="H328" t="str">
        <f t="shared" si="24"/>
        <v>PreCovid</v>
      </c>
      <c r="I328" s="50">
        <f t="shared" si="22"/>
        <v>0.38816464039839804</v>
      </c>
    </row>
    <row r="329" spans="1:9" x14ac:dyDescent="0.3">
      <c r="A329" t="s">
        <v>33</v>
      </c>
      <c r="B329" s="28">
        <f t="shared" si="23"/>
        <v>43132</v>
      </c>
      <c r="C329">
        <v>2018</v>
      </c>
      <c r="D329" t="s">
        <v>34</v>
      </c>
      <c r="E329">
        <f>VLOOKUP(D329,'Problem Statement 4'!$G$2:$H$13,2,0)</f>
        <v>2</v>
      </c>
      <c r="F329">
        <v>1374.4</v>
      </c>
      <c r="G329" t="s">
        <v>55</v>
      </c>
      <c r="H329" t="str">
        <f t="shared" si="24"/>
        <v>PreCovid</v>
      </c>
      <c r="I329" s="50">
        <f t="shared" si="22"/>
        <v>0.26993506967245007</v>
      </c>
    </row>
    <row r="330" spans="1:9" x14ac:dyDescent="0.3">
      <c r="A330" t="s">
        <v>33</v>
      </c>
      <c r="B330" s="28">
        <f t="shared" si="23"/>
        <v>43160</v>
      </c>
      <c r="C330">
        <v>2018</v>
      </c>
      <c r="D330" t="s">
        <v>35</v>
      </c>
      <c r="E330">
        <f>VLOOKUP(D330,'Problem Statement 4'!$G$2:$H$13,2,0)</f>
        <v>3</v>
      </c>
      <c r="F330">
        <v>1380.7</v>
      </c>
      <c r="G330" t="s">
        <v>55</v>
      </c>
      <c r="H330" t="str">
        <f t="shared" si="24"/>
        <v>PreCovid</v>
      </c>
      <c r="I330" s="50">
        <f t="shared" si="22"/>
        <v>0.45838183934807586</v>
      </c>
    </row>
    <row r="331" spans="1:9" x14ac:dyDescent="0.3">
      <c r="A331" t="s">
        <v>33</v>
      </c>
      <c r="B331" s="28">
        <f t="shared" si="23"/>
        <v>43191</v>
      </c>
      <c r="C331">
        <v>2018</v>
      </c>
      <c r="D331" t="s">
        <v>36</v>
      </c>
      <c r="E331">
        <f>VLOOKUP(D331,'Problem Statement 4'!$G$2:$H$13,2,0)</f>
        <v>4</v>
      </c>
      <c r="F331">
        <v>1389.4</v>
      </c>
      <c r="G331" t="s">
        <v>55</v>
      </c>
      <c r="H331" t="str">
        <f t="shared" si="24"/>
        <v>PreCovid</v>
      </c>
      <c r="I331" s="50">
        <f t="shared" si="22"/>
        <v>0.63011515897733361</v>
      </c>
    </row>
    <row r="332" spans="1:9" x14ac:dyDescent="0.3">
      <c r="A332" t="s">
        <v>33</v>
      </c>
      <c r="B332" s="28">
        <f t="shared" ref="B332:B391" si="25">DATE(C332,E332,1)</f>
        <v>43221</v>
      </c>
      <c r="C332">
        <v>2018</v>
      </c>
      <c r="D332" t="s">
        <v>37</v>
      </c>
      <c r="E332">
        <f>VLOOKUP(D332,'Problem Statement 4'!$G$2:$H$13,2,0)</f>
        <v>5</v>
      </c>
      <c r="F332">
        <v>1396.4</v>
      </c>
      <c r="G332" t="s">
        <v>55</v>
      </c>
      <c r="H332" t="str">
        <f t="shared" si="24"/>
        <v>PreCovid</v>
      </c>
      <c r="I332" s="50">
        <f t="shared" si="22"/>
        <v>0.50381459622858782</v>
      </c>
    </row>
    <row r="333" spans="1:9" x14ac:dyDescent="0.3">
      <c r="A333" t="s">
        <v>33</v>
      </c>
      <c r="B333" s="28">
        <f t="shared" si="25"/>
        <v>43252</v>
      </c>
      <c r="C333">
        <v>2018</v>
      </c>
      <c r="D333" t="s">
        <v>38</v>
      </c>
      <c r="E333">
        <f>VLOOKUP(D333,'Problem Statement 4'!$G$2:$H$13,2,0)</f>
        <v>6</v>
      </c>
      <c r="F333">
        <v>1399.8999999999996</v>
      </c>
      <c r="G333" t="s">
        <v>55</v>
      </c>
      <c r="H333" t="str">
        <f t="shared" si="24"/>
        <v>PreCovid</v>
      </c>
      <c r="I333" s="50">
        <f t="shared" si="22"/>
        <v>0.25064451446573655</v>
      </c>
    </row>
    <row r="334" spans="1:9" x14ac:dyDescent="0.3">
      <c r="A334" t="s">
        <v>33</v>
      </c>
      <c r="B334" s="28">
        <f t="shared" si="25"/>
        <v>43282</v>
      </c>
      <c r="C334">
        <v>2018</v>
      </c>
      <c r="D334" t="s">
        <v>39</v>
      </c>
      <c r="E334">
        <f>VLOOKUP(D334,'Problem Statement 4'!$G$2:$H$13,2,0)</f>
        <v>7</v>
      </c>
      <c r="F334">
        <v>1403.9</v>
      </c>
      <c r="G334" t="s">
        <v>55</v>
      </c>
      <c r="H334" t="str">
        <f t="shared" si="24"/>
        <v>PreCovid</v>
      </c>
      <c r="I334" s="50">
        <f t="shared" si="22"/>
        <v>0.28573469533541368</v>
      </c>
    </row>
    <row r="335" spans="1:9" x14ac:dyDescent="0.3">
      <c r="A335" t="s">
        <v>33</v>
      </c>
      <c r="B335" s="28">
        <f t="shared" si="25"/>
        <v>43313</v>
      </c>
      <c r="C335">
        <v>2018</v>
      </c>
      <c r="D335" t="s">
        <v>40</v>
      </c>
      <c r="E335">
        <f>VLOOKUP(D335,'Problem Statement 4'!$G$2:$H$13,2,0)</f>
        <v>8</v>
      </c>
      <c r="F335">
        <v>1409.3999999999999</v>
      </c>
      <c r="G335" t="s">
        <v>55</v>
      </c>
      <c r="H335" t="str">
        <f t="shared" si="24"/>
        <v>PreCovid</v>
      </c>
      <c r="I335" s="50">
        <f t="shared" si="22"/>
        <v>0.39176579528454819</v>
      </c>
    </row>
    <row r="336" spans="1:9" x14ac:dyDescent="0.3">
      <c r="A336" t="s">
        <v>33</v>
      </c>
      <c r="B336" s="28">
        <f t="shared" si="25"/>
        <v>43344</v>
      </c>
      <c r="C336">
        <v>2018</v>
      </c>
      <c r="D336" t="s">
        <v>41</v>
      </c>
      <c r="E336">
        <f>VLOOKUP(D336,'Problem Statement 4'!$G$2:$H$13,2,0)</f>
        <v>9</v>
      </c>
      <c r="F336">
        <v>1416.0000000000002</v>
      </c>
      <c r="G336" t="s">
        <v>55</v>
      </c>
      <c r="H336" t="str">
        <f t="shared" si="24"/>
        <v>PreCovid</v>
      </c>
      <c r="I336" s="50">
        <f t="shared" si="22"/>
        <v>0.46828437633037917</v>
      </c>
    </row>
    <row r="337" spans="1:9" x14ac:dyDescent="0.3">
      <c r="A337" t="s">
        <v>33</v>
      </c>
      <c r="B337" s="28">
        <f t="shared" si="25"/>
        <v>43374</v>
      </c>
      <c r="C337">
        <v>2018</v>
      </c>
      <c r="D337" t="s">
        <v>42</v>
      </c>
      <c r="E337">
        <f>VLOOKUP(D337,'Problem Statement 4'!$G$2:$H$13,2,0)</f>
        <v>10</v>
      </c>
      <c r="F337">
        <v>1432.6</v>
      </c>
      <c r="G337" t="s">
        <v>55</v>
      </c>
      <c r="H337" t="str">
        <f t="shared" si="24"/>
        <v>PreCovid</v>
      </c>
      <c r="I337" s="50">
        <f t="shared" si="22"/>
        <v>1.1723163841807682</v>
      </c>
    </row>
    <row r="338" spans="1:9" x14ac:dyDescent="0.3">
      <c r="A338" t="s">
        <v>33</v>
      </c>
      <c r="B338" s="28">
        <f t="shared" si="25"/>
        <v>43405</v>
      </c>
      <c r="C338">
        <v>2018</v>
      </c>
      <c r="D338" t="s">
        <v>44</v>
      </c>
      <c r="E338">
        <f>VLOOKUP(D338,'Problem Statement 4'!$G$2:$H$13,2,0)</f>
        <v>11</v>
      </c>
      <c r="F338">
        <v>1432.3999999999999</v>
      </c>
      <c r="G338" t="s">
        <v>55</v>
      </c>
      <c r="H338" t="str">
        <f t="shared" si="24"/>
        <v>PreCovid</v>
      </c>
      <c r="I338" s="50">
        <f t="shared" ref="I338:I391" si="26">(F338-F337)/F337*100</f>
        <v>-1.3960631020525303E-2</v>
      </c>
    </row>
    <row r="339" spans="1:9" x14ac:dyDescent="0.3">
      <c r="A339" t="s">
        <v>33</v>
      </c>
      <c r="B339" s="28">
        <f t="shared" si="25"/>
        <v>43435</v>
      </c>
      <c r="C339">
        <v>2018</v>
      </c>
      <c r="D339" t="s">
        <v>45</v>
      </c>
      <c r="E339">
        <f>VLOOKUP(D339,'Problem Statement 4'!$G$2:$H$13,2,0)</f>
        <v>12</v>
      </c>
      <c r="F339">
        <v>1437.7</v>
      </c>
      <c r="G339" t="s">
        <v>55</v>
      </c>
      <c r="H339" t="str">
        <f t="shared" si="24"/>
        <v>PreCovid</v>
      </c>
      <c r="I339" s="50">
        <f t="shared" si="26"/>
        <v>0.37000837754818366</v>
      </c>
    </row>
    <row r="340" spans="1:9" x14ac:dyDescent="0.3">
      <c r="A340" t="s">
        <v>33</v>
      </c>
      <c r="B340" s="28">
        <f t="shared" si="25"/>
        <v>43466</v>
      </c>
      <c r="C340">
        <v>2019</v>
      </c>
      <c r="D340" t="s">
        <v>31</v>
      </c>
      <c r="E340">
        <f>VLOOKUP(D340,'Problem Statement 4'!$G$2:$H$13,2,0)</f>
        <v>1</v>
      </c>
      <c r="F340">
        <v>1439</v>
      </c>
      <c r="G340" t="s">
        <v>55</v>
      </c>
      <c r="H340" t="str">
        <f t="shared" si="24"/>
        <v>PreCovid</v>
      </c>
      <c r="I340" s="50">
        <f t="shared" si="26"/>
        <v>9.0422202128396356E-2</v>
      </c>
    </row>
    <row r="341" spans="1:9" x14ac:dyDescent="0.3">
      <c r="A341" t="s">
        <v>33</v>
      </c>
      <c r="B341" s="28">
        <f t="shared" si="25"/>
        <v>43497</v>
      </c>
      <c r="C341">
        <v>2019</v>
      </c>
      <c r="D341" t="s">
        <v>34</v>
      </c>
      <c r="E341">
        <f>VLOOKUP(D341,'Problem Statement 4'!$G$2:$H$13,2,0)</f>
        <v>2</v>
      </c>
      <c r="F341">
        <v>1443.6999999999998</v>
      </c>
      <c r="G341" t="s">
        <v>55</v>
      </c>
      <c r="H341" t="str">
        <f t="shared" si="24"/>
        <v>PreCovid</v>
      </c>
      <c r="I341" s="50">
        <f t="shared" si="26"/>
        <v>0.32661570535092554</v>
      </c>
    </row>
    <row r="342" spans="1:9" x14ac:dyDescent="0.3">
      <c r="A342" t="s">
        <v>33</v>
      </c>
      <c r="B342" s="28">
        <f t="shared" si="25"/>
        <v>43525</v>
      </c>
      <c r="C342">
        <v>2019</v>
      </c>
      <c r="D342" t="s">
        <v>35</v>
      </c>
      <c r="E342">
        <f>VLOOKUP(D342,'Problem Statement 4'!$G$2:$H$13,2,0)</f>
        <v>3</v>
      </c>
      <c r="F342">
        <v>1445.8000000000002</v>
      </c>
      <c r="G342" t="s">
        <v>55</v>
      </c>
      <c r="H342" t="str">
        <f t="shared" si="24"/>
        <v>PreCovid</v>
      </c>
      <c r="I342" s="50">
        <f t="shared" si="26"/>
        <v>0.14545958301588724</v>
      </c>
    </row>
    <row r="343" spans="1:9" x14ac:dyDescent="0.3">
      <c r="A343" t="s">
        <v>33</v>
      </c>
      <c r="B343" s="28">
        <f t="shared" si="25"/>
        <v>43586</v>
      </c>
      <c r="C343">
        <v>2019</v>
      </c>
      <c r="D343" t="s">
        <v>37</v>
      </c>
      <c r="E343">
        <f>VLOOKUP(D343,'Problem Statement 4'!$G$2:$H$13,2,0)</f>
        <v>5</v>
      </c>
      <c r="F343">
        <v>1451.7000000000003</v>
      </c>
      <c r="G343" t="s">
        <v>55</v>
      </c>
      <c r="H343" t="str">
        <f t="shared" si="24"/>
        <v>PreCovid</v>
      </c>
      <c r="I343" s="50">
        <f t="shared" si="26"/>
        <v>0.4080785724166614</v>
      </c>
    </row>
    <row r="344" spans="1:9" x14ac:dyDescent="0.3">
      <c r="A344" t="s">
        <v>33</v>
      </c>
      <c r="B344" s="28">
        <f t="shared" si="25"/>
        <v>43617</v>
      </c>
      <c r="C344">
        <v>2019</v>
      </c>
      <c r="D344" t="s">
        <v>38</v>
      </c>
      <c r="E344">
        <f>VLOOKUP(D344,'Problem Statement 4'!$G$2:$H$13,2,0)</f>
        <v>6</v>
      </c>
      <c r="F344">
        <v>1454.3999999999999</v>
      </c>
      <c r="G344" t="s">
        <v>55</v>
      </c>
      <c r="H344" t="str">
        <f t="shared" si="24"/>
        <v>PreCovid</v>
      </c>
      <c r="I344" s="50">
        <f t="shared" si="26"/>
        <v>0.18598884066953159</v>
      </c>
    </row>
    <row r="345" spans="1:9" x14ac:dyDescent="0.3">
      <c r="A345" t="s">
        <v>33</v>
      </c>
      <c r="B345" s="28">
        <f t="shared" si="25"/>
        <v>43647</v>
      </c>
      <c r="C345">
        <v>2019</v>
      </c>
      <c r="D345" t="s">
        <v>39</v>
      </c>
      <c r="E345">
        <f>VLOOKUP(D345,'Problem Statement 4'!$G$2:$H$13,2,0)</f>
        <v>7</v>
      </c>
      <c r="F345">
        <v>1460.6000000000001</v>
      </c>
      <c r="G345" t="s">
        <v>55</v>
      </c>
      <c r="H345" t="str">
        <f t="shared" si="24"/>
        <v>PreCovid</v>
      </c>
      <c r="I345" s="50">
        <f t="shared" si="26"/>
        <v>0.42629262926294514</v>
      </c>
    </row>
    <row r="346" spans="1:9" x14ac:dyDescent="0.3">
      <c r="A346" t="s">
        <v>33</v>
      </c>
      <c r="B346" s="28">
        <f t="shared" si="25"/>
        <v>43678</v>
      </c>
      <c r="C346">
        <v>2019</v>
      </c>
      <c r="D346" t="s">
        <v>40</v>
      </c>
      <c r="E346">
        <f>VLOOKUP(D346,'Problem Statement 4'!$G$2:$H$13,2,0)</f>
        <v>8</v>
      </c>
      <c r="F346">
        <v>1467.5000000000002</v>
      </c>
      <c r="G346" t="s">
        <v>55</v>
      </c>
      <c r="H346" t="str">
        <f t="shared" si="24"/>
        <v>PreCovid</v>
      </c>
      <c r="I346" s="50">
        <f t="shared" si="26"/>
        <v>0.47240859920581202</v>
      </c>
    </row>
    <row r="347" spans="1:9" x14ac:dyDescent="0.3">
      <c r="A347" t="s">
        <v>33</v>
      </c>
      <c r="B347" s="28">
        <f t="shared" si="25"/>
        <v>43709</v>
      </c>
      <c r="C347">
        <v>2019</v>
      </c>
      <c r="D347" t="s">
        <v>41</v>
      </c>
      <c r="E347">
        <f>VLOOKUP(D347,'Problem Statement 4'!$G$2:$H$13,2,0)</f>
        <v>9</v>
      </c>
      <c r="F347">
        <v>1471.7</v>
      </c>
      <c r="G347" t="s">
        <v>55</v>
      </c>
      <c r="H347" t="str">
        <f t="shared" si="24"/>
        <v>PreCovid</v>
      </c>
      <c r="I347" s="50">
        <f t="shared" si="26"/>
        <v>0.28620102214649523</v>
      </c>
    </row>
    <row r="348" spans="1:9" x14ac:dyDescent="0.3">
      <c r="A348" t="s">
        <v>33</v>
      </c>
      <c r="B348" s="28">
        <f t="shared" si="25"/>
        <v>43739</v>
      </c>
      <c r="C348">
        <v>2019</v>
      </c>
      <c r="D348" t="s">
        <v>42</v>
      </c>
      <c r="E348">
        <f>VLOOKUP(D348,'Problem Statement 4'!$G$2:$H$13,2,0)</f>
        <v>10</v>
      </c>
      <c r="F348">
        <v>1475.6000000000001</v>
      </c>
      <c r="G348" t="s">
        <v>55</v>
      </c>
      <c r="H348" t="str">
        <f t="shared" si="24"/>
        <v>PreCovid</v>
      </c>
      <c r="I348" s="50">
        <f t="shared" si="26"/>
        <v>0.26499966025685195</v>
      </c>
    </row>
    <row r="349" spans="1:9" x14ac:dyDescent="0.3">
      <c r="A349" t="s">
        <v>33</v>
      </c>
      <c r="B349" s="28">
        <f t="shared" si="25"/>
        <v>43770</v>
      </c>
      <c r="C349">
        <v>2019</v>
      </c>
      <c r="D349" t="s">
        <v>44</v>
      </c>
      <c r="E349">
        <f>VLOOKUP(D349,'Problem Statement 4'!$G$2:$H$13,2,0)</f>
        <v>11</v>
      </c>
      <c r="F349">
        <v>1479.8</v>
      </c>
      <c r="G349" t="s">
        <v>55</v>
      </c>
      <c r="H349" t="str">
        <f t="shared" si="24"/>
        <v>PreCovid</v>
      </c>
      <c r="I349" s="50">
        <f t="shared" si="26"/>
        <v>0.28462998102465559</v>
      </c>
    </row>
    <row r="350" spans="1:9" x14ac:dyDescent="0.3">
      <c r="A350" t="s">
        <v>33</v>
      </c>
      <c r="B350" s="28">
        <f t="shared" si="25"/>
        <v>43800</v>
      </c>
      <c r="C350">
        <v>2019</v>
      </c>
      <c r="D350" t="s">
        <v>45</v>
      </c>
      <c r="E350">
        <f>VLOOKUP(D350,'Problem Statement 4'!$G$2:$H$13,2,0)</f>
        <v>12</v>
      </c>
      <c r="F350">
        <v>1483.3000000000002</v>
      </c>
      <c r="G350" t="s">
        <v>55</v>
      </c>
      <c r="H350" t="str">
        <f t="shared" si="24"/>
        <v>PreCovid</v>
      </c>
      <c r="I350" s="50">
        <f t="shared" si="26"/>
        <v>0.23651844843899358</v>
      </c>
    </row>
    <row r="351" spans="1:9" x14ac:dyDescent="0.3">
      <c r="A351" t="s">
        <v>33</v>
      </c>
      <c r="B351" s="28">
        <f t="shared" si="25"/>
        <v>43831</v>
      </c>
      <c r="C351">
        <v>2020</v>
      </c>
      <c r="D351" t="s">
        <v>31</v>
      </c>
      <c r="E351">
        <f>VLOOKUP(D351,'Problem Statement 4'!$G$2:$H$13,2,0)</f>
        <v>1</v>
      </c>
      <c r="F351">
        <v>1490.2</v>
      </c>
      <c r="G351" t="s">
        <v>55</v>
      </c>
      <c r="H351" t="str">
        <f t="shared" si="24"/>
        <v>PreCovid</v>
      </c>
      <c r="I351" s="50">
        <f t="shared" si="26"/>
        <v>0.4651789927863455</v>
      </c>
    </row>
    <row r="352" spans="1:9" x14ac:dyDescent="0.3">
      <c r="A352" t="s">
        <v>33</v>
      </c>
      <c r="B352" s="28">
        <f t="shared" si="25"/>
        <v>43862</v>
      </c>
      <c r="C352">
        <v>2020</v>
      </c>
      <c r="D352" t="s">
        <v>34</v>
      </c>
      <c r="E352">
        <f>VLOOKUP(D352,'Problem Statement 4'!$G$2:$H$13,2,0)</f>
        <v>2</v>
      </c>
      <c r="F352">
        <v>1495.1999999999998</v>
      </c>
      <c r="G352" t="s">
        <v>55</v>
      </c>
      <c r="H352" t="str">
        <f t="shared" si="24"/>
        <v>PreCovid</v>
      </c>
      <c r="I352" s="50">
        <f t="shared" si="26"/>
        <v>0.33552543282779307</v>
      </c>
    </row>
    <row r="353" spans="1:9" x14ac:dyDescent="0.3">
      <c r="A353" t="s">
        <v>33</v>
      </c>
      <c r="B353" s="28">
        <f t="shared" si="25"/>
        <v>43891</v>
      </c>
      <c r="C353">
        <v>2020</v>
      </c>
      <c r="D353" t="s">
        <v>35</v>
      </c>
      <c r="E353">
        <f>VLOOKUP(D353,'Problem Statement 4'!$G$2:$H$13,2,0)</f>
        <v>3</v>
      </c>
      <c r="F353">
        <v>1500</v>
      </c>
      <c r="G353" t="s">
        <v>55</v>
      </c>
      <c r="H353" t="str">
        <f t="shared" si="24"/>
        <v>Post Covid</v>
      </c>
      <c r="I353" s="50">
        <f t="shared" si="26"/>
        <v>0.32102728731943431</v>
      </c>
    </row>
    <row r="354" spans="1:9" x14ac:dyDescent="0.3">
      <c r="A354" t="s">
        <v>33</v>
      </c>
      <c r="B354" s="28">
        <f t="shared" si="25"/>
        <v>43922</v>
      </c>
      <c r="C354">
        <v>2020</v>
      </c>
      <c r="D354" t="s">
        <v>36</v>
      </c>
      <c r="E354">
        <f>VLOOKUP(D354,'Problem Statement 4'!$G$2:$H$13,2,0)</f>
        <v>4</v>
      </c>
      <c r="F354">
        <v>1499.5</v>
      </c>
      <c r="G354" t="s">
        <v>55</v>
      </c>
      <c r="H354" t="str">
        <f t="shared" si="24"/>
        <v>Post Covid</v>
      </c>
      <c r="I354" s="50">
        <f t="shared" si="26"/>
        <v>-3.3333333333333333E-2</v>
      </c>
    </row>
    <row r="355" spans="1:9" x14ac:dyDescent="0.3">
      <c r="A355" t="s">
        <v>33</v>
      </c>
      <c r="B355" s="28">
        <f t="shared" si="25"/>
        <v>43952</v>
      </c>
      <c r="C355">
        <v>2020</v>
      </c>
      <c r="D355" t="s">
        <v>37</v>
      </c>
      <c r="E355">
        <f>VLOOKUP(D355,'Problem Statement 4'!$G$2:$H$13,2,0)</f>
        <v>5</v>
      </c>
      <c r="F355">
        <v>1499.5</v>
      </c>
      <c r="G355" t="s">
        <v>55</v>
      </c>
      <c r="H355" t="str">
        <f t="shared" si="24"/>
        <v>Post Covid</v>
      </c>
      <c r="I355" s="50">
        <f t="shared" si="26"/>
        <v>0</v>
      </c>
    </row>
    <row r="356" spans="1:9" x14ac:dyDescent="0.3">
      <c r="A356" t="s">
        <v>33</v>
      </c>
      <c r="B356" s="28">
        <f t="shared" si="25"/>
        <v>43983</v>
      </c>
      <c r="C356">
        <v>2020</v>
      </c>
      <c r="D356" t="s">
        <v>38</v>
      </c>
      <c r="E356">
        <f>VLOOKUP(D356,'Problem Statement 4'!$G$2:$H$13,2,0)</f>
        <v>6</v>
      </c>
      <c r="F356">
        <v>1534.1999999999998</v>
      </c>
      <c r="G356" t="s">
        <v>55</v>
      </c>
      <c r="H356" t="str">
        <f t="shared" si="24"/>
        <v>Post Covid</v>
      </c>
      <c r="I356" s="50">
        <f t="shared" si="26"/>
        <v>2.3141047015671772</v>
      </c>
    </row>
    <row r="357" spans="1:9" x14ac:dyDescent="0.3">
      <c r="A357" t="s">
        <v>33</v>
      </c>
      <c r="B357" s="28">
        <f t="shared" si="25"/>
        <v>44013</v>
      </c>
      <c r="C357">
        <v>2020</v>
      </c>
      <c r="D357" t="s">
        <v>39</v>
      </c>
      <c r="E357">
        <f>VLOOKUP(D357,'Problem Statement 4'!$G$2:$H$13,2,0)</f>
        <v>7</v>
      </c>
      <c r="F357">
        <v>1534.1999999999998</v>
      </c>
      <c r="G357" t="s">
        <v>55</v>
      </c>
      <c r="H357" t="str">
        <f t="shared" si="24"/>
        <v>Post Covid</v>
      </c>
      <c r="I357" s="50">
        <f t="shared" si="26"/>
        <v>0</v>
      </c>
    </row>
    <row r="358" spans="1:9" x14ac:dyDescent="0.3">
      <c r="A358" t="s">
        <v>33</v>
      </c>
      <c r="B358" s="28">
        <f t="shared" si="25"/>
        <v>44044</v>
      </c>
      <c r="C358">
        <v>2020</v>
      </c>
      <c r="D358" t="s">
        <v>40</v>
      </c>
      <c r="E358">
        <f>VLOOKUP(D358,'Problem Statement 4'!$G$2:$H$13,2,0)</f>
        <v>8</v>
      </c>
      <c r="F358">
        <v>1538.9999999999998</v>
      </c>
      <c r="G358" t="s">
        <v>55</v>
      </c>
      <c r="H358" t="str">
        <f t="shared" si="24"/>
        <v>Post Covid</v>
      </c>
      <c r="I358" s="50">
        <f t="shared" si="26"/>
        <v>0.31286664059444369</v>
      </c>
    </row>
    <row r="359" spans="1:9" x14ac:dyDescent="0.3">
      <c r="A359" t="s">
        <v>33</v>
      </c>
      <c r="B359" s="28">
        <f t="shared" si="25"/>
        <v>44075</v>
      </c>
      <c r="C359">
        <v>2020</v>
      </c>
      <c r="D359" t="s">
        <v>41</v>
      </c>
      <c r="E359">
        <f>VLOOKUP(D359,'Problem Statement 4'!$G$2:$H$13,2,0)</f>
        <v>9</v>
      </c>
      <c r="F359">
        <v>1549.7</v>
      </c>
      <c r="G359" t="s">
        <v>55</v>
      </c>
      <c r="H359" t="str">
        <f t="shared" si="24"/>
        <v>Post Covid</v>
      </c>
      <c r="I359" s="50">
        <f t="shared" si="26"/>
        <v>0.69525666016895871</v>
      </c>
    </row>
    <row r="360" spans="1:9" x14ac:dyDescent="0.3">
      <c r="A360" t="s">
        <v>33</v>
      </c>
      <c r="B360" s="28">
        <f t="shared" si="25"/>
        <v>44105</v>
      </c>
      <c r="C360">
        <v>2020</v>
      </c>
      <c r="D360" t="s">
        <v>42</v>
      </c>
      <c r="E360">
        <f>VLOOKUP(D360,'Problem Statement 4'!$G$2:$H$13,2,0)</f>
        <v>10</v>
      </c>
      <c r="F360">
        <v>1550.3000000000002</v>
      </c>
      <c r="G360" t="s">
        <v>55</v>
      </c>
      <c r="H360" t="str">
        <f t="shared" si="24"/>
        <v>Post Covid</v>
      </c>
      <c r="I360" s="50">
        <f t="shared" si="26"/>
        <v>3.8717171065376296E-2</v>
      </c>
    </row>
    <row r="361" spans="1:9" x14ac:dyDescent="0.3">
      <c r="A361" t="s">
        <v>33</v>
      </c>
      <c r="B361" s="28">
        <f t="shared" si="25"/>
        <v>44136</v>
      </c>
      <c r="C361">
        <v>2020</v>
      </c>
      <c r="D361" t="s">
        <v>44</v>
      </c>
      <c r="E361">
        <f>VLOOKUP(D361,'Problem Statement 4'!$G$2:$H$13,2,0)</f>
        <v>11</v>
      </c>
      <c r="F361">
        <v>1557.2000000000003</v>
      </c>
      <c r="G361" t="s">
        <v>55</v>
      </c>
      <c r="H361" t="str">
        <f t="shared" si="24"/>
        <v>Post Covid</v>
      </c>
      <c r="I361" s="50">
        <f t="shared" si="26"/>
        <v>0.4450751467457969</v>
      </c>
    </row>
    <row r="362" spans="1:9" x14ac:dyDescent="0.3">
      <c r="A362" t="s">
        <v>33</v>
      </c>
      <c r="B362" s="28">
        <f t="shared" si="25"/>
        <v>44166</v>
      </c>
      <c r="C362">
        <v>2020</v>
      </c>
      <c r="D362" t="s">
        <v>45</v>
      </c>
      <c r="E362">
        <f>VLOOKUP(D362,'Problem Statement 4'!$G$2:$H$13,2,0)</f>
        <v>12</v>
      </c>
      <c r="F362">
        <v>1562.6</v>
      </c>
      <c r="G362" t="s">
        <v>55</v>
      </c>
      <c r="H362" t="str">
        <f t="shared" si="24"/>
        <v>Post Covid</v>
      </c>
      <c r="I362" s="50">
        <f t="shared" si="26"/>
        <v>0.34677626509116588</v>
      </c>
    </row>
    <row r="363" spans="1:9" x14ac:dyDescent="0.3">
      <c r="A363" t="s">
        <v>33</v>
      </c>
      <c r="B363" s="28">
        <f t="shared" si="25"/>
        <v>44197</v>
      </c>
      <c r="C363">
        <v>2021</v>
      </c>
      <c r="D363" t="s">
        <v>31</v>
      </c>
      <c r="E363">
        <f>VLOOKUP(D363,'Problem Statement 4'!$G$2:$H$13,2,0)</f>
        <v>1</v>
      </c>
      <c r="F363">
        <v>1567.6</v>
      </c>
      <c r="G363" t="s">
        <v>55</v>
      </c>
      <c r="H363" t="str">
        <f t="shared" si="24"/>
        <v>Post Covid</v>
      </c>
      <c r="I363" s="50">
        <f t="shared" si="26"/>
        <v>0.31997952131063612</v>
      </c>
    </row>
    <row r="364" spans="1:9" x14ac:dyDescent="0.3">
      <c r="A364" t="s">
        <v>33</v>
      </c>
      <c r="B364" s="28">
        <f t="shared" si="25"/>
        <v>44228</v>
      </c>
      <c r="C364">
        <v>2021</v>
      </c>
      <c r="D364" t="s">
        <v>34</v>
      </c>
      <c r="E364">
        <f>VLOOKUP(D364,'Problem Statement 4'!$G$2:$H$13,2,0)</f>
        <v>2</v>
      </c>
      <c r="F364">
        <v>1581.4</v>
      </c>
      <c r="G364" t="s">
        <v>55</v>
      </c>
      <c r="H364" t="str">
        <f t="shared" si="24"/>
        <v>Post Covid</v>
      </c>
      <c r="I364" s="50">
        <f t="shared" si="26"/>
        <v>0.88032661393213729</v>
      </c>
    </row>
    <row r="365" spans="1:9" x14ac:dyDescent="0.3">
      <c r="A365" t="s">
        <v>33</v>
      </c>
      <c r="B365" s="28">
        <f t="shared" si="25"/>
        <v>44256</v>
      </c>
      <c r="C365">
        <v>2021</v>
      </c>
      <c r="D365" t="s">
        <v>35</v>
      </c>
      <c r="E365">
        <f>VLOOKUP(D365,'Problem Statement 4'!$G$2:$H$13,2,0)</f>
        <v>3</v>
      </c>
      <c r="F365">
        <v>1583.1999999999998</v>
      </c>
      <c r="G365" t="s">
        <v>55</v>
      </c>
      <c r="H365" t="str">
        <f t="shared" si="24"/>
        <v>Post Covid</v>
      </c>
      <c r="I365" s="50">
        <f t="shared" si="26"/>
        <v>0.11382319463764556</v>
      </c>
    </row>
    <row r="366" spans="1:9" x14ac:dyDescent="0.3">
      <c r="A366" t="s">
        <v>33</v>
      </c>
      <c r="B366" s="28">
        <f t="shared" si="25"/>
        <v>44287</v>
      </c>
      <c r="C366">
        <v>2021</v>
      </c>
      <c r="D366" t="s">
        <v>36</v>
      </c>
      <c r="E366">
        <f>VLOOKUP(D366,'Problem Statement 4'!$G$2:$H$13,2,0)</f>
        <v>4</v>
      </c>
      <c r="F366">
        <v>1591.9000000000003</v>
      </c>
      <c r="G366" t="s">
        <v>55</v>
      </c>
      <c r="H366" t="str">
        <f t="shared" si="24"/>
        <v>Post Covid</v>
      </c>
      <c r="I366" s="50">
        <f t="shared" si="26"/>
        <v>0.54951995957557487</v>
      </c>
    </row>
    <row r="367" spans="1:9" x14ac:dyDescent="0.3">
      <c r="A367" t="s">
        <v>33</v>
      </c>
      <c r="B367" s="28">
        <f t="shared" si="25"/>
        <v>44317</v>
      </c>
      <c r="C367">
        <v>2021</v>
      </c>
      <c r="D367" t="s">
        <v>37</v>
      </c>
      <c r="E367">
        <f>VLOOKUP(D367,'Problem Statement 4'!$G$2:$H$13,2,0)</f>
        <v>5</v>
      </c>
      <c r="F367">
        <v>1619.4999999999998</v>
      </c>
      <c r="G367" t="s">
        <v>55</v>
      </c>
      <c r="H367" t="str">
        <f t="shared" si="24"/>
        <v>Post Covid</v>
      </c>
      <c r="I367" s="50">
        <f t="shared" si="26"/>
        <v>1.7337772473144952</v>
      </c>
    </row>
    <row r="368" spans="1:9" x14ac:dyDescent="0.3">
      <c r="A368" t="s">
        <v>33</v>
      </c>
      <c r="B368" s="28">
        <f t="shared" si="25"/>
        <v>44348</v>
      </c>
      <c r="C368">
        <v>2021</v>
      </c>
      <c r="D368" t="s">
        <v>38</v>
      </c>
      <c r="E368">
        <f>VLOOKUP(D368,'Problem Statement 4'!$G$2:$H$13,2,0)</f>
        <v>6</v>
      </c>
      <c r="F368">
        <v>1618.3999999999999</v>
      </c>
      <c r="G368" t="s">
        <v>55</v>
      </c>
      <c r="H368" t="str">
        <f t="shared" si="24"/>
        <v>Post Covid</v>
      </c>
      <c r="I368" s="50">
        <f t="shared" si="26"/>
        <v>-6.792219820931826E-2</v>
      </c>
    </row>
    <row r="369" spans="1:9" x14ac:dyDescent="0.3">
      <c r="A369" t="s">
        <v>33</v>
      </c>
      <c r="B369" s="28">
        <f t="shared" si="25"/>
        <v>44378</v>
      </c>
      <c r="C369">
        <v>2021</v>
      </c>
      <c r="D369" t="s">
        <v>39</v>
      </c>
      <c r="E369">
        <f>VLOOKUP(D369,'Problem Statement 4'!$G$2:$H$13,2,0)</f>
        <v>7</v>
      </c>
      <c r="F369">
        <v>1627.1999999999998</v>
      </c>
      <c r="G369" t="s">
        <v>55</v>
      </c>
      <c r="H369" t="str">
        <f t="shared" si="24"/>
        <v>Post Covid</v>
      </c>
      <c r="I369" s="50">
        <f t="shared" si="26"/>
        <v>0.54374691052891466</v>
      </c>
    </row>
    <row r="370" spans="1:9" x14ac:dyDescent="0.3">
      <c r="A370" t="s">
        <v>33</v>
      </c>
      <c r="B370" s="28">
        <f t="shared" si="25"/>
        <v>44409</v>
      </c>
      <c r="C370">
        <v>2021</v>
      </c>
      <c r="D370" t="s">
        <v>40</v>
      </c>
      <c r="E370">
        <f>VLOOKUP(D370,'Problem Statement 4'!$G$2:$H$13,2,0)</f>
        <v>8</v>
      </c>
      <c r="F370">
        <v>1640.7</v>
      </c>
      <c r="G370" t="s">
        <v>55</v>
      </c>
      <c r="H370" t="str">
        <f t="shared" si="24"/>
        <v>Post Covid</v>
      </c>
      <c r="I370" s="50">
        <f t="shared" si="26"/>
        <v>0.82964601769912916</v>
      </c>
    </row>
    <row r="371" spans="1:9" x14ac:dyDescent="0.3">
      <c r="A371" t="s">
        <v>33</v>
      </c>
      <c r="B371" s="28">
        <f t="shared" si="25"/>
        <v>44440</v>
      </c>
      <c r="C371">
        <v>2021</v>
      </c>
      <c r="D371" t="s">
        <v>41</v>
      </c>
      <c r="E371">
        <f>VLOOKUP(D371,'Problem Statement 4'!$G$2:$H$13,2,0)</f>
        <v>9</v>
      </c>
      <c r="F371">
        <v>1641</v>
      </c>
      <c r="G371" t="s">
        <v>55</v>
      </c>
      <c r="H371" t="str">
        <f t="shared" si="24"/>
        <v>Post Covid</v>
      </c>
      <c r="I371" s="50">
        <f t="shared" si="26"/>
        <v>1.8284878405555833E-2</v>
      </c>
    </row>
    <row r="372" spans="1:9" x14ac:dyDescent="0.3">
      <c r="A372" t="s">
        <v>33</v>
      </c>
      <c r="B372" s="28">
        <f t="shared" si="25"/>
        <v>44470</v>
      </c>
      <c r="C372">
        <v>2021</v>
      </c>
      <c r="D372" t="s">
        <v>42</v>
      </c>
      <c r="E372">
        <f>VLOOKUP(D372,'Problem Statement 4'!$G$2:$H$13,2,0)</f>
        <v>10</v>
      </c>
      <c r="F372">
        <v>1650.4999999999998</v>
      </c>
      <c r="G372" t="s">
        <v>55</v>
      </c>
      <c r="H372" t="str">
        <f t="shared" si="24"/>
        <v>Post Covid</v>
      </c>
      <c r="I372" s="50">
        <f t="shared" si="26"/>
        <v>0.57891529555147914</v>
      </c>
    </row>
    <row r="373" spans="1:9" x14ac:dyDescent="0.3">
      <c r="A373" t="s">
        <v>33</v>
      </c>
      <c r="B373" s="28">
        <f t="shared" si="25"/>
        <v>44501</v>
      </c>
      <c r="C373">
        <v>2021</v>
      </c>
      <c r="D373" t="s">
        <v>44</v>
      </c>
      <c r="E373">
        <f>VLOOKUP(D373,'Problem Statement 4'!$G$2:$H$13,2,0)</f>
        <v>11</v>
      </c>
      <c r="F373">
        <v>1660.1000000000001</v>
      </c>
      <c r="G373" t="s">
        <v>55</v>
      </c>
      <c r="H373" t="str">
        <f t="shared" si="24"/>
        <v>Post Covid</v>
      </c>
      <c r="I373" s="50">
        <f t="shared" si="26"/>
        <v>0.58164192668890424</v>
      </c>
    </row>
    <row r="374" spans="1:9" x14ac:dyDescent="0.3">
      <c r="A374" t="s">
        <v>33</v>
      </c>
      <c r="B374" s="28">
        <f t="shared" si="25"/>
        <v>44531</v>
      </c>
      <c r="C374">
        <v>2021</v>
      </c>
      <c r="D374" t="s">
        <v>45</v>
      </c>
      <c r="E374">
        <f>VLOOKUP(D374,'Problem Statement 4'!$G$2:$H$13,2,0)</f>
        <v>12</v>
      </c>
      <c r="F374">
        <v>1665.9999999999995</v>
      </c>
      <c r="G374" t="s">
        <v>55</v>
      </c>
      <c r="H374" t="str">
        <f t="shared" si="24"/>
        <v>Post Covid</v>
      </c>
      <c r="I374" s="50">
        <f t="shared" si="26"/>
        <v>0.3554002770917058</v>
      </c>
    </row>
    <row r="375" spans="1:9" x14ac:dyDescent="0.3">
      <c r="A375" t="s">
        <v>33</v>
      </c>
      <c r="B375" s="28">
        <f t="shared" si="25"/>
        <v>44562</v>
      </c>
      <c r="C375">
        <v>2022</v>
      </c>
      <c r="D375" t="s">
        <v>31</v>
      </c>
      <c r="E375">
        <f>VLOOKUP(D375,'Problem Statement 4'!$G$2:$H$13,2,0)</f>
        <v>1</v>
      </c>
      <c r="F375">
        <v>1675.2</v>
      </c>
      <c r="G375" t="s">
        <v>55</v>
      </c>
      <c r="H375" t="str">
        <f t="shared" si="24"/>
        <v>Post Covid</v>
      </c>
      <c r="I375" s="50">
        <f t="shared" si="26"/>
        <v>0.55222088835537231</v>
      </c>
    </row>
    <row r="376" spans="1:9" x14ac:dyDescent="0.3">
      <c r="A376" t="s">
        <v>33</v>
      </c>
      <c r="B376" s="28">
        <f t="shared" si="25"/>
        <v>44593</v>
      </c>
      <c r="C376">
        <v>2022</v>
      </c>
      <c r="D376" t="s">
        <v>34</v>
      </c>
      <c r="E376">
        <f>VLOOKUP(D376,'Problem Statement 4'!$G$2:$H$13,2,0)</f>
        <v>2</v>
      </c>
      <c r="F376">
        <v>1685.1000000000001</v>
      </c>
      <c r="G376" t="s">
        <v>55</v>
      </c>
      <c r="H376" t="str">
        <f t="shared" si="24"/>
        <v>Post Covid</v>
      </c>
      <c r="I376" s="50">
        <f t="shared" si="26"/>
        <v>0.59097421203438938</v>
      </c>
    </row>
    <row r="377" spans="1:9" x14ac:dyDescent="0.3">
      <c r="A377" t="s">
        <v>33</v>
      </c>
      <c r="B377" s="28">
        <f t="shared" si="25"/>
        <v>44621</v>
      </c>
      <c r="C377">
        <v>2022</v>
      </c>
      <c r="D377" t="s">
        <v>35</v>
      </c>
      <c r="E377">
        <f>VLOOKUP(D377,'Problem Statement 4'!$G$2:$H$13,2,0)</f>
        <v>3</v>
      </c>
      <c r="F377">
        <v>1697.6999999999998</v>
      </c>
      <c r="G377" t="s">
        <v>55</v>
      </c>
      <c r="H377" t="str">
        <f t="shared" si="24"/>
        <v>Post Covid</v>
      </c>
      <c r="I377" s="50">
        <f t="shared" si="26"/>
        <v>0.74773010503825765</v>
      </c>
    </row>
    <row r="378" spans="1:9" x14ac:dyDescent="0.3">
      <c r="A378" t="s">
        <v>33</v>
      </c>
      <c r="B378" s="28">
        <f t="shared" si="25"/>
        <v>44652</v>
      </c>
      <c r="C378">
        <v>2022</v>
      </c>
      <c r="D378" t="s">
        <v>36</v>
      </c>
      <c r="E378">
        <f>VLOOKUP(D378,'Problem Statement 4'!$G$2:$H$13,2,0)</f>
        <v>4</v>
      </c>
      <c r="F378">
        <v>1712.1</v>
      </c>
      <c r="G378" t="s">
        <v>55</v>
      </c>
      <c r="H378" t="str">
        <f t="shared" si="24"/>
        <v>Post Covid</v>
      </c>
      <c r="I378" s="50">
        <f t="shared" si="26"/>
        <v>0.84820639688991539</v>
      </c>
    </row>
    <row r="379" spans="1:9" x14ac:dyDescent="0.3">
      <c r="A379" t="s">
        <v>33</v>
      </c>
      <c r="B379" s="28">
        <f t="shared" si="25"/>
        <v>44682</v>
      </c>
      <c r="C379">
        <v>2022</v>
      </c>
      <c r="D379" t="s">
        <v>37</v>
      </c>
      <c r="E379">
        <f>VLOOKUP(D379,'Problem Statement 4'!$G$2:$H$13,2,0)</f>
        <v>5</v>
      </c>
      <c r="F379">
        <v>1721.2</v>
      </c>
      <c r="G379" t="s">
        <v>55</v>
      </c>
      <c r="H379" t="str">
        <f t="shared" si="24"/>
        <v>Post Covid</v>
      </c>
      <c r="I379" s="50">
        <f t="shared" si="26"/>
        <v>0.53151100987092681</v>
      </c>
    </row>
    <row r="380" spans="1:9" x14ac:dyDescent="0.3">
      <c r="A380" t="s">
        <v>33</v>
      </c>
      <c r="B380" s="28">
        <f t="shared" si="25"/>
        <v>44713</v>
      </c>
      <c r="C380">
        <v>2022</v>
      </c>
      <c r="D380" t="s">
        <v>38</v>
      </c>
      <c r="E380">
        <f>VLOOKUP(D380,'Problem Statement 4'!$G$2:$H$13,2,0)</f>
        <v>6</v>
      </c>
      <c r="F380">
        <v>1728.6000000000001</v>
      </c>
      <c r="G380" t="s">
        <v>55</v>
      </c>
      <c r="H380" t="str">
        <f t="shared" si="24"/>
        <v>Post Covid</v>
      </c>
      <c r="I380" s="50">
        <f t="shared" si="26"/>
        <v>0.42993260515919651</v>
      </c>
    </row>
    <row r="381" spans="1:9" x14ac:dyDescent="0.3">
      <c r="A381" t="s">
        <v>33</v>
      </c>
      <c r="B381" s="28">
        <f t="shared" si="25"/>
        <v>44743</v>
      </c>
      <c r="C381">
        <v>2022</v>
      </c>
      <c r="D381" t="s">
        <v>39</v>
      </c>
      <c r="E381">
        <f>VLOOKUP(D381,'Problem Statement 4'!$G$2:$H$13,2,0)</f>
        <v>7</v>
      </c>
      <c r="F381">
        <v>1737.2</v>
      </c>
      <c r="G381" t="s">
        <v>55</v>
      </c>
      <c r="H381" t="str">
        <f t="shared" si="24"/>
        <v>Post Covid</v>
      </c>
      <c r="I381" s="50">
        <f t="shared" si="26"/>
        <v>0.49751243781093996</v>
      </c>
    </row>
    <row r="382" spans="1:9" x14ac:dyDescent="0.3">
      <c r="A382" t="s">
        <v>33</v>
      </c>
      <c r="B382" s="28">
        <f t="shared" si="25"/>
        <v>44774</v>
      </c>
      <c r="C382">
        <v>2022</v>
      </c>
      <c r="D382" t="s">
        <v>40</v>
      </c>
      <c r="E382">
        <f>VLOOKUP(D382,'Problem Statement 4'!$G$2:$H$13,2,0)</f>
        <v>8</v>
      </c>
      <c r="F382">
        <v>1747.2</v>
      </c>
      <c r="G382" t="s">
        <v>55</v>
      </c>
      <c r="H382" t="str">
        <f t="shared" si="24"/>
        <v>Post Covid</v>
      </c>
      <c r="I382" s="50">
        <f t="shared" si="26"/>
        <v>0.57563895924476172</v>
      </c>
    </row>
    <row r="383" spans="1:9" x14ac:dyDescent="0.3">
      <c r="A383" t="s">
        <v>33</v>
      </c>
      <c r="B383" s="28">
        <f t="shared" si="25"/>
        <v>44805</v>
      </c>
      <c r="C383">
        <v>2022</v>
      </c>
      <c r="D383" t="s">
        <v>41</v>
      </c>
      <c r="E383">
        <f>VLOOKUP(D383,'Problem Statement 4'!$G$2:$H$13,2,0)</f>
        <v>9</v>
      </c>
      <c r="F383">
        <v>1756</v>
      </c>
      <c r="G383" t="s">
        <v>55</v>
      </c>
      <c r="H383" t="str">
        <f t="shared" si="24"/>
        <v>Post Covid</v>
      </c>
      <c r="I383" s="50">
        <f t="shared" si="26"/>
        <v>0.50366300366300099</v>
      </c>
    </row>
    <row r="384" spans="1:9" x14ac:dyDescent="0.3">
      <c r="A384" t="s">
        <v>33</v>
      </c>
      <c r="B384" s="28">
        <f t="shared" si="25"/>
        <v>44835</v>
      </c>
      <c r="C384">
        <v>2022</v>
      </c>
      <c r="D384" t="s">
        <v>42</v>
      </c>
      <c r="E384">
        <f>VLOOKUP(D384,'Problem Statement 4'!$G$2:$H$13,2,0)</f>
        <v>10</v>
      </c>
      <c r="F384">
        <v>1765.6000000000001</v>
      </c>
      <c r="G384" t="s">
        <v>55</v>
      </c>
      <c r="H384" t="str">
        <f t="shared" si="24"/>
        <v>Post Covid</v>
      </c>
      <c r="I384" s="50">
        <f t="shared" si="26"/>
        <v>0.54669703872438136</v>
      </c>
    </row>
    <row r="385" spans="1:9" x14ac:dyDescent="0.3">
      <c r="A385" t="s">
        <v>33</v>
      </c>
      <c r="B385" s="28">
        <f t="shared" si="25"/>
        <v>44866</v>
      </c>
      <c r="C385">
        <v>2022</v>
      </c>
      <c r="D385" t="s">
        <v>44</v>
      </c>
      <c r="E385">
        <f>VLOOKUP(D385,'Problem Statement 4'!$G$2:$H$13,2,0)</f>
        <v>11</v>
      </c>
      <c r="F385">
        <v>1774.5</v>
      </c>
      <c r="G385" t="s">
        <v>55</v>
      </c>
      <c r="H385" t="str">
        <f t="shared" si="24"/>
        <v>Post Covid</v>
      </c>
      <c r="I385" s="50">
        <f t="shared" si="26"/>
        <v>0.50407793384684318</v>
      </c>
    </row>
    <row r="386" spans="1:9" x14ac:dyDescent="0.3">
      <c r="A386" t="s">
        <v>33</v>
      </c>
      <c r="B386" s="28">
        <f t="shared" si="25"/>
        <v>44896</v>
      </c>
      <c r="C386">
        <v>2022</v>
      </c>
      <c r="D386" t="s">
        <v>45</v>
      </c>
      <c r="E386">
        <f>VLOOKUP(D386,'Problem Statement 4'!$G$2:$H$13,2,0)</f>
        <v>12</v>
      </c>
      <c r="F386">
        <v>1781.8999999999999</v>
      </c>
      <c r="G386" t="s">
        <v>55</v>
      </c>
      <c r="H386" t="str">
        <f t="shared" si="24"/>
        <v>Post Covid</v>
      </c>
      <c r="I386" s="50">
        <f t="shared" si="26"/>
        <v>0.41701887855733244</v>
      </c>
    </row>
    <row r="387" spans="1:9" x14ac:dyDescent="0.3">
      <c r="A387" t="s">
        <v>33</v>
      </c>
      <c r="B387" s="28">
        <f t="shared" si="25"/>
        <v>44927</v>
      </c>
      <c r="C387">
        <v>2023</v>
      </c>
      <c r="D387" t="s">
        <v>31</v>
      </c>
      <c r="E387">
        <f>VLOOKUP(D387,'Problem Statement 4'!$G$2:$H$13,2,0)</f>
        <v>1</v>
      </c>
      <c r="F387">
        <v>1792.6999999999998</v>
      </c>
      <c r="G387" t="s">
        <v>55</v>
      </c>
      <c r="H387" t="str">
        <f t="shared" ref="H387:H391" si="27">IF(B387&lt;DATE(2020,3,1),"PreCovid","Post Covid")</f>
        <v>Post Covid</v>
      </c>
      <c r="I387" s="50">
        <f t="shared" si="26"/>
        <v>0.60609461810426823</v>
      </c>
    </row>
    <row r="388" spans="1:9" x14ac:dyDescent="0.3">
      <c r="A388" t="s">
        <v>33</v>
      </c>
      <c r="B388" s="28">
        <f t="shared" si="25"/>
        <v>44958</v>
      </c>
      <c r="C388">
        <v>2023</v>
      </c>
      <c r="D388" t="s">
        <v>34</v>
      </c>
      <c r="E388">
        <f>VLOOKUP(D388,'Problem Statement 4'!$G$2:$H$13,2,0)</f>
        <v>2</v>
      </c>
      <c r="F388">
        <v>1807</v>
      </c>
      <c r="G388" t="s">
        <v>55</v>
      </c>
      <c r="H388" t="str">
        <f t="shared" si="27"/>
        <v>Post Covid</v>
      </c>
      <c r="I388" s="50">
        <f t="shared" si="26"/>
        <v>0.79767947788253379</v>
      </c>
    </row>
    <row r="389" spans="1:9" x14ac:dyDescent="0.3">
      <c r="A389" t="s">
        <v>33</v>
      </c>
      <c r="B389" s="28">
        <f t="shared" si="25"/>
        <v>44986</v>
      </c>
      <c r="C389">
        <v>2023</v>
      </c>
      <c r="D389" t="s">
        <v>35</v>
      </c>
      <c r="E389">
        <f>VLOOKUP(D389,'Problem Statement 4'!$G$2:$H$13,2,0)</f>
        <v>3</v>
      </c>
      <c r="F389">
        <v>1806.8999999999999</v>
      </c>
      <c r="G389" t="s">
        <v>55</v>
      </c>
      <c r="H389" t="str">
        <f t="shared" si="27"/>
        <v>Post Covid</v>
      </c>
      <c r="I389" s="50">
        <f t="shared" si="26"/>
        <v>-5.5340343110202783E-3</v>
      </c>
    </row>
    <row r="390" spans="1:9" x14ac:dyDescent="0.3">
      <c r="A390" t="s">
        <v>33</v>
      </c>
      <c r="B390" s="28">
        <f t="shared" si="25"/>
        <v>45017</v>
      </c>
      <c r="C390">
        <v>2023</v>
      </c>
      <c r="D390" t="s">
        <v>36</v>
      </c>
      <c r="E390">
        <f>VLOOKUP(D390,'Problem Statement 4'!$G$2:$H$13,2,0)</f>
        <v>4</v>
      </c>
      <c r="F390">
        <v>1816.9</v>
      </c>
      <c r="G390" t="s">
        <v>55</v>
      </c>
      <c r="H390" t="str">
        <f t="shared" si="27"/>
        <v>Post Covid</v>
      </c>
      <c r="I390" s="50">
        <f t="shared" si="26"/>
        <v>0.55343405833196235</v>
      </c>
    </row>
    <row r="391" spans="1:9" x14ac:dyDescent="0.3">
      <c r="A391" t="s">
        <v>33</v>
      </c>
      <c r="B391" s="28">
        <f t="shared" si="25"/>
        <v>45047</v>
      </c>
      <c r="C391">
        <v>2023</v>
      </c>
      <c r="D391" t="s">
        <v>37</v>
      </c>
      <c r="E391">
        <f>VLOOKUP(D391,'Problem Statement 4'!$G$2:$H$13,2,0)</f>
        <v>5</v>
      </c>
      <c r="F391">
        <v>1822.8000000000002</v>
      </c>
      <c r="G391" t="s">
        <v>55</v>
      </c>
      <c r="H391" t="str">
        <f t="shared" si="27"/>
        <v>Post Covid</v>
      </c>
      <c r="I391" s="50">
        <f t="shared" si="26"/>
        <v>0.32472893389840335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19DC1-D6F2-40D0-88DA-4638FF23451B}">
  <dimension ref="A1:AH47"/>
  <sheetViews>
    <sheetView topLeftCell="A34" workbookViewId="0">
      <selection activeCell="P2" sqref="P2"/>
    </sheetView>
  </sheetViews>
  <sheetFormatPr defaultRowHeight="14.4" x14ac:dyDescent="0.3"/>
  <cols>
    <col min="2" max="2" width="8.109375" bestFit="1" customWidth="1"/>
    <col min="3" max="3" width="33.21875" bestFit="1" customWidth="1"/>
    <col min="4" max="4" width="12.21875" bestFit="1" customWidth="1"/>
    <col min="5" max="6" width="10.5546875" bestFit="1" customWidth="1"/>
    <col min="7" max="7" width="13.77734375" bestFit="1" customWidth="1"/>
    <col min="8" max="8" width="10.5546875" bestFit="1" customWidth="1"/>
    <col min="9" max="9" width="7.33203125" bestFit="1" customWidth="1"/>
    <col min="10" max="10" width="10.21875" bestFit="1" customWidth="1"/>
    <col min="11" max="16" width="9.21875" bestFit="1" customWidth="1"/>
  </cols>
  <sheetData>
    <row r="1" spans="1:34" x14ac:dyDescent="0.3">
      <c r="J1" s="114" t="s">
        <v>216</v>
      </c>
      <c r="K1" s="114"/>
      <c r="L1" s="114"/>
      <c r="M1" s="114"/>
      <c r="N1" s="114"/>
      <c r="O1" s="114"/>
      <c r="P1" s="114"/>
    </row>
    <row r="2" spans="1:34" x14ac:dyDescent="0.3">
      <c r="A2" t="s">
        <v>1</v>
      </c>
      <c r="B2" t="s">
        <v>2</v>
      </c>
      <c r="C2" s="1" t="s">
        <v>189</v>
      </c>
      <c r="D2" t="s">
        <v>29</v>
      </c>
      <c r="E2" t="s">
        <v>47</v>
      </c>
      <c r="F2" t="s">
        <v>53</v>
      </c>
      <c r="G2" t="s">
        <v>54</v>
      </c>
      <c r="H2" t="s">
        <v>26</v>
      </c>
      <c r="I2" t="s">
        <v>55</v>
      </c>
      <c r="J2" t="s">
        <v>189</v>
      </c>
      <c r="K2" t="s">
        <v>29</v>
      </c>
      <c r="L2" t="s">
        <v>47</v>
      </c>
      <c r="M2" t="s">
        <v>53</v>
      </c>
      <c r="N2" t="s">
        <v>54</v>
      </c>
      <c r="O2" t="s">
        <v>26</v>
      </c>
      <c r="P2" t="s">
        <v>55</v>
      </c>
    </row>
    <row r="3" spans="1:34" x14ac:dyDescent="0.3">
      <c r="A3">
        <f>_xlfn.NUMBERVALUE(TEXT(B3,"yyyy"))</f>
        <v>2021</v>
      </c>
      <c r="B3" t="s">
        <v>190</v>
      </c>
      <c r="C3" s="1">
        <v>54.79</v>
      </c>
      <c r="D3">
        <v>157.30000000000001</v>
      </c>
      <c r="E3">
        <v>2076.5</v>
      </c>
      <c r="F3">
        <v>147.9</v>
      </c>
      <c r="G3">
        <v>141.9</v>
      </c>
      <c r="H3">
        <v>159.19999999999999</v>
      </c>
      <c r="I3">
        <v>1567.6</v>
      </c>
      <c r="J3" s="50">
        <v>0</v>
      </c>
      <c r="K3" s="50">
        <v>0</v>
      </c>
      <c r="L3" s="50">
        <v>0</v>
      </c>
      <c r="M3" s="50">
        <v>0</v>
      </c>
      <c r="N3" s="50">
        <v>0</v>
      </c>
      <c r="O3" s="50">
        <v>0</v>
      </c>
      <c r="P3" s="50">
        <v>0</v>
      </c>
    </row>
    <row r="4" spans="1:34" x14ac:dyDescent="0.3">
      <c r="A4">
        <f t="shared" ref="A4:A28" si="0">_xlfn.NUMBERVALUE(TEXT(B4,"yyyy"))</f>
        <v>2021</v>
      </c>
      <c r="B4" t="s">
        <v>191</v>
      </c>
      <c r="C4" s="1">
        <v>61.22</v>
      </c>
      <c r="D4">
        <v>156.6</v>
      </c>
      <c r="E4">
        <v>2039.3000000000002</v>
      </c>
      <c r="F4">
        <v>152.4</v>
      </c>
      <c r="G4">
        <v>145.1</v>
      </c>
      <c r="H4">
        <v>159.5</v>
      </c>
      <c r="I4">
        <v>1581.4</v>
      </c>
      <c r="J4" s="50">
        <f>(C4-C3)/C3*100</f>
        <v>11.735718196751231</v>
      </c>
      <c r="K4" s="50">
        <f t="shared" ref="K4:P19" si="1">(D4-D3)/D3*100</f>
        <v>-0.44500953591863762</v>
      </c>
      <c r="L4" s="50">
        <f t="shared" si="1"/>
        <v>-1.7914760414158353</v>
      </c>
      <c r="M4" s="50">
        <f t="shared" si="1"/>
        <v>3.0425963488843815</v>
      </c>
      <c r="N4" s="50">
        <f t="shared" si="1"/>
        <v>2.2551092318534098</v>
      </c>
      <c r="O4" s="50">
        <f t="shared" si="1"/>
        <v>0.18844221105528353</v>
      </c>
      <c r="P4" s="50">
        <f t="shared" si="1"/>
        <v>0.88032661393213729</v>
      </c>
    </row>
    <row r="5" spans="1:34" x14ac:dyDescent="0.3">
      <c r="A5">
        <f t="shared" si="0"/>
        <v>2021</v>
      </c>
      <c r="B5" t="s">
        <v>192</v>
      </c>
      <c r="C5" s="1">
        <v>64.73</v>
      </c>
      <c r="D5">
        <v>156.80000000000001</v>
      </c>
      <c r="E5">
        <v>2039.3999999999999</v>
      </c>
      <c r="F5">
        <v>155.5</v>
      </c>
      <c r="G5">
        <v>146.19999999999999</v>
      </c>
      <c r="H5">
        <v>160.19999999999999</v>
      </c>
      <c r="I5">
        <v>1583.1999999999998</v>
      </c>
      <c r="J5" s="50">
        <f t="shared" ref="J5:J28" si="2">(C5-C4)/C4*100</f>
        <v>5.7334204508330693</v>
      </c>
      <c r="K5" s="50">
        <f t="shared" si="1"/>
        <v>0.12771392081737998</v>
      </c>
      <c r="L5" s="50">
        <f t="shared" si="1"/>
        <v>4.9036434070358296E-3</v>
      </c>
      <c r="M5" s="50">
        <f t="shared" si="1"/>
        <v>2.0341207349081327</v>
      </c>
      <c r="N5" s="50">
        <f t="shared" si="1"/>
        <v>0.75809786354238073</v>
      </c>
      <c r="O5" s="50">
        <f t="shared" si="1"/>
        <v>0.43887147335422488</v>
      </c>
      <c r="P5" s="50">
        <f t="shared" si="1"/>
        <v>0.11382319463764556</v>
      </c>
    </row>
    <row r="6" spans="1:34" x14ac:dyDescent="0.3">
      <c r="A6">
        <f t="shared" si="0"/>
        <v>2021</v>
      </c>
      <c r="B6" t="s">
        <v>193</v>
      </c>
      <c r="C6" s="1">
        <v>63.4</v>
      </c>
      <c r="D6">
        <v>157.80000000000001</v>
      </c>
      <c r="E6">
        <v>2064.1</v>
      </c>
      <c r="F6">
        <v>155.6</v>
      </c>
      <c r="G6">
        <v>146.6</v>
      </c>
      <c r="H6">
        <v>160.30000000000001</v>
      </c>
      <c r="I6">
        <v>1591.9000000000003</v>
      </c>
      <c r="J6" s="50">
        <f t="shared" si="2"/>
        <v>-2.0546887069365138</v>
      </c>
      <c r="K6" s="50">
        <f t="shared" si="1"/>
        <v>0.6377551020408162</v>
      </c>
      <c r="L6" s="50">
        <f t="shared" si="1"/>
        <v>1.2111405315288835</v>
      </c>
      <c r="M6" s="50">
        <f t="shared" si="1"/>
        <v>6.4308681672022069E-2</v>
      </c>
      <c r="N6" s="50">
        <f t="shared" si="1"/>
        <v>0.27359781121751414</v>
      </c>
      <c r="O6" s="50">
        <f t="shared" si="1"/>
        <v>6.2421972534346275E-2</v>
      </c>
      <c r="P6" s="50">
        <f t="shared" si="1"/>
        <v>0.54951995957557487</v>
      </c>
    </row>
    <row r="7" spans="1:34" x14ac:dyDescent="0.3">
      <c r="A7">
        <f t="shared" si="0"/>
        <v>2021</v>
      </c>
      <c r="B7" t="s">
        <v>194</v>
      </c>
      <c r="C7" s="1">
        <v>66.95</v>
      </c>
      <c r="D7">
        <v>160.4</v>
      </c>
      <c r="E7">
        <v>2105.7000000000003</v>
      </c>
      <c r="F7">
        <v>159.4</v>
      </c>
      <c r="G7">
        <v>148.9</v>
      </c>
      <c r="H7">
        <v>161.19999999999999</v>
      </c>
      <c r="I7">
        <v>1619.4999999999998</v>
      </c>
      <c r="J7" s="50">
        <f t="shared" si="2"/>
        <v>5.5993690851735085</v>
      </c>
      <c r="K7" s="50">
        <f t="shared" si="1"/>
        <v>1.6476552598225565</v>
      </c>
      <c r="L7" s="50">
        <f t="shared" si="1"/>
        <v>2.0154062303183164</v>
      </c>
      <c r="M7" s="50">
        <f t="shared" si="1"/>
        <v>2.4421593830334265</v>
      </c>
      <c r="N7" s="50">
        <f t="shared" si="1"/>
        <v>1.5688949522510309</v>
      </c>
      <c r="O7" s="50">
        <f t="shared" si="1"/>
        <v>0.56144728633810181</v>
      </c>
      <c r="P7" s="50">
        <f t="shared" si="1"/>
        <v>1.7337772473144952</v>
      </c>
    </row>
    <row r="8" spans="1:34" x14ac:dyDescent="0.3">
      <c r="A8">
        <f t="shared" si="0"/>
        <v>2021</v>
      </c>
      <c r="B8" t="s">
        <v>195</v>
      </c>
      <c r="C8" s="1">
        <v>71.98</v>
      </c>
      <c r="D8">
        <v>161.30000000000001</v>
      </c>
      <c r="E8">
        <v>2133.9</v>
      </c>
      <c r="F8">
        <v>159.80000000000001</v>
      </c>
      <c r="G8">
        <v>150.69999999999999</v>
      </c>
      <c r="H8">
        <v>161.69999999999999</v>
      </c>
      <c r="I8">
        <v>1618.3999999999999</v>
      </c>
      <c r="J8" s="50">
        <f t="shared" si="2"/>
        <v>7.5130694548170283</v>
      </c>
      <c r="K8" s="50">
        <f t="shared" si="1"/>
        <v>0.56109725685785894</v>
      </c>
      <c r="L8" s="50">
        <f t="shared" si="1"/>
        <v>1.3392221114118732</v>
      </c>
      <c r="M8" s="50">
        <f t="shared" si="1"/>
        <v>0.25094102885822184</v>
      </c>
      <c r="N8" s="50">
        <f t="shared" si="1"/>
        <v>1.2088650100738636</v>
      </c>
      <c r="O8" s="50">
        <f t="shared" si="1"/>
        <v>0.3101736972704715</v>
      </c>
      <c r="P8" s="50">
        <f t="shared" si="1"/>
        <v>-6.792219820931826E-2</v>
      </c>
    </row>
    <row r="9" spans="1:34" x14ac:dyDescent="0.3">
      <c r="A9">
        <f t="shared" si="0"/>
        <v>2021</v>
      </c>
      <c r="B9" t="s">
        <v>196</v>
      </c>
      <c r="C9" s="1">
        <v>73.540000000000006</v>
      </c>
      <c r="D9">
        <v>162.5</v>
      </c>
      <c r="E9">
        <v>2147</v>
      </c>
      <c r="F9">
        <v>160.69999999999999</v>
      </c>
      <c r="G9">
        <v>153.1</v>
      </c>
      <c r="H9">
        <v>163.19999999999999</v>
      </c>
      <c r="I9">
        <v>1627.1999999999998</v>
      </c>
      <c r="J9" s="50">
        <f t="shared" si="2"/>
        <v>2.1672686857460435</v>
      </c>
      <c r="K9" s="50">
        <f t="shared" si="1"/>
        <v>0.74395536267823226</v>
      </c>
      <c r="L9" s="50">
        <f t="shared" si="1"/>
        <v>0.61389943296311489</v>
      </c>
      <c r="M9" s="50">
        <f t="shared" si="1"/>
        <v>0.56320400500624357</v>
      </c>
      <c r="N9" s="50">
        <f t="shared" si="1"/>
        <v>1.5925680159256841</v>
      </c>
      <c r="O9" s="50">
        <f t="shared" si="1"/>
        <v>0.927643784786642</v>
      </c>
      <c r="P9" s="50">
        <f t="shared" si="1"/>
        <v>0.54374691052891466</v>
      </c>
      <c r="AH9" t="s">
        <v>100</v>
      </c>
    </row>
    <row r="10" spans="1:34" x14ac:dyDescent="0.3">
      <c r="A10">
        <f t="shared" si="0"/>
        <v>2021</v>
      </c>
      <c r="B10" t="s">
        <v>197</v>
      </c>
      <c r="C10" s="1">
        <v>69.8</v>
      </c>
      <c r="D10">
        <v>163.19999999999999</v>
      </c>
      <c r="E10">
        <v>2142</v>
      </c>
      <c r="F10">
        <v>162.6</v>
      </c>
      <c r="G10">
        <v>154</v>
      </c>
      <c r="H10">
        <v>163.80000000000001</v>
      </c>
      <c r="I10">
        <v>1640.7</v>
      </c>
      <c r="J10" s="50">
        <f t="shared" si="2"/>
        <v>-5.085667663856416</v>
      </c>
      <c r="K10" s="50">
        <f t="shared" si="1"/>
        <v>0.4307692307692238</v>
      </c>
      <c r="L10" s="50">
        <f t="shared" si="1"/>
        <v>-0.2328830926874709</v>
      </c>
      <c r="M10" s="50">
        <f t="shared" si="1"/>
        <v>1.1823273179838243</v>
      </c>
      <c r="N10" s="50">
        <f t="shared" si="1"/>
        <v>0.58785107772697953</v>
      </c>
      <c r="O10" s="50">
        <f t="shared" si="1"/>
        <v>0.36764705882354337</v>
      </c>
      <c r="P10" s="50">
        <f t="shared" si="1"/>
        <v>0.82964601769912916</v>
      </c>
    </row>
    <row r="11" spans="1:34" x14ac:dyDescent="0.3">
      <c r="A11">
        <f t="shared" si="0"/>
        <v>2021</v>
      </c>
      <c r="B11" t="s">
        <v>198</v>
      </c>
      <c r="C11" s="1">
        <v>73.13</v>
      </c>
      <c r="D11">
        <v>163.19999999999999</v>
      </c>
      <c r="E11">
        <v>2142</v>
      </c>
      <c r="F11">
        <v>162.6</v>
      </c>
      <c r="G11">
        <v>154</v>
      </c>
      <c r="H11">
        <v>163.69999999999999</v>
      </c>
      <c r="I11">
        <v>1641</v>
      </c>
      <c r="J11" s="50">
        <f t="shared" si="2"/>
        <v>4.7707736389684792</v>
      </c>
      <c r="K11" s="50">
        <f t="shared" si="1"/>
        <v>0</v>
      </c>
      <c r="L11" s="50">
        <f t="shared" si="1"/>
        <v>0</v>
      </c>
      <c r="M11" s="50">
        <f t="shared" si="1"/>
        <v>0</v>
      </c>
      <c r="N11" s="50">
        <f t="shared" si="1"/>
        <v>0</v>
      </c>
      <c r="O11" s="50">
        <f t="shared" si="1"/>
        <v>-6.1050061050074926E-2</v>
      </c>
      <c r="P11" s="50">
        <f t="shared" si="1"/>
        <v>1.8284878405555833E-2</v>
      </c>
    </row>
    <row r="12" spans="1:34" x14ac:dyDescent="0.3">
      <c r="A12">
        <f t="shared" si="0"/>
        <v>2021</v>
      </c>
      <c r="B12" t="s">
        <v>199</v>
      </c>
      <c r="C12" s="1">
        <v>82.11</v>
      </c>
      <c r="D12">
        <v>165.5</v>
      </c>
      <c r="E12">
        <v>2175.5</v>
      </c>
      <c r="F12">
        <v>164.2</v>
      </c>
      <c r="G12">
        <v>155.69999999999999</v>
      </c>
      <c r="H12">
        <v>163.9</v>
      </c>
      <c r="I12">
        <v>1650.4999999999998</v>
      </c>
      <c r="J12" s="50">
        <f t="shared" si="2"/>
        <v>12.27950225625599</v>
      </c>
      <c r="K12" s="50">
        <f t="shared" si="1"/>
        <v>1.4093137254902033</v>
      </c>
      <c r="L12" s="50">
        <f t="shared" si="1"/>
        <v>1.5639589169000934</v>
      </c>
      <c r="M12" s="50">
        <f t="shared" si="1"/>
        <v>0.98400984009839754</v>
      </c>
      <c r="N12" s="50">
        <f t="shared" si="1"/>
        <v>1.1038961038960964</v>
      </c>
      <c r="O12" s="50">
        <f t="shared" si="1"/>
        <v>0.12217470983507457</v>
      </c>
      <c r="P12" s="50">
        <f t="shared" si="1"/>
        <v>0.57891529555147914</v>
      </c>
    </row>
    <row r="13" spans="1:34" x14ac:dyDescent="0.3">
      <c r="A13">
        <f t="shared" si="0"/>
        <v>2021</v>
      </c>
      <c r="B13" t="s">
        <v>200</v>
      </c>
      <c r="C13" s="1">
        <v>80.64</v>
      </c>
      <c r="D13">
        <v>166.7</v>
      </c>
      <c r="E13">
        <v>2194.1</v>
      </c>
      <c r="F13">
        <v>163.9</v>
      </c>
      <c r="G13">
        <v>154.80000000000001</v>
      </c>
      <c r="H13">
        <v>164.3</v>
      </c>
      <c r="I13">
        <v>1660.1000000000001</v>
      </c>
      <c r="J13" s="50">
        <f t="shared" si="2"/>
        <v>-1.7902813299232723</v>
      </c>
      <c r="K13" s="50">
        <f t="shared" si="1"/>
        <v>0.72507552870089953</v>
      </c>
      <c r="L13" s="50">
        <f t="shared" si="1"/>
        <v>0.85497586761663569</v>
      </c>
      <c r="M13" s="50">
        <f t="shared" si="1"/>
        <v>-0.18270401948841836</v>
      </c>
      <c r="N13" s="50">
        <f t="shared" si="1"/>
        <v>-0.57803468208091024</v>
      </c>
      <c r="O13" s="50">
        <f t="shared" si="1"/>
        <v>0.24405125076266362</v>
      </c>
      <c r="P13" s="50">
        <f t="shared" si="1"/>
        <v>0.58164192668890424</v>
      </c>
    </row>
    <row r="14" spans="1:34" x14ac:dyDescent="0.3">
      <c r="A14">
        <f t="shared" si="0"/>
        <v>2021</v>
      </c>
      <c r="B14" t="s">
        <v>201</v>
      </c>
      <c r="C14" s="1">
        <v>73.3</v>
      </c>
      <c r="D14">
        <v>166.2</v>
      </c>
      <c r="E14">
        <v>2180.9</v>
      </c>
      <c r="F14">
        <v>164.1</v>
      </c>
      <c r="G14">
        <v>155.69999999999999</v>
      </c>
      <c r="H14">
        <v>164.4</v>
      </c>
      <c r="I14">
        <v>1665.9999999999995</v>
      </c>
      <c r="J14" s="50">
        <f t="shared" si="2"/>
        <v>-9.1021825396825431</v>
      </c>
      <c r="K14" s="50">
        <f t="shared" si="1"/>
        <v>-0.29994001199760051</v>
      </c>
      <c r="L14" s="50">
        <f t="shared" si="1"/>
        <v>-0.60161341780227973</v>
      </c>
      <c r="M14" s="50">
        <f t="shared" si="1"/>
        <v>0.12202562538132314</v>
      </c>
      <c r="N14" s="50">
        <f t="shared" si="1"/>
        <v>0.58139534883719457</v>
      </c>
      <c r="O14" s="50">
        <f t="shared" si="1"/>
        <v>6.0864272671938099E-2</v>
      </c>
      <c r="P14" s="50">
        <f t="shared" si="1"/>
        <v>0.3554002770917058</v>
      </c>
    </row>
    <row r="15" spans="1:34" x14ac:dyDescent="0.3">
      <c r="A15">
        <f t="shared" si="0"/>
        <v>2022</v>
      </c>
      <c r="B15" t="s">
        <v>202</v>
      </c>
      <c r="C15" s="1">
        <v>84.67</v>
      </c>
      <c r="D15">
        <v>165.7</v>
      </c>
      <c r="E15">
        <v>2164.1999999999998</v>
      </c>
      <c r="F15">
        <v>164.2</v>
      </c>
      <c r="G15">
        <v>156.5</v>
      </c>
      <c r="H15">
        <v>164.7</v>
      </c>
      <c r="I15">
        <v>1675.2</v>
      </c>
      <c r="J15" s="50">
        <f t="shared" si="2"/>
        <v>15.511596180081863</v>
      </c>
      <c r="K15" s="50">
        <f t="shared" si="1"/>
        <v>-0.30084235860409148</v>
      </c>
      <c r="L15" s="50">
        <f t="shared" si="1"/>
        <v>-0.76573891512679504</v>
      </c>
      <c r="M15" s="50">
        <f t="shared" si="1"/>
        <v>6.0938452163311584E-2</v>
      </c>
      <c r="N15" s="50">
        <f t="shared" si="1"/>
        <v>0.51380860629416281</v>
      </c>
      <c r="O15" s="50">
        <f t="shared" si="1"/>
        <v>0.18248175182480714</v>
      </c>
      <c r="P15" s="50">
        <f t="shared" si="1"/>
        <v>0.55222088835537231</v>
      </c>
    </row>
    <row r="16" spans="1:34" x14ac:dyDescent="0.3">
      <c r="A16">
        <f t="shared" si="0"/>
        <v>2022</v>
      </c>
      <c r="B16" t="s">
        <v>203</v>
      </c>
      <c r="C16" s="1">
        <v>94.07</v>
      </c>
      <c r="D16">
        <v>166.1</v>
      </c>
      <c r="E16">
        <v>2161.2000000000003</v>
      </c>
      <c r="F16">
        <v>165.7</v>
      </c>
      <c r="G16">
        <v>156.9</v>
      </c>
      <c r="H16">
        <v>165.4</v>
      </c>
      <c r="I16">
        <v>1685.1000000000001</v>
      </c>
      <c r="J16" s="50">
        <f t="shared" si="2"/>
        <v>11.101925121058215</v>
      </c>
      <c r="K16" s="50">
        <f t="shared" si="1"/>
        <v>0.24140012070006378</v>
      </c>
      <c r="L16" s="50">
        <f t="shared" si="1"/>
        <v>-0.13861935126141509</v>
      </c>
      <c r="M16" s="50">
        <f t="shared" si="1"/>
        <v>0.91352009744214369</v>
      </c>
      <c r="N16" s="50">
        <f t="shared" si="1"/>
        <v>0.25559105431310269</v>
      </c>
      <c r="O16" s="50">
        <f t="shared" si="1"/>
        <v>0.42501517911355013</v>
      </c>
      <c r="P16" s="50">
        <f t="shared" si="1"/>
        <v>0.59097421203438938</v>
      </c>
    </row>
    <row r="17" spans="1:16" x14ac:dyDescent="0.3">
      <c r="A17">
        <f t="shared" si="0"/>
        <v>2022</v>
      </c>
      <c r="B17" t="s">
        <v>204</v>
      </c>
      <c r="C17" s="1">
        <v>112.87</v>
      </c>
      <c r="D17">
        <v>167.7</v>
      </c>
      <c r="E17">
        <v>2184.2000000000003</v>
      </c>
      <c r="F17">
        <v>167.2</v>
      </c>
      <c r="G17">
        <v>157.9</v>
      </c>
      <c r="H17">
        <v>166</v>
      </c>
      <c r="I17">
        <v>1697.6999999999998</v>
      </c>
      <c r="J17" s="50">
        <f t="shared" si="2"/>
        <v>19.985117465717035</v>
      </c>
      <c r="K17" s="50">
        <f t="shared" si="1"/>
        <v>0.96327513546056243</v>
      </c>
      <c r="L17" s="50">
        <f t="shared" si="1"/>
        <v>1.0642235794928743</v>
      </c>
      <c r="M17" s="50">
        <f t="shared" si="1"/>
        <v>0.9052504526252263</v>
      </c>
      <c r="N17" s="50">
        <f t="shared" si="1"/>
        <v>0.63734862970044615</v>
      </c>
      <c r="O17" s="50">
        <f t="shared" si="1"/>
        <v>0.36275695284159265</v>
      </c>
      <c r="P17" s="50">
        <f t="shared" si="1"/>
        <v>0.74773010503825765</v>
      </c>
    </row>
    <row r="18" spans="1:16" x14ac:dyDescent="0.3">
      <c r="A18">
        <f t="shared" si="0"/>
        <v>2022</v>
      </c>
      <c r="B18" t="s">
        <v>205</v>
      </c>
      <c r="C18" s="1">
        <v>102.97</v>
      </c>
      <c r="D18">
        <v>170.1</v>
      </c>
      <c r="E18">
        <v>2214.3000000000002</v>
      </c>
      <c r="F18">
        <v>172.2</v>
      </c>
      <c r="G18">
        <v>162.6</v>
      </c>
      <c r="H18">
        <v>166.9</v>
      </c>
      <c r="I18">
        <v>1712.1</v>
      </c>
      <c r="J18" s="50">
        <f t="shared" si="2"/>
        <v>-8.7711526534951769</v>
      </c>
      <c r="K18" s="50">
        <f t="shared" si="1"/>
        <v>1.4311270125223647</v>
      </c>
      <c r="L18" s="50">
        <f t="shared" si="1"/>
        <v>1.3780789305008656</v>
      </c>
      <c r="M18" s="50">
        <f t="shared" si="1"/>
        <v>2.9904306220095696</v>
      </c>
      <c r="N18" s="50">
        <f t="shared" si="1"/>
        <v>2.9765674477517345</v>
      </c>
      <c r="O18" s="50">
        <f t="shared" si="1"/>
        <v>0.54216867469879859</v>
      </c>
      <c r="P18" s="50">
        <f t="shared" si="1"/>
        <v>0.84820639688991539</v>
      </c>
    </row>
    <row r="19" spans="1:16" x14ac:dyDescent="0.3">
      <c r="A19">
        <f t="shared" si="0"/>
        <v>2022</v>
      </c>
      <c r="B19" t="s">
        <v>206</v>
      </c>
      <c r="C19" s="1">
        <v>109.51</v>
      </c>
      <c r="D19">
        <v>171.7</v>
      </c>
      <c r="E19">
        <v>2238.9000000000005</v>
      </c>
      <c r="F19">
        <v>174.6</v>
      </c>
      <c r="G19">
        <v>163</v>
      </c>
      <c r="H19">
        <v>167.9</v>
      </c>
      <c r="I19">
        <v>1721.2</v>
      </c>
      <c r="J19" s="50">
        <f t="shared" si="2"/>
        <v>6.3513644750898379</v>
      </c>
      <c r="K19" s="50">
        <f t="shared" si="1"/>
        <v>0.94062316284538183</v>
      </c>
      <c r="L19" s="50">
        <f t="shared" si="1"/>
        <v>1.1109605744479232</v>
      </c>
      <c r="M19" s="50">
        <f t="shared" si="1"/>
        <v>1.3937282229965191</v>
      </c>
      <c r="N19" s="50">
        <f t="shared" si="1"/>
        <v>0.24600246002460377</v>
      </c>
      <c r="O19" s="50">
        <f t="shared" si="1"/>
        <v>0.59916117435590177</v>
      </c>
      <c r="P19" s="50">
        <f t="shared" si="1"/>
        <v>0.53151100987092681</v>
      </c>
    </row>
    <row r="20" spans="1:16" x14ac:dyDescent="0.3">
      <c r="A20">
        <f t="shared" si="0"/>
        <v>2022</v>
      </c>
      <c r="B20" t="s">
        <v>207</v>
      </c>
      <c r="C20" s="1">
        <v>116.01</v>
      </c>
      <c r="D20">
        <v>172.6</v>
      </c>
      <c r="E20">
        <v>2261.9</v>
      </c>
      <c r="F20">
        <v>176</v>
      </c>
      <c r="G20">
        <v>161.1</v>
      </c>
      <c r="H20">
        <v>169</v>
      </c>
      <c r="I20">
        <v>1728.6000000000001</v>
      </c>
      <c r="J20" s="50">
        <f t="shared" si="2"/>
        <v>5.9355310017350016</v>
      </c>
      <c r="K20" s="50">
        <f t="shared" ref="K20:K28" si="3">(D20-D19)/D19*100</f>
        <v>0.52417006406523348</v>
      </c>
      <c r="L20" s="50">
        <f t="shared" ref="L20:L28" si="4">(E20-E19)/E19*100</f>
        <v>1.0272901871454525</v>
      </c>
      <c r="M20" s="50">
        <f t="shared" ref="M20:M28" si="5">(F20-F19)/F19*100</f>
        <v>0.80183276059565045</v>
      </c>
      <c r="N20" s="50">
        <f t="shared" ref="N20:N28" si="6">(G20-G19)/G19*100</f>
        <v>-1.1656441717791446</v>
      </c>
      <c r="O20" s="50">
        <f t="shared" ref="O20:O28" si="7">(H20-H19)/H19*100</f>
        <v>0.65515187611673276</v>
      </c>
      <c r="P20" s="50">
        <f t="shared" ref="P20:P28" si="8">(I20-I19)/I19*100</f>
        <v>0.42993260515919651</v>
      </c>
    </row>
    <row r="21" spans="1:16" x14ac:dyDescent="0.3">
      <c r="A21">
        <f t="shared" si="0"/>
        <v>2022</v>
      </c>
      <c r="B21" t="s">
        <v>208</v>
      </c>
      <c r="C21" s="1">
        <v>105.49</v>
      </c>
      <c r="D21">
        <v>173.4</v>
      </c>
      <c r="E21">
        <v>2266.3000000000002</v>
      </c>
      <c r="F21">
        <v>179.6</v>
      </c>
      <c r="G21">
        <v>161.6</v>
      </c>
      <c r="H21">
        <v>171.4</v>
      </c>
      <c r="I21">
        <v>1737.2</v>
      </c>
      <c r="J21" s="50">
        <f t="shared" si="2"/>
        <v>-9.0681837772605896</v>
      </c>
      <c r="K21" s="50">
        <f t="shared" si="3"/>
        <v>0.4634994206257308</v>
      </c>
      <c r="L21" s="50">
        <f t="shared" si="4"/>
        <v>0.19452672531942572</v>
      </c>
      <c r="M21" s="50">
        <f t="shared" si="5"/>
        <v>2.0454545454545423</v>
      </c>
      <c r="N21" s="50">
        <f t="shared" si="6"/>
        <v>0.31036623215394166</v>
      </c>
      <c r="O21" s="50">
        <f t="shared" si="7"/>
        <v>1.4201183431952698</v>
      </c>
      <c r="P21" s="50">
        <f t="shared" si="8"/>
        <v>0.49751243781093996</v>
      </c>
    </row>
    <row r="22" spans="1:16" x14ac:dyDescent="0.3">
      <c r="A22">
        <f t="shared" si="0"/>
        <v>2022</v>
      </c>
      <c r="B22" t="s">
        <v>209</v>
      </c>
      <c r="C22" s="1">
        <v>97.4</v>
      </c>
      <c r="D22">
        <v>174.3</v>
      </c>
      <c r="E22">
        <v>2269.2000000000003</v>
      </c>
      <c r="F22">
        <v>178.8</v>
      </c>
      <c r="G22">
        <v>161.9</v>
      </c>
      <c r="H22">
        <v>172.3</v>
      </c>
      <c r="I22">
        <v>1747.2</v>
      </c>
      <c r="J22" s="50">
        <f t="shared" si="2"/>
        <v>-7.6689733624040093</v>
      </c>
      <c r="K22" s="50">
        <f t="shared" si="3"/>
        <v>0.5190311418685154</v>
      </c>
      <c r="L22" s="50">
        <f t="shared" si="4"/>
        <v>0.12796187618585758</v>
      </c>
      <c r="M22" s="50">
        <f t="shared" si="5"/>
        <v>-0.44543429844097049</v>
      </c>
      <c r="N22" s="50">
        <f t="shared" si="6"/>
        <v>0.18564356435644269</v>
      </c>
      <c r="O22" s="50">
        <f t="shared" si="7"/>
        <v>0.52508751458576763</v>
      </c>
      <c r="P22" s="50">
        <f t="shared" si="8"/>
        <v>0.57563895924476172</v>
      </c>
    </row>
    <row r="23" spans="1:16" x14ac:dyDescent="0.3">
      <c r="A23">
        <f t="shared" si="0"/>
        <v>2022</v>
      </c>
      <c r="B23" t="s">
        <v>210</v>
      </c>
      <c r="C23" s="1">
        <v>90.71</v>
      </c>
      <c r="D23">
        <v>175.3</v>
      </c>
      <c r="E23">
        <v>2280.9</v>
      </c>
      <c r="F23">
        <v>179.5</v>
      </c>
      <c r="G23">
        <v>162.30000000000001</v>
      </c>
      <c r="H23">
        <v>173.1</v>
      </c>
      <c r="I23">
        <v>1756</v>
      </c>
      <c r="J23" s="50">
        <f t="shared" si="2"/>
        <v>-6.8685831622176714</v>
      </c>
      <c r="K23" s="50">
        <f t="shared" si="3"/>
        <v>0.57372346528973028</v>
      </c>
      <c r="L23" s="50">
        <f t="shared" si="4"/>
        <v>0.51560021152828384</v>
      </c>
      <c r="M23" s="50">
        <f t="shared" si="5"/>
        <v>0.39149888143176093</v>
      </c>
      <c r="N23" s="50">
        <f t="shared" si="6"/>
        <v>0.2470660901791264</v>
      </c>
      <c r="O23" s="50">
        <f t="shared" si="7"/>
        <v>0.46430644225187634</v>
      </c>
      <c r="P23" s="50">
        <f t="shared" si="8"/>
        <v>0.50366300366300099</v>
      </c>
    </row>
    <row r="24" spans="1:16" x14ac:dyDescent="0.3">
      <c r="A24">
        <f t="shared" si="0"/>
        <v>2022</v>
      </c>
      <c r="B24" t="s">
        <v>211</v>
      </c>
      <c r="C24" s="1">
        <v>91.7</v>
      </c>
      <c r="D24">
        <v>176.7</v>
      </c>
      <c r="E24">
        <v>2297.3000000000002</v>
      </c>
      <c r="F24">
        <v>180.5</v>
      </c>
      <c r="G24">
        <v>162.9</v>
      </c>
      <c r="H24">
        <v>173.4</v>
      </c>
      <c r="I24">
        <v>1765.6000000000001</v>
      </c>
      <c r="J24" s="50">
        <f t="shared" si="2"/>
        <v>1.0913901444162817</v>
      </c>
      <c r="K24" s="50">
        <f t="shared" si="3"/>
        <v>0.79863091842554312</v>
      </c>
      <c r="L24" s="50">
        <f t="shared" si="4"/>
        <v>0.7190144241308295</v>
      </c>
      <c r="M24" s="50">
        <f t="shared" si="5"/>
        <v>0.55710306406685239</v>
      </c>
      <c r="N24" s="50">
        <f t="shared" si="6"/>
        <v>0.36968576709796319</v>
      </c>
      <c r="O24" s="50">
        <f t="shared" si="7"/>
        <v>0.17331022530329948</v>
      </c>
      <c r="P24" s="50">
        <f t="shared" si="8"/>
        <v>0.54669703872438136</v>
      </c>
    </row>
    <row r="25" spans="1:16" x14ac:dyDescent="0.3">
      <c r="A25">
        <f t="shared" si="0"/>
        <v>2022</v>
      </c>
      <c r="B25" t="s">
        <v>212</v>
      </c>
      <c r="C25" s="1">
        <v>87.55</v>
      </c>
      <c r="D25">
        <v>176.5</v>
      </c>
      <c r="E25">
        <v>2296.8000000000002</v>
      </c>
      <c r="F25">
        <v>181.3</v>
      </c>
      <c r="G25">
        <v>163</v>
      </c>
      <c r="H25">
        <v>173.7</v>
      </c>
      <c r="I25">
        <v>1774.5</v>
      </c>
      <c r="J25" s="50">
        <f t="shared" si="2"/>
        <v>-4.5256270447110207</v>
      </c>
      <c r="K25" s="50">
        <f t="shared" si="3"/>
        <v>-0.11318619128465683</v>
      </c>
      <c r="L25" s="50">
        <f t="shared" si="4"/>
        <v>-2.1764680276846731E-2</v>
      </c>
      <c r="M25" s="50">
        <f t="shared" si="5"/>
        <v>0.44321329639889823</v>
      </c>
      <c r="N25" s="50">
        <f t="shared" si="6"/>
        <v>6.1387354205030269E-2</v>
      </c>
      <c r="O25" s="50">
        <f t="shared" si="7"/>
        <v>0.17301038062282753</v>
      </c>
      <c r="P25" s="50">
        <f t="shared" si="8"/>
        <v>0.50407793384684318</v>
      </c>
    </row>
    <row r="26" spans="1:16" x14ac:dyDescent="0.3">
      <c r="A26">
        <f t="shared" si="0"/>
        <v>2022</v>
      </c>
      <c r="B26" t="s">
        <v>213</v>
      </c>
      <c r="C26" s="1">
        <v>78.099999999999994</v>
      </c>
      <c r="D26">
        <v>175.7</v>
      </c>
      <c r="E26">
        <v>2283.4</v>
      </c>
      <c r="F26">
        <v>182</v>
      </c>
      <c r="G26">
        <v>163.4</v>
      </c>
      <c r="H26">
        <v>174.1</v>
      </c>
      <c r="I26">
        <v>1781.8999999999999</v>
      </c>
      <c r="J26" s="50">
        <f t="shared" si="2"/>
        <v>-10.793832095945177</v>
      </c>
      <c r="K26" s="50">
        <f t="shared" si="3"/>
        <v>-0.4532577903682784</v>
      </c>
      <c r="L26" s="50">
        <f t="shared" si="4"/>
        <v>-0.58342041100662179</v>
      </c>
      <c r="M26" s="50">
        <f t="shared" si="5"/>
        <v>0.38610038610037983</v>
      </c>
      <c r="N26" s="50">
        <f t="shared" si="6"/>
        <v>0.24539877300613847</v>
      </c>
      <c r="O26" s="50">
        <f t="shared" si="7"/>
        <v>0.23028209556707294</v>
      </c>
      <c r="P26" s="50">
        <f t="shared" si="8"/>
        <v>0.41701887855733244</v>
      </c>
    </row>
    <row r="27" spans="1:16" x14ac:dyDescent="0.3">
      <c r="A27">
        <f t="shared" si="0"/>
        <v>2023</v>
      </c>
      <c r="B27" t="s">
        <v>214</v>
      </c>
      <c r="C27" s="1">
        <v>80.92</v>
      </c>
      <c r="D27">
        <v>176.5</v>
      </c>
      <c r="E27">
        <v>2292.6999999999998</v>
      </c>
      <c r="F27">
        <v>182</v>
      </c>
      <c r="G27">
        <v>163.6</v>
      </c>
      <c r="H27">
        <v>174.3</v>
      </c>
      <c r="I27">
        <v>1792.6999999999998</v>
      </c>
      <c r="J27" s="50">
        <f t="shared" si="2"/>
        <v>3.6107554417413668</v>
      </c>
      <c r="K27" s="50">
        <f t="shared" si="3"/>
        <v>0.45532157085942598</v>
      </c>
      <c r="L27" s="50">
        <f t="shared" si="4"/>
        <v>0.40728737847068963</v>
      </c>
      <c r="M27" s="50">
        <f t="shared" si="5"/>
        <v>0</v>
      </c>
      <c r="N27" s="50">
        <f t="shared" si="6"/>
        <v>0.12239902080782657</v>
      </c>
      <c r="O27" s="50">
        <f t="shared" si="7"/>
        <v>0.11487650775417407</v>
      </c>
      <c r="P27" s="50">
        <f t="shared" si="8"/>
        <v>0.60609461810426823</v>
      </c>
    </row>
    <row r="28" spans="1:16" x14ac:dyDescent="0.3">
      <c r="A28">
        <f t="shared" si="0"/>
        <v>2023</v>
      </c>
      <c r="B28" t="s">
        <v>215</v>
      </c>
      <c r="C28" s="1">
        <v>82.28</v>
      </c>
      <c r="D28">
        <v>177.2</v>
      </c>
      <c r="E28">
        <v>2279.1</v>
      </c>
      <c r="F28">
        <v>182.1</v>
      </c>
      <c r="G28">
        <v>164.2</v>
      </c>
      <c r="H28">
        <v>175</v>
      </c>
      <c r="I28">
        <v>1807</v>
      </c>
      <c r="J28" s="50">
        <f t="shared" si="2"/>
        <v>1.6806722689075622</v>
      </c>
      <c r="K28" s="50">
        <f t="shared" si="3"/>
        <v>0.39660056657223147</v>
      </c>
      <c r="L28" s="50">
        <f t="shared" si="4"/>
        <v>-0.59318707201116194</v>
      </c>
      <c r="M28" s="50">
        <f t="shared" si="5"/>
        <v>5.4945054945051822E-2</v>
      </c>
      <c r="N28" s="50">
        <f t="shared" si="6"/>
        <v>0.36674816625916523</v>
      </c>
      <c r="O28" s="50">
        <f t="shared" si="7"/>
        <v>0.40160642570280469</v>
      </c>
      <c r="P28" s="50">
        <f t="shared" si="8"/>
        <v>0.79767947788253379</v>
      </c>
    </row>
    <row r="31" spans="1:16" x14ac:dyDescent="0.3">
      <c r="I31" s="114" t="s">
        <v>217</v>
      </c>
      <c r="J31" s="114"/>
      <c r="K31" s="114"/>
      <c r="L31" s="114"/>
      <c r="M31" s="114"/>
      <c r="N31" s="114"/>
      <c r="O31" s="114"/>
    </row>
    <row r="32" spans="1:16" x14ac:dyDescent="0.3">
      <c r="A32" t="s">
        <v>1</v>
      </c>
      <c r="B32" t="s">
        <v>189</v>
      </c>
      <c r="C32" t="s">
        <v>29</v>
      </c>
      <c r="D32" t="s">
        <v>47</v>
      </c>
      <c r="E32" t="s">
        <v>53</v>
      </c>
      <c r="F32" t="s">
        <v>54</v>
      </c>
      <c r="G32" t="s">
        <v>26</v>
      </c>
      <c r="H32" t="s">
        <v>55</v>
      </c>
      <c r="I32" t="s">
        <v>189</v>
      </c>
      <c r="J32" t="s">
        <v>29</v>
      </c>
      <c r="K32" t="s">
        <v>47</v>
      </c>
      <c r="L32" t="s">
        <v>53</v>
      </c>
      <c r="M32" t="s">
        <v>54</v>
      </c>
      <c r="N32" t="s">
        <v>26</v>
      </c>
      <c r="O32" t="s">
        <v>55</v>
      </c>
    </row>
    <row r="33" spans="1:15" x14ac:dyDescent="0.3">
      <c r="A33">
        <v>2021</v>
      </c>
      <c r="B33">
        <f>SUMIFS(C$3:C$28,$A$3:$A$28,$A33)</f>
        <v>835.59</v>
      </c>
      <c r="C33">
        <f t="shared" ref="C33:H33" si="9">SUMIFS(D$3:D$28,$A$3:$A$28,$A33)</f>
        <v>1937.5000000000002</v>
      </c>
      <c r="D33">
        <f t="shared" si="9"/>
        <v>25440.400000000001</v>
      </c>
      <c r="E33">
        <f t="shared" si="9"/>
        <v>1908.6999999999998</v>
      </c>
      <c r="F33">
        <f t="shared" si="9"/>
        <v>1806.6999999999998</v>
      </c>
      <c r="G33">
        <f t="shared" si="9"/>
        <v>1945.4000000000003</v>
      </c>
      <c r="H33">
        <f t="shared" si="9"/>
        <v>19447.5</v>
      </c>
      <c r="I33" s="50">
        <v>0</v>
      </c>
      <c r="J33" s="50">
        <v>0</v>
      </c>
      <c r="K33" s="50">
        <v>0</v>
      </c>
      <c r="L33" s="50">
        <v>0</v>
      </c>
      <c r="M33" s="50">
        <v>0</v>
      </c>
      <c r="N33" s="50">
        <v>0</v>
      </c>
      <c r="O33" s="50">
        <v>0</v>
      </c>
    </row>
    <row r="34" spans="1:15" x14ac:dyDescent="0.3">
      <c r="A34">
        <v>2022</v>
      </c>
      <c r="B34">
        <f t="shared" ref="B34:H35" si="10">SUMIFS(C$3:C$28,$A$3:$A$28,$A34)</f>
        <v>1171.05</v>
      </c>
      <c r="C34">
        <f>SUMIFS(D$3:D$28,$A$3:$A$28,$A34)</f>
        <v>2065.7999999999997</v>
      </c>
      <c r="D34">
        <f t="shared" si="10"/>
        <v>26918.600000000006</v>
      </c>
      <c r="E34">
        <f t="shared" si="10"/>
        <v>2101.6</v>
      </c>
      <c r="F34">
        <f t="shared" si="10"/>
        <v>1933.1000000000001</v>
      </c>
      <c r="G34">
        <f t="shared" si="10"/>
        <v>2037.8999999999999</v>
      </c>
      <c r="H34">
        <f t="shared" si="10"/>
        <v>20782.300000000003</v>
      </c>
      <c r="I34" s="50">
        <f>(B34-B33)/B33*100</f>
        <v>40.146483323160872</v>
      </c>
      <c r="J34" s="50">
        <f t="shared" ref="J34:O34" si="11">(C34-C33)/C33*100</f>
        <v>6.6219354838709412</v>
      </c>
      <c r="K34" s="50">
        <f t="shared" si="11"/>
        <v>5.8104432320246708</v>
      </c>
      <c r="L34" s="50">
        <f t="shared" si="11"/>
        <v>10.10635511080841</v>
      </c>
      <c r="M34" s="50">
        <f t="shared" si="11"/>
        <v>6.9961808822715632</v>
      </c>
      <c r="N34" s="50">
        <f t="shared" si="11"/>
        <v>4.7548062095198693</v>
      </c>
      <c r="O34" s="50">
        <f t="shared" si="11"/>
        <v>6.863607147448274</v>
      </c>
    </row>
    <row r="35" spans="1:15" x14ac:dyDescent="0.3">
      <c r="A35">
        <v>2023</v>
      </c>
      <c r="B35">
        <f t="shared" si="10"/>
        <v>163.19999999999999</v>
      </c>
      <c r="C35">
        <f>SUMIFS(D$3:D$28,$A$3:$A$28,$A35)</f>
        <v>353.7</v>
      </c>
      <c r="D35">
        <f t="shared" si="10"/>
        <v>4571.7999999999993</v>
      </c>
      <c r="E35">
        <f t="shared" si="10"/>
        <v>364.1</v>
      </c>
      <c r="F35">
        <f t="shared" si="10"/>
        <v>327.79999999999995</v>
      </c>
      <c r="G35">
        <f t="shared" si="10"/>
        <v>349.3</v>
      </c>
      <c r="H35">
        <f t="shared" si="10"/>
        <v>3599.7</v>
      </c>
      <c r="I35" s="50">
        <f>(B35-B34)/B34*100</f>
        <v>-86.063788907390801</v>
      </c>
      <c r="J35" s="50">
        <f t="shared" ref="J35" si="12">(C35-C34)/C34*100</f>
        <v>-82.878303804821371</v>
      </c>
      <c r="K35" s="50">
        <f t="shared" ref="K35" si="13">(D35-D34)/D34*100</f>
        <v>-83.016204408847415</v>
      </c>
      <c r="L35" s="50">
        <f t="shared" ref="L35" si="14">(E35-E34)/E34*100</f>
        <v>-82.675104682146937</v>
      </c>
      <c r="M35" s="50">
        <f t="shared" ref="M35" si="15">(F35-F34)/F34*100</f>
        <v>-83.042781025296165</v>
      </c>
      <c r="N35" s="50">
        <f t="shared" ref="N35" si="16">(G35-G34)/G34*100</f>
        <v>-82.859806663722452</v>
      </c>
      <c r="O35" s="50">
        <f t="shared" ref="O35" si="17">(H35-H34)/H34*100</f>
        <v>-82.679010504130929</v>
      </c>
    </row>
    <row r="41" spans="1:15" x14ac:dyDescent="0.3">
      <c r="C41" t="s">
        <v>219</v>
      </c>
    </row>
    <row r="42" spans="1:15" x14ac:dyDescent="0.3">
      <c r="C42" t="s">
        <v>57</v>
      </c>
      <c r="D42" t="s">
        <v>29</v>
      </c>
      <c r="E42" t="s">
        <v>47</v>
      </c>
      <c r="F42" t="s">
        <v>53</v>
      </c>
      <c r="G42" t="s">
        <v>54</v>
      </c>
      <c r="H42" t="s">
        <v>26</v>
      </c>
      <c r="I42" t="s">
        <v>55</v>
      </c>
    </row>
    <row r="43" spans="1:15" x14ac:dyDescent="0.3">
      <c r="C43" t="s">
        <v>218</v>
      </c>
      <c r="D43" s="50">
        <f>CORREL($J$3:$J$28,K3:K28)</f>
        <v>0.11523811756697785</v>
      </c>
      <c r="E43" s="50">
        <f t="shared" ref="E43:I43" si="18">CORREL($J$3:$J$28,L3:L28)</f>
        <v>8.8910314498554827E-2</v>
      </c>
      <c r="F43" s="50">
        <f t="shared" si="18"/>
        <v>0.11290929944922146</v>
      </c>
      <c r="G43" s="50">
        <f t="shared" si="18"/>
        <v>8.3959005276023305E-2</v>
      </c>
      <c r="H43" s="50">
        <f t="shared" si="18"/>
        <v>-0.18279011165695622</v>
      </c>
      <c r="I43" s="50">
        <f t="shared" si="18"/>
        <v>7.4647891696534921E-2</v>
      </c>
    </row>
    <row r="45" spans="1:15" x14ac:dyDescent="0.3">
      <c r="C45" t="s">
        <v>220</v>
      </c>
    </row>
    <row r="46" spans="1:15" x14ac:dyDescent="0.3">
      <c r="C46" t="s">
        <v>57</v>
      </c>
      <c r="D46" t="s">
        <v>29</v>
      </c>
      <c r="E46" t="s">
        <v>47</v>
      </c>
      <c r="F46" t="s">
        <v>53</v>
      </c>
      <c r="G46" t="s">
        <v>54</v>
      </c>
      <c r="H46" t="s">
        <v>26</v>
      </c>
      <c r="I46" t="s">
        <v>55</v>
      </c>
    </row>
    <row r="47" spans="1:15" x14ac:dyDescent="0.3">
      <c r="C47" t="s">
        <v>218</v>
      </c>
      <c r="D47" s="50">
        <f>CORREL($I$33:$I$35,J33:J35)</f>
        <v>0.96888260143740834</v>
      </c>
      <c r="E47" s="50">
        <f t="shared" ref="E47:I47" si="19">CORREL($I$33:$I$35,K33:K35)</f>
        <v>0.96688658231392399</v>
      </c>
      <c r="F47" s="50">
        <f t="shared" si="19"/>
        <v>0.97652151516852181</v>
      </c>
      <c r="G47" s="50">
        <f t="shared" si="19"/>
        <v>0.96973289664381845</v>
      </c>
      <c r="H47" s="50">
        <f t="shared" si="19"/>
        <v>0.96422631708103146</v>
      </c>
      <c r="I47" s="50">
        <f t="shared" si="19"/>
        <v>0.96949341039081849</v>
      </c>
    </row>
  </sheetData>
  <mergeCells count="2">
    <mergeCell ref="J1:P1"/>
    <mergeCell ref="I31:O3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FE453-2B1F-45D9-90D1-D75E4916A3F8}">
  <dimension ref="A1:A21"/>
  <sheetViews>
    <sheetView workbookViewId="0">
      <selection sqref="A1:A21"/>
    </sheetView>
  </sheetViews>
  <sheetFormatPr defaultRowHeight="14.4" x14ac:dyDescent="0.3"/>
  <cols>
    <col min="1" max="1" width="118" customWidth="1"/>
  </cols>
  <sheetData>
    <row r="1" spans="1:1" x14ac:dyDescent="0.3">
      <c r="A1" s="91" t="s">
        <v>254</v>
      </c>
    </row>
    <row r="2" spans="1:1" x14ac:dyDescent="0.3">
      <c r="A2" s="3"/>
    </row>
    <row r="3" spans="1:1" x14ac:dyDescent="0.3">
      <c r="A3" s="92" t="s">
        <v>261</v>
      </c>
    </row>
    <row r="4" spans="1:1" x14ac:dyDescent="0.3">
      <c r="A4" s="93"/>
    </row>
    <row r="5" spans="1:1" ht="27.6" x14ac:dyDescent="0.3">
      <c r="A5" s="94" t="s">
        <v>255</v>
      </c>
    </row>
    <row r="6" spans="1:1" x14ac:dyDescent="0.3">
      <c r="A6" s="92" t="s">
        <v>262</v>
      </c>
    </row>
    <row r="7" spans="1:1" x14ac:dyDescent="0.3">
      <c r="A7" s="93"/>
    </row>
    <row r="8" spans="1:1" x14ac:dyDescent="0.3">
      <c r="A8" s="94" t="s">
        <v>256</v>
      </c>
    </row>
    <row r="9" spans="1:1" x14ac:dyDescent="0.3">
      <c r="A9" s="92" t="s">
        <v>263</v>
      </c>
    </row>
    <row r="10" spans="1:1" x14ac:dyDescent="0.3">
      <c r="A10" s="93"/>
    </row>
    <row r="11" spans="1:1" x14ac:dyDescent="0.3">
      <c r="A11" s="94" t="s">
        <v>257</v>
      </c>
    </row>
    <row r="12" spans="1:1" x14ac:dyDescent="0.3">
      <c r="A12" s="92" t="s">
        <v>264</v>
      </c>
    </row>
    <row r="13" spans="1:1" x14ac:dyDescent="0.3">
      <c r="A13" s="93"/>
    </row>
    <row r="14" spans="1:1" x14ac:dyDescent="0.3">
      <c r="A14" s="94" t="s">
        <v>258</v>
      </c>
    </row>
    <row r="15" spans="1:1" x14ac:dyDescent="0.3">
      <c r="A15" s="92" t="s">
        <v>265</v>
      </c>
    </row>
    <row r="16" spans="1:1" x14ac:dyDescent="0.3">
      <c r="A16" s="93"/>
    </row>
    <row r="17" spans="1:1" x14ac:dyDescent="0.3">
      <c r="A17" s="94" t="s">
        <v>259</v>
      </c>
    </row>
    <row r="18" spans="1:1" x14ac:dyDescent="0.3">
      <c r="A18" s="92" t="s">
        <v>266</v>
      </c>
    </row>
    <row r="19" spans="1:1" x14ac:dyDescent="0.3">
      <c r="A19" s="92" t="s">
        <v>267</v>
      </c>
    </row>
    <row r="21" spans="1:1" x14ac:dyDescent="0.3">
      <c r="A21" s="91" t="s">
        <v>260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9BA01-0B54-4C2B-8010-111B2F86CB87}">
  <dimension ref="A1:B15"/>
  <sheetViews>
    <sheetView workbookViewId="0">
      <selection sqref="A1:A21"/>
    </sheetView>
  </sheetViews>
  <sheetFormatPr defaultRowHeight="14.4" x14ac:dyDescent="0.3"/>
  <cols>
    <col min="1" max="1" width="12.5546875" bestFit="1" customWidth="1"/>
    <col min="2" max="2" width="14.88671875" bestFit="1" customWidth="1"/>
  </cols>
  <sheetData>
    <row r="1" spans="1:2" x14ac:dyDescent="0.3">
      <c r="A1" s="47" t="s">
        <v>0</v>
      </c>
      <c r="B1" t="s">
        <v>33</v>
      </c>
    </row>
    <row r="3" spans="1:2" x14ac:dyDescent="0.3">
      <c r="A3" s="47" t="s">
        <v>131</v>
      </c>
      <c r="B3" t="s">
        <v>268</v>
      </c>
    </row>
    <row r="4" spans="1:2" x14ac:dyDescent="0.3">
      <c r="A4" s="48">
        <v>2013</v>
      </c>
      <c r="B4" s="51">
        <v>1446.3916666666664</v>
      </c>
    </row>
    <row r="5" spans="1:2" x14ac:dyDescent="0.3">
      <c r="A5" s="48">
        <v>2014</v>
      </c>
      <c r="B5" s="51">
        <v>1542.0833333333333</v>
      </c>
    </row>
    <row r="6" spans="1:2" x14ac:dyDescent="0.3">
      <c r="A6" s="48">
        <v>2015</v>
      </c>
      <c r="B6" s="51">
        <v>1624.425</v>
      </c>
    </row>
    <row r="7" spans="1:2" x14ac:dyDescent="0.3">
      <c r="A7" s="48">
        <v>2016</v>
      </c>
      <c r="B7" s="51">
        <v>1735.8083333333332</v>
      </c>
    </row>
    <row r="8" spans="1:2" x14ac:dyDescent="0.3">
      <c r="A8" s="48">
        <v>2017</v>
      </c>
      <c r="B8" s="51">
        <v>1753.9416666666666</v>
      </c>
    </row>
    <row r="9" spans="1:2" x14ac:dyDescent="0.3">
      <c r="A9" s="48">
        <v>2018</v>
      </c>
      <c r="B9" s="51">
        <v>1772.9583333333333</v>
      </c>
    </row>
    <row r="10" spans="1:2" x14ac:dyDescent="0.3">
      <c r="A10" s="48">
        <v>2019</v>
      </c>
      <c r="B10" s="51">
        <v>1833.0636363636365</v>
      </c>
    </row>
    <row r="11" spans="1:2" x14ac:dyDescent="0.3">
      <c r="A11" s="48">
        <v>2020</v>
      </c>
      <c r="B11" s="51">
        <v>1986.2583333333332</v>
      </c>
    </row>
    <row r="12" spans="1:2" x14ac:dyDescent="0.3">
      <c r="A12" s="48">
        <v>2021</v>
      </c>
      <c r="B12" s="51">
        <v>2120.0333333333333</v>
      </c>
    </row>
    <row r="13" spans="1:2" x14ac:dyDescent="0.3">
      <c r="A13" s="48">
        <v>2022</v>
      </c>
      <c r="B13" s="51">
        <v>2243.2166666666667</v>
      </c>
    </row>
    <row r="14" spans="1:2" x14ac:dyDescent="0.3">
      <c r="A14" s="48">
        <v>2023</v>
      </c>
      <c r="B14" s="51">
        <v>2289.5</v>
      </c>
    </row>
    <row r="15" spans="1:2" x14ac:dyDescent="0.3">
      <c r="A15" s="48" t="s">
        <v>132</v>
      </c>
      <c r="B15" s="51">
        <v>1825.1016129032253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All_India_Index_Upto_April23 (1</vt:lpstr>
      <vt:lpstr>Sheet4</vt:lpstr>
      <vt:lpstr>Copy</vt:lpstr>
      <vt:lpstr>Main Data</vt:lpstr>
      <vt:lpstr>Sheet2</vt:lpstr>
      <vt:lpstr>Insights</vt:lpstr>
      <vt:lpstr>Sheet8</vt:lpstr>
      <vt:lpstr>Crude oil</vt:lpstr>
      <vt:lpstr>Sheet1</vt:lpstr>
      <vt:lpstr>Sheet3</vt:lpstr>
      <vt:lpstr>Problem Statement 1</vt:lpstr>
      <vt:lpstr>Problem Statement 2</vt:lpstr>
      <vt:lpstr>Problem Statement 3</vt:lpstr>
      <vt:lpstr>Problem Statement 4</vt:lpstr>
      <vt:lpstr>Sheet6</vt:lpstr>
      <vt:lpstr>Problem Satatement 5</vt:lpstr>
      <vt:lpstr>Sheet7</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Apoorva</dc:creator>
  <cp:lastModifiedBy>Apoorva Maurya</cp:lastModifiedBy>
  <dcterms:created xsi:type="dcterms:W3CDTF">2025-10-26T10:45:08Z</dcterms:created>
  <dcterms:modified xsi:type="dcterms:W3CDTF">2025-12-01T09:58:42Z</dcterms:modified>
</cp:coreProperties>
</file>