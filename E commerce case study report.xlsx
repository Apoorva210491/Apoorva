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378ae9660d7ba/Desktop/"/>
    </mc:Choice>
  </mc:AlternateContent>
  <xr:revisionPtr revIDLastSave="47" documentId="13_ncr:1_{DB380DC6-E197-4949-8C64-F5515D1AB15D}" xr6:coauthVersionLast="47" xr6:coauthVersionMax="47" xr10:uidLastSave="{F41B9480-85CD-406A-9701-57D7B03C520D}"/>
  <bookViews>
    <workbookView xWindow="-108" yWindow="-108" windowWidth="23256" windowHeight="12456" xr2:uid="{1B7093CB-039B-4B64-80BE-8B71069A467C}"/>
  </bookViews>
  <sheets>
    <sheet name="Analysis" sheetId="3" r:id="rId1"/>
    <sheet name="E-commece case study" sheetId="1" state="hidden" r:id="rId2"/>
  </sheets>
  <definedNames>
    <definedName name="_xlnm._FilterDatabase" localSheetId="0" hidden="1">Analysis!$A$1:$G$22</definedName>
    <definedName name="_xlnm._FilterDatabase" localSheetId="1" hidden="1">'E-commece case study'!$A$2:$J$18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3" l="1"/>
  <c r="D21" i="3"/>
  <c r="D19" i="3"/>
  <c r="D66" i="3"/>
  <c r="C44" i="3"/>
  <c r="D41" i="3" s="1"/>
  <c r="C58" i="3"/>
  <c r="C52" i="3"/>
  <c r="D52" i="3" s="1"/>
  <c r="C37" i="3"/>
  <c r="C61" i="1"/>
  <c r="C56" i="1"/>
  <c r="D50" i="1"/>
  <c r="C33" i="1"/>
  <c r="C18" i="1"/>
  <c r="C11" i="1"/>
  <c r="D49" i="3" l="1"/>
  <c r="D51" i="3"/>
  <c r="D50" i="3"/>
  <c r="D44" i="3"/>
  <c r="D43" i="3"/>
  <c r="D42" i="3"/>
  <c r="D40" i="3"/>
  <c r="D15" i="3"/>
  <c r="D22" i="3" l="1"/>
</calcChain>
</file>

<file path=xl/sharedStrings.xml><?xml version="1.0" encoding="utf-8"?>
<sst xmlns="http://schemas.openxmlformats.org/spreadsheetml/2006/main" count="181" uniqueCount="107">
  <si>
    <t>Delhi</t>
  </si>
  <si>
    <t>Chennai</t>
  </si>
  <si>
    <t>Jaipur</t>
  </si>
  <si>
    <t>Pune</t>
  </si>
  <si>
    <t>Ahmedabad</t>
  </si>
  <si>
    <t xml:space="preserve">Location </t>
  </si>
  <si>
    <t>num_Customers</t>
  </si>
  <si>
    <t>Customer Insights</t>
  </si>
  <si>
    <t>Find top 5 cities with the most customers.</t>
  </si>
  <si>
    <t>Analysis feedback</t>
  </si>
  <si>
    <t>SELECT location, COUNT(customer_id) AS num_customers
FROM Customers
GROUP BY location
ORDER BY num_customers DESC
LIMIT 5;</t>
  </si>
  <si>
    <t xml:space="preserve">SQL Query used </t>
  </si>
  <si>
    <t>Returned Table</t>
  </si>
  <si>
    <t>Total</t>
  </si>
  <si>
    <t>Product Analysis</t>
  </si>
  <si>
    <t>List the top 3 best-selling products</t>
  </si>
  <si>
    <t>Digital SLR Camera</t>
  </si>
  <si>
    <t>Bluetooth Headphones</t>
  </si>
  <si>
    <t>Portable Bluetooth Speaker</t>
  </si>
  <si>
    <t xml:space="preserve">SELECT p.name, SUM(od.quantity) AS total_sold
FROM OrderDetails od
JOIN Products p ON od.product_id = p.product_id
GROUP BY p.product_id, p.name
ORDER BY total_sold DESC
LIMIT 3;
</t>
  </si>
  <si>
    <t>name</t>
  </si>
  <si>
    <t>Total_sold</t>
  </si>
  <si>
    <t xml:space="preserve">Month </t>
  </si>
  <si>
    <t>Monthly_sales</t>
  </si>
  <si>
    <t>Compare monthly total sales.</t>
  </si>
  <si>
    <t xml:space="preserve"> 1) Highest sales occurred in September (₹2,927,000), followed by December (₹2,774,000) and July (₹2,568,000).
2) Lowest sales were in February (₹396,000), showing a sharp dip compared to other months.
3)  Consistent growth is visible from February → March → April, with April reaching ₹1,704,000.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</si>
  <si>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</si>
  <si>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</si>
  <si>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</si>
  <si>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</si>
  <si>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</si>
  <si>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</si>
  <si>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</si>
  <si>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</si>
  <si>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</si>
  <si>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</si>
  <si>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</si>
  <si>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</si>
  <si>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 DATE_FORMAT(order_date, '%M') AS month,
       SUM(total_amount) AS monthly_sales
FROM Orders
GROUP BY MONTH(order_date), DATE_FORMAT(order_date, '%M')
ORDER BY MONTH(order_date);</t>
  </si>
  <si>
    <t>Customer Purchase Frequency</t>
  </si>
  <si>
    <t>Ayesha Wali</t>
  </si>
  <si>
    <t>Samar Sharaf</t>
  </si>
  <si>
    <t>Saksham Buch</t>
  </si>
  <si>
    <t>Yuvraj  Bir</t>
  </si>
  <si>
    <t>Rhea Issac</t>
  </si>
  <si>
    <t>Gokul Chhabra</t>
  </si>
  <si>
    <t>Tanya Baria</t>
  </si>
  <si>
    <t>Diya Upadhyay</t>
  </si>
  <si>
    <t>Jayant Yohannan</t>
  </si>
  <si>
    <t>Sumer Dora</t>
  </si>
  <si>
    <t>Ehsaan Chand</t>
  </si>
  <si>
    <t>Ryan Ahluwalia</t>
  </si>
  <si>
    <t>Indrans Lanka</t>
  </si>
  <si>
    <t>Romil Bora</t>
  </si>
  <si>
    <t>Customer_id</t>
  </si>
  <si>
    <t>orders_count</t>
  </si>
  <si>
    <t>1)  High-value segment: Diya Upadhyay and Romil Bora are prime candidates for loyalty rewards or premium offers.
2) Core repeat buyers: The cluster of 5-order customers forms a stable mid-tier loyalty group.
4)  Retention opportunity: Customers with 4 orders are at the threshold—targeted engagement could push them into higher frequency.</t>
  </si>
  <si>
    <t>SELECT c.customer_id,c.name, COUNT(o.order_id) AS orders_count
FROM Orders o
inner join customers c
on c.customer_id=o.customer_id
GROUP BY customer_id,c.name
HAVING orders_count &gt; 3
order by COUNT(o.order_id)  desc;</t>
  </si>
  <si>
    <t>Top Revenue-Generating Categories</t>
  </si>
  <si>
    <t>Electronics</t>
  </si>
  <si>
    <t>Photography</t>
  </si>
  <si>
    <t>Wearable Tech</t>
  </si>
  <si>
    <t>category</t>
  </si>
  <si>
    <t>Total_revenue</t>
  </si>
  <si>
    <t>SELECT p.category, SUM(od.quantity * od.price_per_unit) AS total_revenue
FROM OrderDetails od
JOIN Products p ON od.product_id = p.product_id
GROUP BY p.category
ORDER BY total_revenue DESC;</t>
  </si>
  <si>
    <t xml:space="preserve"> 1) Together, these three products account for 420 units sold, forming the core revenue drivers.
2) Digital SLR Camera alone contributes 36% of total sales, making it a flagship product.
3) Bluetooth devices (Headphones + Speaker) collectively represent 64% of sales, showing dominance of wireless audio products.</t>
  </si>
  <si>
    <t>Order Value Segmentation</t>
  </si>
  <si>
    <t>High</t>
  </si>
  <si>
    <t>Medium</t>
  </si>
  <si>
    <t>order_segment</t>
  </si>
  <si>
    <t>num_orders</t>
  </si>
  <si>
    <t>SELECT 
  CASE 
    WHEN total_amount &gt; 5000 THEN 'High'
    WHEN total_amount BETWEEN 2000 AND 5000 THEN 'Medium'
    ELSE 'Low'
  END AS order_segment,
  COUNT(*) AS num_orders
FROM Orders
GROUP BY order_segment;</t>
  </si>
  <si>
    <t>1) Electronics contributes 65% of overall revenue, making it the primary growth engine.
2) Photography adds 31%, positioning it as a solid secondary category.
3)  Wearable Tech is underperforming, suggesting either limited product range or weaker consumer adoption.</t>
  </si>
  <si>
    <t xml:space="preserve"> 1) High-value orders dominate: 196 out of 200 orders fall into the High segment (&gt; ₹5,000).
2)  Medium-value orders are rare: Only 4 orders fall between ₹2,000–₹5,000.
3)  Low-value orders are absent, meaning customers consistently spend above ₹2,000.</t>
  </si>
  <si>
    <t>Customer Retention Rate</t>
  </si>
  <si>
    <t>WITH FirstOrders AS (
  SELECT customer_id, MIN(order_date) AS first_order
  FROM Orders
  GROUP BY customer_id
)
SELECT 
  COUNT(DISTINCT o.customer_id) AS returning_customers
FROM Orders o
JOIN FirstOrders f ON o.customer_id = f.customer_id
WHERE o.order_date &gt; f.first_order;</t>
  </si>
  <si>
    <t xml:space="preserve">  Total  58 returning customers, meaning 58 individuals made purchases more than once.This indicates a healthy level of customer satisfaction and loyalty. </t>
  </si>
  <si>
    <t>Top-Selling Product per Category (CTE + Window Function)</t>
  </si>
  <si>
    <t>Wireless Earbuds</t>
  </si>
  <si>
    <t>Category</t>
  </si>
  <si>
    <t>Name</t>
  </si>
  <si>
    <t>Category Leaders
1)  Electronics → Bluetooth Headphones (135 units)
2) Photography → Digital SLR Camera (151 units)
3)  Wearable Tech → Wireless Earbuds (130 units)
Competitive Landscape
1) Photography leads overall with the highest single-product sales (151 units).
2) Electronics and Wearable Tech are close, suggesting strong demand for portable audio devices.</t>
  </si>
  <si>
    <t xml:space="preserve">
1) Delhi + Chennai together account for 40% of the total customers (31 out of 62).
2)  Top 3 cities (Delhi, Chennai, Jaipur) contribute 68% of the customer base, showing concentration in fewer locations.
3) Pune and Ahmedabad are competitive mid-tier markets, but slightly behind Jaipur in customer volume.
4) The distribution suggests urban dominance, with Tier-1 cities (Delhi, Chennai, Pune) driving most of the customer activity.</t>
  </si>
  <si>
    <t>Percentage</t>
  </si>
  <si>
    <t>Bronze</t>
  </si>
  <si>
    <t>Silver</t>
  </si>
  <si>
    <t>Gold</t>
  </si>
  <si>
    <t>loyalty_segment</t>
  </si>
  <si>
    <t>customer_count</t>
  </si>
  <si>
    <t>percentage</t>
  </si>
  <si>
    <t>Platinum</t>
  </si>
  <si>
    <t>1)The majority (62%) are Bronze, meaning your customer base is still largely casual.
2)Silver and Gold together make up 39%, which is promising — you have a solid foundation of repeat buyers.
3)Platinum is empty, so you may want to design campaigns that encourage higher frequency (e.g., subscription models, bundle offers, or gamified loyalty points).</t>
  </si>
  <si>
    <t>Low</t>
  </si>
  <si>
    <t>SR.NO</t>
  </si>
  <si>
    <t>Used SQL Query</t>
  </si>
  <si>
    <t>WITH category_revenue AS (
    SELECT p.category,
           SUM(od.quantity * od.price_per_unit) AS total_revenue
    FROM OrderDetails od
    JOIN Products p ON od.product_id = p.product_id
    GROUP BY p.category
)
SELECT category,
       total_revenue,
       ROUND(total_revenue * 100.0 / SUM(total_revenue) OVER (), 1) AS percentage
FROM category_revenue
ORDER BY total_revenue DESC;</t>
  </si>
  <si>
    <t>WITH customer_orders AS (
    SELECT c.customer_id,
           c.name,
           COUNT(o.order_id) AS orders_count
    FROM Orders o
    INNER JOIN Customers c
        ON c.customer_id = o.customer_id
    GROUP BY c.customer_id, c.name),
segmented AS (
    SELECT customer_id,
           name,
           orders_count,
           CASE
               WHEN orders_count &gt;= 10 THEN 'Platinum'
               WHEN orders_count BETWEEN 5 AND 9 THEN 'Gold'
               WHEN orders_count BETWEEN 3 AND 4 THEN 'Silver'
               ELSE 'Bronze'
           END AS loyalty_segment
    FROM customer_orders)
SELECT loyalty_segment,
       COUNT(*) AS customer_count,
       ROUND(COUNT(*) * 100.0 / SUM(COUNT(*)) OVER (), 1) AS percentage
FROM segmented
GROUP BY loyalty_segment
ORDER BY customer_count DESC;</t>
  </si>
  <si>
    <t>WITH CategorySales AS (
  SELECT 
    p.category,
    p.name,
    SUM(od.quantity) AS total_sold,
    ROW_NUMBER() OVER (PARTITION BY p.category ORDER BY SUM(od.quantity) DESC) AS rn
  FROM Products p
  JOIN OrderDetails od ON p.product_id = od.product_id
  GROUP BY p.category, p.name
)
SELECT category, name, total_sold
FROM CategorySales
WHERE rn = 1;</t>
  </si>
  <si>
    <t>Lucknow</t>
  </si>
  <si>
    <t>Hyderabad</t>
  </si>
  <si>
    <t>Kolkata</t>
  </si>
  <si>
    <t>Bangalore</t>
  </si>
  <si>
    <t>Mumbai</t>
  </si>
  <si>
    <t>SELECT 
    location,
    num_customers,
    ROUND(num_customers * 100.0 / total, 2) AS percent
FROM (
    SELECT 
        location, 
        COUNT(customer_id) AS num_customers,
        (SELECT COUNT(customer_id) FROM Customers) AS total
    FROM Customers
    GROUP BY location
    ORDER BY num_customers DESC
    limit 5
) s;</t>
  </si>
  <si>
    <t>WITH sales AS (
    SELECT p.name,
           SUM(od.quantity) AS total_sold
    FROM OrderDetails od
    JOIN Products p ON od.product_id = p.product_id
    GROUP BY p.product_id, p.name
),
top3 AS (
    SELECT s.name,
           s.total_sold
    FROM sales s
    ORDER BY s.total_sold DESC
    LIMIT 3
),
grand_total AS (
    SELECT SUM(total_sold) AS total_sold_all
    FROM sales
)
SELECT t.name,
       t.total_sold,
       ROUND(t.total_sold * 100.0 / g.total_sold_all, 1) AS percentage
FROM top3 t
CROSS JOIN grand_total g
ORDER BY t.total_sold DESC;</t>
  </si>
  <si>
    <t xml:space="preserve">
1) Delhi + Chennai together account for 31% of the total customers (31 out of 100).
2)  Top 3 cities (Delhi, Chennai, Jaipur) contribute 42% of the customer base, showing concentration in fewer locations.
3) Pune and Ahmedabad are competitive mid-tier markets, but slightly behind Jaipur in customer volume.
4) The distribution suggests urban dominance, with Tier-1 cities (Delhi, Chennai, Pune) driving most of the customer activity.</t>
  </si>
  <si>
    <t xml:space="preserve"> 1) Together, these three products account for 420 units sold, forming the core revenue drivers.
2) Digital SLR Camera alone contributes 15% of total sales, making it a flagship product.
3) Bluetooth devices (Headphones + Speaker) collectively represent 26% of sales, showing dominance of wireless audio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</si>
</sst>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 applyAlignment="1">
      <alignment horizontal="center" wrapText="1"/>
    </xf>
    <xf numFmtId="0" fontId="2" fillId="0" borderId="26" xfId="0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14" xfId="0" applyFont="1" applyBorder="1"/>
    <xf numFmtId="0" fontId="2" fillId="0" borderId="2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/>
    <xf numFmtId="0" fontId="2" fillId="0" borderId="44" xfId="0" applyFont="1" applyBorder="1" applyAlignment="1">
      <alignment horizontal="center" wrapText="1"/>
    </xf>
    <xf numFmtId="0" fontId="2" fillId="0" borderId="30" xfId="0" applyFont="1" applyBorder="1" applyAlignment="1">
      <alignment vertical="center" wrapText="1"/>
    </xf>
    <xf numFmtId="0" fontId="2" fillId="0" borderId="40" xfId="0" applyFont="1" applyBorder="1"/>
    <xf numFmtId="0" fontId="2" fillId="0" borderId="31" xfId="0" applyFont="1" applyBorder="1"/>
    <xf numFmtId="0" fontId="0" fillId="0" borderId="22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0" borderId="38" xfId="0" applyFont="1" applyBorder="1"/>
    <xf numFmtId="0" fontId="2" fillId="0" borderId="29" xfId="0" applyFont="1" applyBorder="1" applyAlignment="1">
      <alignment vertical="center" wrapText="1"/>
    </xf>
    <xf numFmtId="0" fontId="0" fillId="0" borderId="25" xfId="0" applyBorder="1"/>
    <xf numFmtId="0" fontId="0" fillId="0" borderId="27" xfId="0" applyBorder="1"/>
    <xf numFmtId="0" fontId="2" fillId="0" borderId="2" xfId="0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164" fontId="0" fillId="0" borderId="8" xfId="2" applyNumberFormat="1" applyFont="1" applyBorder="1" applyAlignment="1">
      <alignment vertical="center" wrapText="1"/>
    </xf>
    <xf numFmtId="164" fontId="0" fillId="0" borderId="11" xfId="2" applyNumberFormat="1" applyFont="1" applyBorder="1"/>
    <xf numFmtId="0" fontId="2" fillId="0" borderId="4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9" fontId="0" fillId="0" borderId="8" xfId="3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4" fontId="0" fillId="0" borderId="8" xfId="2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2" applyNumberFormat="1" applyFont="1" applyBorder="1" applyAlignment="1">
      <alignment horizontal="center" vertical="center" wrapText="1"/>
    </xf>
    <xf numFmtId="9" fontId="0" fillId="0" borderId="11" xfId="3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64" fontId="0" fillId="0" borderId="11" xfId="2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10" xfId="2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9" fontId="0" fillId="0" borderId="16" xfId="3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9" fontId="0" fillId="0" borderId="60" xfId="0" applyNumberFormat="1" applyBorder="1" applyAlignment="1">
      <alignment horizontal="center" vertical="center" wrapText="1"/>
    </xf>
    <xf numFmtId="9" fontId="0" fillId="0" borderId="6" xfId="3" applyFont="1" applyBorder="1" applyAlignment="1">
      <alignment horizontal="center" vertical="center" wrapText="1"/>
    </xf>
    <xf numFmtId="0" fontId="0" fillId="2" borderId="6" xfId="3" applyNumberFormat="1" applyFont="1" applyFill="1" applyBorder="1" applyAlignment="1">
      <alignment horizontal="center" vertical="center" wrapText="1"/>
    </xf>
    <xf numFmtId="0" fontId="0" fillId="2" borderId="8" xfId="3" applyNumberFormat="1" applyFont="1" applyFill="1" applyBorder="1" applyAlignment="1">
      <alignment horizontal="center" vertical="center" wrapText="1"/>
    </xf>
    <xf numFmtId="0" fontId="0" fillId="0" borderId="8" xfId="3" applyNumberFormat="1" applyFont="1" applyBorder="1" applyAlignment="1">
      <alignment horizontal="center" vertical="center" wrapText="1"/>
    </xf>
    <xf numFmtId="0" fontId="0" fillId="0" borderId="11" xfId="3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 indent="4"/>
    </xf>
    <xf numFmtId="0" fontId="2" fillId="0" borderId="13" xfId="0" applyFont="1" applyBorder="1" applyAlignment="1">
      <alignment horizontal="left" vertical="center" indent="4"/>
    </xf>
    <xf numFmtId="0" fontId="2" fillId="0" borderId="14" xfId="0" applyFont="1" applyBorder="1" applyAlignment="1">
      <alignment horizontal="left" vertical="center" indent="4"/>
    </xf>
    <xf numFmtId="0" fontId="2" fillId="0" borderId="15" xfId="0" applyFont="1" applyBorder="1" applyAlignment="1">
      <alignment horizontal="left" vertical="center" indent="4"/>
    </xf>
    <xf numFmtId="0" fontId="2" fillId="0" borderId="0" xfId="0" applyFont="1" applyAlignment="1">
      <alignment horizontal="left" vertical="center" indent="4"/>
    </xf>
    <xf numFmtId="0" fontId="2" fillId="0" borderId="16" xfId="0" applyFont="1" applyBorder="1" applyAlignment="1">
      <alignment horizontal="left" vertical="center" indent="4"/>
    </xf>
    <xf numFmtId="0" fontId="2" fillId="0" borderId="17" xfId="0" applyFont="1" applyBorder="1" applyAlignment="1">
      <alignment horizontal="left" vertical="center" indent="4"/>
    </xf>
    <xf numFmtId="0" fontId="2" fillId="0" borderId="18" xfId="0" applyFont="1" applyBorder="1" applyAlignment="1">
      <alignment horizontal="left" vertical="center" indent="4"/>
    </xf>
    <xf numFmtId="0" fontId="2" fillId="0" borderId="19" xfId="0" applyFont="1" applyBorder="1" applyAlignment="1">
      <alignment horizontal="left" vertical="center" indent="4"/>
    </xf>
    <xf numFmtId="0" fontId="2" fillId="0" borderId="12" xfId="0" applyFont="1" applyBorder="1" applyAlignment="1">
      <alignment horizontal="left" vertical="center" wrapText="1" indent="5"/>
    </xf>
    <xf numFmtId="0" fontId="2" fillId="0" borderId="13" xfId="0" applyFont="1" applyBorder="1" applyAlignment="1">
      <alignment horizontal="left" vertical="center" indent="5"/>
    </xf>
    <xf numFmtId="0" fontId="2" fillId="0" borderId="14" xfId="0" applyFont="1" applyBorder="1" applyAlignment="1">
      <alignment horizontal="left" vertical="center" indent="5"/>
    </xf>
    <xf numFmtId="0" fontId="2" fillId="0" borderId="15" xfId="0" applyFont="1" applyBorder="1" applyAlignment="1">
      <alignment horizontal="left" vertical="center" indent="5"/>
    </xf>
    <xf numFmtId="0" fontId="2" fillId="0" borderId="0" xfId="0" applyFont="1" applyAlignment="1">
      <alignment horizontal="left" vertical="center" indent="5"/>
    </xf>
    <xf numFmtId="0" fontId="2" fillId="0" borderId="16" xfId="0" applyFont="1" applyBorder="1" applyAlignment="1">
      <alignment horizontal="left" vertical="center" indent="5"/>
    </xf>
    <xf numFmtId="0" fontId="2" fillId="0" borderId="17" xfId="0" applyFont="1" applyBorder="1" applyAlignment="1">
      <alignment horizontal="left" vertical="center" indent="5"/>
    </xf>
    <xf numFmtId="0" fontId="2" fillId="0" borderId="18" xfId="0" applyFont="1" applyBorder="1" applyAlignment="1">
      <alignment horizontal="left" vertical="center" indent="5"/>
    </xf>
    <xf numFmtId="0" fontId="2" fillId="0" borderId="19" xfId="0" applyFont="1" applyBorder="1" applyAlignment="1">
      <alignment horizontal="left" vertical="center" indent="5"/>
    </xf>
    <xf numFmtId="0" fontId="2" fillId="0" borderId="32" xfId="0" applyFont="1" applyBorder="1" applyAlignment="1">
      <alignment horizontal="left" vertical="center" wrapText="1" indent="4"/>
    </xf>
    <xf numFmtId="0" fontId="2" fillId="0" borderId="33" xfId="0" applyFont="1" applyBorder="1" applyAlignment="1">
      <alignment horizontal="left" vertical="center" indent="4"/>
    </xf>
    <xf numFmtId="0" fontId="2" fillId="0" borderId="34" xfId="0" applyFont="1" applyBorder="1" applyAlignment="1">
      <alignment horizontal="left" vertical="center" indent="4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 indent="6"/>
    </xf>
    <xf numFmtId="0" fontId="2" fillId="0" borderId="13" xfId="0" applyFont="1" applyBorder="1" applyAlignment="1">
      <alignment horizontal="left" vertical="center" wrapText="1" indent="6"/>
    </xf>
    <xf numFmtId="0" fontId="2" fillId="0" borderId="14" xfId="0" applyFont="1" applyBorder="1" applyAlignment="1">
      <alignment horizontal="left" vertical="center" wrapText="1" indent="6"/>
    </xf>
    <xf numFmtId="0" fontId="2" fillId="0" borderId="15" xfId="0" applyFont="1" applyBorder="1" applyAlignment="1">
      <alignment horizontal="left" vertical="center" wrapText="1" indent="6"/>
    </xf>
    <xf numFmtId="0" fontId="2" fillId="0" borderId="0" xfId="0" applyFont="1" applyAlignment="1">
      <alignment horizontal="left" vertical="center" wrapText="1" indent="6"/>
    </xf>
    <xf numFmtId="0" fontId="2" fillId="0" borderId="16" xfId="0" applyFont="1" applyBorder="1" applyAlignment="1">
      <alignment horizontal="left" vertical="center" wrapText="1" indent="6"/>
    </xf>
    <xf numFmtId="0" fontId="2" fillId="0" borderId="17" xfId="0" applyFont="1" applyBorder="1" applyAlignment="1">
      <alignment horizontal="left" vertical="center" wrapText="1" indent="6"/>
    </xf>
    <xf numFmtId="0" fontId="2" fillId="0" borderId="18" xfId="0" applyFont="1" applyBorder="1" applyAlignment="1">
      <alignment horizontal="left" vertical="center" wrapText="1" indent="6"/>
    </xf>
    <xf numFmtId="0" fontId="2" fillId="0" borderId="19" xfId="0" applyFont="1" applyBorder="1" applyAlignment="1">
      <alignment horizontal="left" vertical="center" wrapText="1" indent="6"/>
    </xf>
    <xf numFmtId="44" fontId="2" fillId="0" borderId="13" xfId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4" fontId="2" fillId="0" borderId="32" xfId="1" applyFont="1" applyBorder="1" applyAlignment="1">
      <alignment horizontal="center" vertical="center"/>
    </xf>
    <xf numFmtId="44" fontId="2" fillId="0" borderId="33" xfId="1" applyFont="1" applyBorder="1" applyAlignment="1">
      <alignment horizontal="center" vertical="center"/>
    </xf>
    <xf numFmtId="44" fontId="2" fillId="0" borderId="34" xfId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 indent="5"/>
    </xf>
    <xf numFmtId="0" fontId="2" fillId="0" borderId="13" xfId="0" applyFont="1" applyBorder="1" applyAlignment="1">
      <alignment horizontal="left" vertical="top" wrapText="1" indent="5"/>
    </xf>
    <xf numFmtId="0" fontId="2" fillId="0" borderId="14" xfId="0" applyFont="1" applyBorder="1" applyAlignment="1">
      <alignment horizontal="left" vertical="top" wrapText="1" indent="5"/>
    </xf>
    <xf numFmtId="0" fontId="2" fillId="0" borderId="15" xfId="0" applyFont="1" applyBorder="1" applyAlignment="1">
      <alignment horizontal="left" vertical="top" wrapText="1" indent="5"/>
    </xf>
    <xf numFmtId="0" fontId="2" fillId="0" borderId="0" xfId="0" applyFont="1" applyAlignment="1">
      <alignment horizontal="left" vertical="top" wrapText="1" indent="5"/>
    </xf>
    <xf numFmtId="0" fontId="2" fillId="0" borderId="16" xfId="0" applyFont="1" applyBorder="1" applyAlignment="1">
      <alignment horizontal="left" vertical="top" wrapText="1" indent="5"/>
    </xf>
    <xf numFmtId="0" fontId="2" fillId="0" borderId="17" xfId="0" applyFont="1" applyBorder="1" applyAlignment="1">
      <alignment horizontal="left" vertical="top" wrapText="1" indent="5"/>
    </xf>
    <xf numFmtId="0" fontId="2" fillId="0" borderId="18" xfId="0" applyFont="1" applyBorder="1" applyAlignment="1">
      <alignment horizontal="left" vertical="top" wrapText="1" indent="5"/>
    </xf>
    <xf numFmtId="0" fontId="2" fillId="0" borderId="19" xfId="0" applyFont="1" applyBorder="1" applyAlignment="1">
      <alignment horizontal="left" vertical="top" wrapText="1" indent="5"/>
    </xf>
    <xf numFmtId="44" fontId="2" fillId="0" borderId="56" xfId="1" applyFont="1" applyBorder="1" applyAlignment="1">
      <alignment horizontal="center" vertical="center"/>
    </xf>
    <xf numFmtId="44" fontId="2" fillId="0" borderId="57" xfId="1" applyFont="1" applyBorder="1" applyAlignment="1">
      <alignment horizontal="center" vertical="center"/>
    </xf>
    <xf numFmtId="44" fontId="2" fillId="0" borderId="58" xfId="1" applyFont="1" applyBorder="1" applyAlignment="1">
      <alignment horizontal="center" vertical="center"/>
    </xf>
    <xf numFmtId="44" fontId="2" fillId="0" borderId="36" xfId="1" applyFont="1" applyBorder="1" applyAlignment="1">
      <alignment horizontal="center" vertical="center"/>
    </xf>
    <xf numFmtId="0" fontId="2" fillId="0" borderId="30" xfId="0" applyFont="1" applyBorder="1" applyAlignment="1">
      <alignment horizontal="center" wrapText="1"/>
    </xf>
    <xf numFmtId="0" fontId="2" fillId="0" borderId="44" xfId="0" applyFont="1" applyBorder="1" applyAlignment="1">
      <alignment horizontal="center" wrapText="1"/>
    </xf>
    <xf numFmtId="0" fontId="2" fillId="0" borderId="3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4" fontId="2" fillId="0" borderId="41" xfId="1" applyFont="1" applyBorder="1" applyAlignment="1">
      <alignment horizontal="center" vertical="center"/>
    </xf>
    <xf numFmtId="44" fontId="2" fillId="0" borderId="42" xfId="1" applyFont="1" applyBorder="1" applyAlignment="1">
      <alignment horizontal="center" vertical="center"/>
    </xf>
    <xf numFmtId="44" fontId="2" fillId="0" borderId="43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2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6" xfId="0" applyFont="1" applyBorder="1" applyAlignment="1">
      <alignment horizontal="center" vertical="top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5B3F-1467-4A49-86A1-6C4311BE4113}">
  <dimension ref="A1:K67"/>
  <sheetViews>
    <sheetView showGridLines="0" tabSelected="1" topLeftCell="A61" workbookViewId="0">
      <selection sqref="A1:J67"/>
    </sheetView>
  </sheetViews>
  <sheetFormatPr defaultRowHeight="14.4" outlineLevelCol="1" x14ac:dyDescent="0.3"/>
  <cols>
    <col min="1" max="1" width="8.88671875" style="57"/>
    <col min="2" max="2" width="15" style="57" customWidth="1"/>
    <col min="3" max="3" width="14.88671875" style="57" bestFit="1" customWidth="1"/>
    <col min="4" max="4" width="14.88671875" style="57" customWidth="1"/>
    <col min="5" max="5" width="34.5546875" style="57" customWidth="1"/>
    <col min="6" max="7" width="8.88671875" style="57"/>
    <col min="8" max="8" width="30.88671875" style="57" hidden="1" customWidth="1" outlineLevel="1"/>
    <col min="9" max="9" width="30.6640625" style="57" hidden="1" customWidth="1" outlineLevel="1"/>
    <col min="10" max="10" width="22.5546875" style="57" hidden="1" customWidth="1" outlineLevel="1"/>
    <col min="11" max="11" width="8.88671875" style="57" collapsed="1"/>
    <col min="12" max="16384" width="8.88671875" style="57"/>
  </cols>
  <sheetData>
    <row r="1" spans="1:10" ht="15" thickBot="1" x14ac:dyDescent="0.35">
      <c r="A1" s="69" t="s">
        <v>93</v>
      </c>
      <c r="B1" s="145" t="s">
        <v>12</v>
      </c>
      <c r="C1" s="145"/>
      <c r="D1" s="145"/>
      <c r="E1" s="166" t="s">
        <v>9</v>
      </c>
      <c r="F1" s="167"/>
      <c r="G1" s="168"/>
      <c r="H1" s="94" t="s">
        <v>94</v>
      </c>
      <c r="I1" s="95"/>
      <c r="J1" s="96"/>
    </row>
    <row r="2" spans="1:10" ht="15" customHeight="1" thickBot="1" x14ac:dyDescent="0.35">
      <c r="A2" s="154" t="s">
        <v>7</v>
      </c>
      <c r="B2" s="155"/>
      <c r="C2" s="155"/>
      <c r="D2" s="155"/>
      <c r="E2" s="155"/>
      <c r="F2" s="155"/>
      <c r="G2" s="155"/>
      <c r="H2" s="155"/>
      <c r="I2" s="155"/>
      <c r="J2" s="156"/>
    </row>
    <row r="3" spans="1:10" ht="57.6" customHeight="1" thickBot="1" x14ac:dyDescent="0.35">
      <c r="A3" s="127">
        <v>1</v>
      </c>
      <c r="B3" s="154" t="s">
        <v>8</v>
      </c>
      <c r="C3" s="155"/>
      <c r="D3" s="156"/>
      <c r="E3" s="146" t="s">
        <v>105</v>
      </c>
      <c r="F3" s="146"/>
      <c r="G3" s="147"/>
      <c r="H3" s="136" t="s">
        <v>103</v>
      </c>
      <c r="I3" s="137"/>
      <c r="J3" s="138"/>
    </row>
    <row r="4" spans="1:10" ht="15" thickBot="1" x14ac:dyDescent="0.35">
      <c r="A4" s="135"/>
      <c r="B4" s="77" t="s">
        <v>5</v>
      </c>
      <c r="C4" s="78" t="s">
        <v>6</v>
      </c>
      <c r="D4" s="79" t="s">
        <v>83</v>
      </c>
      <c r="E4" s="125"/>
      <c r="F4" s="125"/>
      <c r="G4" s="126"/>
      <c r="H4" s="139"/>
      <c r="I4" s="140"/>
      <c r="J4" s="141"/>
    </row>
    <row r="5" spans="1:10" x14ac:dyDescent="0.3">
      <c r="A5" s="135"/>
      <c r="B5" s="82" t="s">
        <v>0</v>
      </c>
      <c r="C5" s="83">
        <v>16</v>
      </c>
      <c r="D5" s="90">
        <v>16</v>
      </c>
      <c r="E5" s="125"/>
      <c r="F5" s="125"/>
      <c r="G5" s="126"/>
      <c r="H5" s="139"/>
      <c r="I5" s="140"/>
      <c r="J5" s="141"/>
    </row>
    <row r="6" spans="1:10" x14ac:dyDescent="0.3">
      <c r="A6" s="135"/>
      <c r="B6" s="84" t="s">
        <v>1</v>
      </c>
      <c r="C6" s="85">
        <v>15</v>
      </c>
      <c r="D6" s="91">
        <v>15</v>
      </c>
      <c r="E6" s="125"/>
      <c r="F6" s="125"/>
      <c r="G6" s="126"/>
      <c r="H6" s="139"/>
      <c r="I6" s="140"/>
      <c r="J6" s="141"/>
    </row>
    <row r="7" spans="1:10" x14ac:dyDescent="0.3">
      <c r="A7" s="135"/>
      <c r="B7" s="84" t="s">
        <v>2</v>
      </c>
      <c r="C7" s="85">
        <v>11</v>
      </c>
      <c r="D7" s="91">
        <v>11</v>
      </c>
      <c r="E7" s="125"/>
      <c r="F7" s="125"/>
      <c r="G7" s="126"/>
      <c r="H7" s="139"/>
      <c r="I7" s="140"/>
      <c r="J7" s="141"/>
    </row>
    <row r="8" spans="1:10" x14ac:dyDescent="0.3">
      <c r="A8" s="135"/>
      <c r="B8" s="84" t="s">
        <v>3</v>
      </c>
      <c r="C8" s="85">
        <v>10</v>
      </c>
      <c r="D8" s="91">
        <v>10</v>
      </c>
      <c r="E8" s="125"/>
      <c r="F8" s="125"/>
      <c r="G8" s="126"/>
      <c r="H8" s="139"/>
      <c r="I8" s="140"/>
      <c r="J8" s="141"/>
    </row>
    <row r="9" spans="1:10" x14ac:dyDescent="0.3">
      <c r="A9" s="135"/>
      <c r="B9" s="84" t="s">
        <v>4</v>
      </c>
      <c r="C9" s="85">
        <v>10</v>
      </c>
      <c r="D9" s="91">
        <v>10</v>
      </c>
      <c r="E9" s="125"/>
      <c r="F9" s="125"/>
      <c r="G9" s="126"/>
      <c r="H9" s="139"/>
      <c r="I9" s="140"/>
      <c r="J9" s="141"/>
    </row>
    <row r="10" spans="1:10" hidden="1" x14ac:dyDescent="0.3">
      <c r="A10" s="135"/>
      <c r="B10" s="48" t="s">
        <v>98</v>
      </c>
      <c r="C10" s="45">
        <v>9</v>
      </c>
      <c r="D10" s="92">
        <v>9</v>
      </c>
      <c r="E10" s="125"/>
      <c r="F10" s="125"/>
      <c r="G10" s="126"/>
      <c r="H10" s="139"/>
      <c r="I10" s="140"/>
      <c r="J10" s="141"/>
    </row>
    <row r="11" spans="1:10" hidden="1" x14ac:dyDescent="0.3">
      <c r="A11" s="135"/>
      <c r="B11" s="48" t="s">
        <v>99</v>
      </c>
      <c r="C11" s="45">
        <v>8</v>
      </c>
      <c r="D11" s="92">
        <v>8</v>
      </c>
      <c r="E11" s="125"/>
      <c r="F11" s="125"/>
      <c r="G11" s="126"/>
      <c r="H11" s="139"/>
      <c r="I11" s="140"/>
      <c r="J11" s="141"/>
    </row>
    <row r="12" spans="1:10" hidden="1" x14ac:dyDescent="0.3">
      <c r="A12" s="135"/>
      <c r="B12" s="48" t="s">
        <v>100</v>
      </c>
      <c r="C12" s="45">
        <v>8</v>
      </c>
      <c r="D12" s="92">
        <v>8</v>
      </c>
      <c r="E12" s="125"/>
      <c r="F12" s="125"/>
      <c r="G12" s="126"/>
      <c r="H12" s="139"/>
      <c r="I12" s="140"/>
      <c r="J12" s="141"/>
    </row>
    <row r="13" spans="1:10" hidden="1" x14ac:dyDescent="0.3">
      <c r="A13" s="135"/>
      <c r="B13" s="48" t="s">
        <v>101</v>
      </c>
      <c r="C13" s="45">
        <v>8</v>
      </c>
      <c r="D13" s="92">
        <v>8</v>
      </c>
      <c r="E13" s="125"/>
      <c r="F13" s="125"/>
      <c r="G13" s="126"/>
      <c r="H13" s="139"/>
      <c r="I13" s="140"/>
      <c r="J13" s="141"/>
    </row>
    <row r="14" spans="1:10" ht="15" hidden="1" thickBot="1" x14ac:dyDescent="0.35">
      <c r="A14" s="135"/>
      <c r="B14" s="50" t="s">
        <v>102</v>
      </c>
      <c r="C14" s="46">
        <v>5</v>
      </c>
      <c r="D14" s="93">
        <v>5</v>
      </c>
      <c r="E14" s="125"/>
      <c r="F14" s="125"/>
      <c r="G14" s="126"/>
      <c r="H14" s="139"/>
      <c r="I14" s="140"/>
      <c r="J14" s="141"/>
    </row>
    <row r="15" spans="1:10" ht="46.8" customHeight="1" thickBot="1" x14ac:dyDescent="0.35">
      <c r="A15" s="135"/>
      <c r="B15" s="74" t="s">
        <v>13</v>
      </c>
      <c r="C15" s="75">
        <v>100</v>
      </c>
      <c r="D15" s="76">
        <f t="shared" ref="D15" si="0">C15/$C$15</f>
        <v>1</v>
      </c>
      <c r="E15" s="125"/>
      <c r="F15" s="125"/>
      <c r="G15" s="126"/>
      <c r="H15" s="142"/>
      <c r="I15" s="143"/>
      <c r="J15" s="144"/>
    </row>
    <row r="16" spans="1:10" ht="15" thickBot="1" x14ac:dyDescent="0.35">
      <c r="A16" s="151" t="s">
        <v>14</v>
      </c>
      <c r="B16" s="152"/>
      <c r="C16" s="152"/>
      <c r="D16" s="152"/>
      <c r="E16" s="152"/>
      <c r="F16" s="152"/>
      <c r="G16" s="152"/>
      <c r="H16" s="152"/>
      <c r="I16" s="152"/>
      <c r="J16" s="153"/>
    </row>
    <row r="17" spans="1:10" ht="97.2" customHeight="1" thickBot="1" x14ac:dyDescent="0.35">
      <c r="A17" s="133">
        <v>2</v>
      </c>
      <c r="B17" s="124" t="s">
        <v>15</v>
      </c>
      <c r="C17" s="125"/>
      <c r="D17" s="126"/>
      <c r="E17" s="125" t="s">
        <v>106</v>
      </c>
      <c r="F17" s="125"/>
      <c r="G17" s="126"/>
      <c r="H17" s="157" t="s">
        <v>104</v>
      </c>
      <c r="I17" s="158"/>
      <c r="J17" s="159"/>
    </row>
    <row r="18" spans="1:10" ht="15" thickBot="1" x14ac:dyDescent="0.35">
      <c r="A18" s="133"/>
      <c r="B18" s="86" t="s">
        <v>20</v>
      </c>
      <c r="C18" s="60" t="s">
        <v>21</v>
      </c>
      <c r="D18" s="61" t="s">
        <v>83</v>
      </c>
      <c r="E18" s="125"/>
      <c r="F18" s="125"/>
      <c r="G18" s="126"/>
      <c r="H18" s="160"/>
      <c r="I18" s="161"/>
      <c r="J18" s="162"/>
    </row>
    <row r="19" spans="1:10" ht="101.4" customHeight="1" x14ac:dyDescent="0.3">
      <c r="A19" s="135"/>
      <c r="B19" s="80" t="s">
        <v>16</v>
      </c>
      <c r="C19" s="81">
        <v>151</v>
      </c>
      <c r="D19" s="89">
        <f>C19/$C$22</f>
        <v>0.14617618586640851</v>
      </c>
      <c r="E19" s="125"/>
      <c r="F19" s="125"/>
      <c r="G19" s="126"/>
      <c r="H19" s="160"/>
      <c r="I19" s="161"/>
      <c r="J19" s="162"/>
    </row>
    <row r="20" spans="1:10" ht="28.8" x14ac:dyDescent="0.3">
      <c r="A20" s="135"/>
      <c r="B20" s="48" t="s">
        <v>17</v>
      </c>
      <c r="C20" s="45">
        <v>135</v>
      </c>
      <c r="D20" s="44">
        <f t="shared" ref="D20:D21" si="1">C20/$C$22</f>
        <v>0.13068731848983542</v>
      </c>
      <c r="E20" s="125"/>
      <c r="F20" s="125"/>
      <c r="G20" s="126"/>
      <c r="H20" s="160"/>
      <c r="I20" s="161"/>
      <c r="J20" s="162"/>
    </row>
    <row r="21" spans="1:10" ht="43.8" thickBot="1" x14ac:dyDescent="0.35">
      <c r="A21" s="135"/>
      <c r="B21" s="50" t="s">
        <v>18</v>
      </c>
      <c r="C21" s="46">
        <v>134</v>
      </c>
      <c r="D21" s="53">
        <f t="shared" si="1"/>
        <v>0.12971926427879962</v>
      </c>
      <c r="E21" s="125"/>
      <c r="F21" s="125"/>
      <c r="G21" s="126"/>
      <c r="H21" s="160"/>
      <c r="I21" s="161"/>
      <c r="J21" s="162"/>
    </row>
    <row r="22" spans="1:10" ht="74.400000000000006" customHeight="1" thickBot="1" x14ac:dyDescent="0.35">
      <c r="A22" s="133"/>
      <c r="B22" s="74" t="s">
        <v>13</v>
      </c>
      <c r="C22" s="87">
        <v>1033</v>
      </c>
      <c r="D22" s="88">
        <f>SUM(D19:D21)</f>
        <v>0.40658276863504361</v>
      </c>
      <c r="E22" s="125"/>
      <c r="F22" s="125"/>
      <c r="G22" s="126"/>
      <c r="H22" s="163"/>
      <c r="I22" s="164"/>
      <c r="J22" s="165"/>
    </row>
    <row r="23" spans="1:10" ht="15" thickBot="1" x14ac:dyDescent="0.35">
      <c r="A23" s="94" t="s">
        <v>24</v>
      </c>
      <c r="B23" s="95"/>
      <c r="C23" s="95"/>
      <c r="D23" s="95"/>
      <c r="E23" s="95"/>
      <c r="F23" s="95"/>
      <c r="G23" s="95"/>
      <c r="H23" s="95"/>
      <c r="I23" s="95"/>
      <c r="J23" s="96"/>
    </row>
    <row r="24" spans="1:10" x14ac:dyDescent="0.3">
      <c r="A24" s="135">
        <v>3</v>
      </c>
      <c r="B24" s="70" t="s">
        <v>22</v>
      </c>
      <c r="C24" s="68" t="s">
        <v>23</v>
      </c>
      <c r="D24" s="124" t="s">
        <v>25</v>
      </c>
      <c r="E24" s="125"/>
      <c r="F24" s="125"/>
      <c r="G24" s="126"/>
      <c r="H24" s="106" t="s">
        <v>38</v>
      </c>
      <c r="I24" s="107"/>
      <c r="J24" s="108"/>
    </row>
    <row r="25" spans="1:10" x14ac:dyDescent="0.3">
      <c r="A25" s="135"/>
      <c r="B25" s="43" t="s">
        <v>26</v>
      </c>
      <c r="C25" s="47">
        <v>1555000</v>
      </c>
      <c r="D25" s="124"/>
      <c r="E25" s="125"/>
      <c r="F25" s="125"/>
      <c r="G25" s="126"/>
      <c r="H25" s="109"/>
      <c r="I25" s="110"/>
      <c r="J25" s="111"/>
    </row>
    <row r="26" spans="1:10" x14ac:dyDescent="0.3">
      <c r="A26" s="135"/>
      <c r="B26" s="43" t="s">
        <v>27</v>
      </c>
      <c r="C26" s="47">
        <v>396000</v>
      </c>
      <c r="D26" s="124"/>
      <c r="E26" s="125"/>
      <c r="F26" s="125"/>
      <c r="G26" s="126"/>
      <c r="H26" s="109"/>
      <c r="I26" s="110"/>
      <c r="J26" s="111"/>
    </row>
    <row r="27" spans="1:10" x14ac:dyDescent="0.3">
      <c r="A27" s="135"/>
      <c r="B27" s="43" t="s">
        <v>28</v>
      </c>
      <c r="C27" s="47">
        <v>789000</v>
      </c>
      <c r="D27" s="124"/>
      <c r="E27" s="125"/>
      <c r="F27" s="125"/>
      <c r="G27" s="126"/>
      <c r="H27" s="109"/>
      <c r="I27" s="110"/>
      <c r="J27" s="111"/>
    </row>
    <row r="28" spans="1:10" x14ac:dyDescent="0.3">
      <c r="A28" s="135"/>
      <c r="B28" s="43" t="s">
        <v>29</v>
      </c>
      <c r="C28" s="47">
        <v>1704000</v>
      </c>
      <c r="D28" s="124"/>
      <c r="E28" s="125"/>
      <c r="F28" s="125"/>
      <c r="G28" s="126"/>
      <c r="H28" s="109"/>
      <c r="I28" s="110"/>
      <c r="J28" s="111"/>
    </row>
    <row r="29" spans="1:10" x14ac:dyDescent="0.3">
      <c r="A29" s="135"/>
      <c r="B29" s="43" t="s">
        <v>30</v>
      </c>
      <c r="C29" s="47">
        <v>1582000</v>
      </c>
      <c r="D29" s="124"/>
      <c r="E29" s="125"/>
      <c r="F29" s="125"/>
      <c r="G29" s="126"/>
      <c r="H29" s="109"/>
      <c r="I29" s="110"/>
      <c r="J29" s="111"/>
    </row>
    <row r="30" spans="1:10" x14ac:dyDescent="0.3">
      <c r="A30" s="135"/>
      <c r="B30" s="43" t="s">
        <v>31</v>
      </c>
      <c r="C30" s="47">
        <v>1040000</v>
      </c>
      <c r="D30" s="124"/>
      <c r="E30" s="125"/>
      <c r="F30" s="125"/>
      <c r="G30" s="126"/>
      <c r="H30" s="109"/>
      <c r="I30" s="110"/>
      <c r="J30" s="111"/>
    </row>
    <row r="31" spans="1:10" x14ac:dyDescent="0.3">
      <c r="A31" s="135"/>
      <c r="B31" s="43" t="s">
        <v>32</v>
      </c>
      <c r="C31" s="47">
        <v>2568000</v>
      </c>
      <c r="D31" s="124"/>
      <c r="E31" s="125"/>
      <c r="F31" s="125"/>
      <c r="G31" s="126"/>
      <c r="H31" s="109"/>
      <c r="I31" s="110"/>
      <c r="J31" s="111"/>
    </row>
    <row r="32" spans="1:10" x14ac:dyDescent="0.3">
      <c r="A32" s="135"/>
      <c r="B32" s="43" t="s">
        <v>33</v>
      </c>
      <c r="C32" s="47">
        <v>1800000</v>
      </c>
      <c r="D32" s="124"/>
      <c r="E32" s="125"/>
      <c r="F32" s="125"/>
      <c r="G32" s="126"/>
      <c r="H32" s="109"/>
      <c r="I32" s="110"/>
      <c r="J32" s="111"/>
    </row>
    <row r="33" spans="1:10" x14ac:dyDescent="0.3">
      <c r="A33" s="135"/>
      <c r="B33" s="43" t="s">
        <v>34</v>
      </c>
      <c r="C33" s="47">
        <v>2927000</v>
      </c>
      <c r="D33" s="124"/>
      <c r="E33" s="125"/>
      <c r="F33" s="125"/>
      <c r="G33" s="126"/>
      <c r="H33" s="109"/>
      <c r="I33" s="110"/>
      <c r="J33" s="111"/>
    </row>
    <row r="34" spans="1:10" x14ac:dyDescent="0.3">
      <c r="A34" s="135"/>
      <c r="B34" s="43" t="s">
        <v>35</v>
      </c>
      <c r="C34" s="47">
        <v>1497000</v>
      </c>
      <c r="D34" s="124"/>
      <c r="E34" s="125"/>
      <c r="F34" s="125"/>
      <c r="G34" s="126"/>
      <c r="H34" s="109"/>
      <c r="I34" s="110"/>
      <c r="J34" s="111"/>
    </row>
    <row r="35" spans="1:10" x14ac:dyDescent="0.3">
      <c r="A35" s="135"/>
      <c r="B35" s="43" t="s">
        <v>36</v>
      </c>
      <c r="C35" s="47">
        <v>1151000</v>
      </c>
      <c r="D35" s="124"/>
      <c r="E35" s="125"/>
      <c r="F35" s="125"/>
      <c r="G35" s="126"/>
      <c r="H35" s="109"/>
      <c r="I35" s="110"/>
      <c r="J35" s="111"/>
    </row>
    <row r="36" spans="1:10" x14ac:dyDescent="0.3">
      <c r="A36" s="135"/>
      <c r="B36" s="43" t="s">
        <v>37</v>
      </c>
      <c r="C36" s="47">
        <v>2774000</v>
      </c>
      <c r="D36" s="124"/>
      <c r="E36" s="125"/>
      <c r="F36" s="125"/>
      <c r="G36" s="126"/>
      <c r="H36" s="109"/>
      <c r="I36" s="110"/>
      <c r="J36" s="111"/>
    </row>
    <row r="37" spans="1:10" ht="15" thickBot="1" x14ac:dyDescent="0.35">
      <c r="A37" s="129"/>
      <c r="B37" s="62" t="s">
        <v>13</v>
      </c>
      <c r="C37" s="63">
        <f>SUM(C25:C36)</f>
        <v>19783000</v>
      </c>
      <c r="D37" s="118"/>
      <c r="E37" s="119"/>
      <c r="F37" s="119"/>
      <c r="G37" s="120"/>
      <c r="H37" s="112"/>
      <c r="I37" s="113"/>
      <c r="J37" s="114"/>
    </row>
    <row r="38" spans="1:10" ht="15" thickBot="1" x14ac:dyDescent="0.35">
      <c r="A38" s="94" t="s">
        <v>39</v>
      </c>
      <c r="B38" s="95"/>
      <c r="C38" s="95"/>
      <c r="D38" s="95"/>
      <c r="E38" s="95"/>
      <c r="F38" s="95"/>
      <c r="G38" s="95"/>
      <c r="H38" s="95"/>
      <c r="I38" s="95"/>
      <c r="J38" s="96"/>
    </row>
    <row r="39" spans="1:10" ht="15" customHeight="1" x14ac:dyDescent="0.3">
      <c r="A39" s="135">
        <v>4</v>
      </c>
      <c r="B39" s="71" t="s">
        <v>87</v>
      </c>
      <c r="C39" s="59" t="s">
        <v>88</v>
      </c>
      <c r="D39" s="72" t="s">
        <v>89</v>
      </c>
      <c r="E39" s="125" t="s">
        <v>91</v>
      </c>
      <c r="F39" s="125"/>
      <c r="G39" s="126"/>
      <c r="H39" s="106" t="s">
        <v>96</v>
      </c>
      <c r="I39" s="107"/>
      <c r="J39" s="108"/>
    </row>
    <row r="40" spans="1:10" ht="94.8" customHeight="1" x14ac:dyDescent="0.3">
      <c r="A40" s="135"/>
      <c r="B40" s="48" t="s">
        <v>84</v>
      </c>
      <c r="C40" s="45">
        <v>52</v>
      </c>
      <c r="D40" s="44">
        <f>C40/$C$44</f>
        <v>0.61904761904761907</v>
      </c>
      <c r="E40" s="125"/>
      <c r="F40" s="125"/>
      <c r="G40" s="126"/>
      <c r="H40" s="109"/>
      <c r="I40" s="110"/>
      <c r="J40" s="111"/>
    </row>
    <row r="41" spans="1:10" x14ac:dyDescent="0.3">
      <c r="A41" s="135"/>
      <c r="B41" s="48" t="s">
        <v>85</v>
      </c>
      <c r="C41" s="45">
        <v>24</v>
      </c>
      <c r="D41" s="44">
        <f t="shared" ref="D41:D44" si="2">C41/$C$44</f>
        <v>0.2857142857142857</v>
      </c>
      <c r="E41" s="125"/>
      <c r="F41" s="125"/>
      <c r="G41" s="126"/>
      <c r="H41" s="109"/>
      <c r="I41" s="110"/>
      <c r="J41" s="111"/>
    </row>
    <row r="42" spans="1:10" ht="121.2" customHeight="1" x14ac:dyDescent="0.3">
      <c r="A42" s="135"/>
      <c r="B42" s="48" t="s">
        <v>86</v>
      </c>
      <c r="C42" s="45">
        <v>8</v>
      </c>
      <c r="D42" s="44">
        <f t="shared" si="2"/>
        <v>9.5238095238095233E-2</v>
      </c>
      <c r="E42" s="125"/>
      <c r="F42" s="125"/>
      <c r="G42" s="126"/>
      <c r="H42" s="109"/>
      <c r="I42" s="110"/>
      <c r="J42" s="111"/>
    </row>
    <row r="43" spans="1:10" ht="59.4" customHeight="1" x14ac:dyDescent="0.3">
      <c r="A43" s="135"/>
      <c r="B43" s="48" t="s">
        <v>90</v>
      </c>
      <c r="C43" s="45">
        <v>0</v>
      </c>
      <c r="D43" s="44">
        <f t="shared" si="2"/>
        <v>0</v>
      </c>
      <c r="E43" s="125"/>
      <c r="F43" s="125"/>
      <c r="G43" s="126"/>
      <c r="H43" s="109"/>
      <c r="I43" s="110"/>
      <c r="J43" s="111"/>
    </row>
    <row r="44" spans="1:10" ht="38.4" customHeight="1" x14ac:dyDescent="0.3">
      <c r="A44" s="135"/>
      <c r="B44" s="48" t="s">
        <v>13</v>
      </c>
      <c r="C44" s="45">
        <f>SUM(C40:C43)</f>
        <v>84</v>
      </c>
      <c r="D44" s="44">
        <f t="shared" si="2"/>
        <v>1</v>
      </c>
      <c r="E44" s="125"/>
      <c r="F44" s="125"/>
      <c r="G44" s="126"/>
      <c r="H44" s="109"/>
      <c r="I44" s="110"/>
      <c r="J44" s="111"/>
    </row>
    <row r="45" spans="1:10" x14ac:dyDescent="0.3">
      <c r="A45" s="135"/>
      <c r="B45" s="48"/>
      <c r="C45" s="45"/>
      <c r="D45" s="49"/>
      <c r="E45" s="125"/>
      <c r="F45" s="125"/>
      <c r="G45" s="126"/>
      <c r="H45" s="109"/>
      <c r="I45" s="110"/>
      <c r="J45" s="111"/>
    </row>
    <row r="46" spans="1:10" ht="15" thickBot="1" x14ac:dyDescent="0.35">
      <c r="A46" s="135"/>
      <c r="B46" s="50"/>
      <c r="C46" s="46"/>
      <c r="D46" s="51"/>
      <c r="E46" s="125"/>
      <c r="F46" s="125"/>
      <c r="G46" s="126"/>
      <c r="H46" s="112"/>
      <c r="I46" s="113"/>
      <c r="J46" s="114"/>
    </row>
    <row r="47" spans="1:10" ht="15" thickBot="1" x14ac:dyDescent="0.35">
      <c r="A47" s="94" t="s">
        <v>58</v>
      </c>
      <c r="B47" s="95"/>
      <c r="C47" s="95"/>
      <c r="D47" s="95"/>
      <c r="E47" s="95"/>
      <c r="F47" s="95"/>
      <c r="G47" s="95"/>
      <c r="H47" s="95"/>
      <c r="I47" s="95"/>
      <c r="J47" s="96"/>
    </row>
    <row r="48" spans="1:10" ht="14.4" customHeight="1" x14ac:dyDescent="0.3">
      <c r="A48" s="135">
        <v>5</v>
      </c>
      <c r="B48" s="58" t="s">
        <v>62</v>
      </c>
      <c r="C48" s="73" t="s">
        <v>63</v>
      </c>
      <c r="D48" s="42" t="s">
        <v>83</v>
      </c>
      <c r="E48" s="124" t="s">
        <v>72</v>
      </c>
      <c r="F48" s="148"/>
      <c r="G48" s="149"/>
      <c r="H48" s="97" t="s">
        <v>95</v>
      </c>
      <c r="I48" s="98"/>
      <c r="J48" s="99"/>
    </row>
    <row r="49" spans="1:10" x14ac:dyDescent="0.3">
      <c r="A49" s="135"/>
      <c r="B49" s="48" t="s">
        <v>59</v>
      </c>
      <c r="C49" s="52">
        <v>12758000</v>
      </c>
      <c r="D49" s="44">
        <f>C49/$C$52</f>
        <v>0.64489713390284586</v>
      </c>
      <c r="E49" s="150"/>
      <c r="F49" s="148"/>
      <c r="G49" s="149"/>
      <c r="H49" s="100"/>
      <c r="I49" s="101"/>
      <c r="J49" s="102"/>
    </row>
    <row r="50" spans="1:10" ht="82.2" customHeight="1" x14ac:dyDescent="0.3">
      <c r="A50" s="135"/>
      <c r="B50" s="48" t="s">
        <v>60</v>
      </c>
      <c r="C50" s="52">
        <v>6040000</v>
      </c>
      <c r="D50" s="44">
        <f t="shared" ref="D50:D52" si="3">C50/$C$52</f>
        <v>0.30531264216751758</v>
      </c>
      <c r="E50" s="150"/>
      <c r="F50" s="148"/>
      <c r="G50" s="149"/>
      <c r="H50" s="100"/>
      <c r="I50" s="101"/>
      <c r="J50" s="102"/>
    </row>
    <row r="51" spans="1:10" ht="94.8" customHeight="1" x14ac:dyDescent="0.3">
      <c r="A51" s="135"/>
      <c r="B51" s="48" t="s">
        <v>61</v>
      </c>
      <c r="C51" s="52">
        <v>985000</v>
      </c>
      <c r="D51" s="44">
        <f t="shared" si="3"/>
        <v>4.9790223929636557E-2</v>
      </c>
      <c r="E51" s="150"/>
      <c r="F51" s="148"/>
      <c r="G51" s="149"/>
      <c r="H51" s="100"/>
      <c r="I51" s="101"/>
      <c r="J51" s="102"/>
    </row>
    <row r="52" spans="1:10" ht="15" thickBot="1" x14ac:dyDescent="0.35">
      <c r="A52" s="135"/>
      <c r="B52" s="64" t="s">
        <v>13</v>
      </c>
      <c r="C52" s="65">
        <f>SUM(C49:C51)</f>
        <v>19783000</v>
      </c>
      <c r="D52" s="53">
        <f t="shared" si="3"/>
        <v>1</v>
      </c>
      <c r="E52" s="150"/>
      <c r="F52" s="148"/>
      <c r="G52" s="149"/>
      <c r="H52" s="103"/>
      <c r="I52" s="104"/>
      <c r="J52" s="105"/>
    </row>
    <row r="53" spans="1:10" ht="15" thickBot="1" x14ac:dyDescent="0.35">
      <c r="A53" s="94" t="s">
        <v>66</v>
      </c>
      <c r="B53" s="95"/>
      <c r="C53" s="95"/>
      <c r="D53" s="95"/>
      <c r="E53" s="95"/>
      <c r="F53" s="95"/>
      <c r="G53" s="95"/>
      <c r="H53" s="95"/>
      <c r="I53" s="95"/>
      <c r="J53" s="96"/>
    </row>
    <row r="54" spans="1:10" ht="32.4" customHeight="1" x14ac:dyDescent="0.3">
      <c r="A54" s="121">
        <v>6</v>
      </c>
      <c r="B54" s="71" t="s">
        <v>69</v>
      </c>
      <c r="C54" s="72" t="s">
        <v>70</v>
      </c>
      <c r="D54" s="124" t="s">
        <v>73</v>
      </c>
      <c r="E54" s="125"/>
      <c r="F54" s="125"/>
      <c r="G54" s="126"/>
      <c r="H54" s="106" t="s">
        <v>71</v>
      </c>
      <c r="I54" s="107"/>
      <c r="J54" s="108"/>
    </row>
    <row r="55" spans="1:10" ht="41.4" customHeight="1" x14ac:dyDescent="0.3">
      <c r="A55" s="122"/>
      <c r="B55" s="48" t="s">
        <v>67</v>
      </c>
      <c r="C55" s="49">
        <v>196</v>
      </c>
      <c r="D55" s="124"/>
      <c r="E55" s="125"/>
      <c r="F55" s="125"/>
      <c r="G55" s="126"/>
      <c r="H55" s="109"/>
      <c r="I55" s="110"/>
      <c r="J55" s="111"/>
    </row>
    <row r="56" spans="1:10" ht="51.6" customHeight="1" x14ac:dyDescent="0.3">
      <c r="A56" s="122"/>
      <c r="B56" s="48" t="s">
        <v>68</v>
      </c>
      <c r="C56" s="49">
        <v>4</v>
      </c>
      <c r="D56" s="124"/>
      <c r="E56" s="125"/>
      <c r="F56" s="125"/>
      <c r="G56" s="126"/>
      <c r="H56" s="109"/>
      <c r="I56" s="110"/>
      <c r="J56" s="111"/>
    </row>
    <row r="57" spans="1:10" ht="51.6" customHeight="1" x14ac:dyDescent="0.3">
      <c r="A57" s="123"/>
      <c r="B57" s="55" t="s">
        <v>92</v>
      </c>
      <c r="C57" s="56">
        <v>0</v>
      </c>
      <c r="D57" s="124"/>
      <c r="E57" s="125"/>
      <c r="F57" s="125"/>
      <c r="G57" s="126"/>
      <c r="H57" s="109"/>
      <c r="I57" s="110"/>
      <c r="J57" s="111"/>
    </row>
    <row r="58" spans="1:10" ht="15" thickBot="1" x14ac:dyDescent="0.35">
      <c r="A58" s="123"/>
      <c r="B58" s="64" t="s">
        <v>13</v>
      </c>
      <c r="C58" s="66">
        <f>SUM(C55:C56)</f>
        <v>200</v>
      </c>
      <c r="D58" s="118"/>
      <c r="E58" s="119"/>
      <c r="F58" s="119"/>
      <c r="G58" s="120"/>
      <c r="H58" s="112"/>
      <c r="I58" s="113"/>
      <c r="J58" s="114"/>
    </row>
    <row r="59" spans="1:10" ht="15" thickBot="1" x14ac:dyDescent="0.35">
      <c r="A59" s="94" t="s">
        <v>74</v>
      </c>
      <c r="B59" s="95"/>
      <c r="C59" s="95"/>
      <c r="D59" s="95"/>
      <c r="E59" s="95"/>
      <c r="F59" s="95"/>
      <c r="G59" s="95"/>
      <c r="H59" s="95"/>
      <c r="I59" s="95"/>
      <c r="J59" s="96"/>
    </row>
    <row r="60" spans="1:10" ht="143.4" customHeight="1" thickBot="1" x14ac:dyDescent="0.35">
      <c r="A60" s="67">
        <v>7</v>
      </c>
      <c r="B60" s="118" t="s">
        <v>76</v>
      </c>
      <c r="C60" s="119"/>
      <c r="D60" s="119"/>
      <c r="E60" s="119"/>
      <c r="F60" s="119"/>
      <c r="G60" s="120"/>
      <c r="H60" s="115" t="s">
        <v>75</v>
      </c>
      <c r="I60" s="116"/>
      <c r="J60" s="117"/>
    </row>
    <row r="61" spans="1:10" ht="15" thickBot="1" x14ac:dyDescent="0.35">
      <c r="A61" s="94" t="s">
        <v>77</v>
      </c>
      <c r="B61" s="95"/>
      <c r="C61" s="95"/>
      <c r="D61" s="95"/>
      <c r="E61" s="95"/>
      <c r="F61" s="95"/>
      <c r="G61" s="95"/>
      <c r="H61" s="95"/>
      <c r="I61" s="95"/>
      <c r="J61" s="96"/>
    </row>
    <row r="62" spans="1:10" ht="14.4" customHeight="1" x14ac:dyDescent="0.3">
      <c r="A62" s="133">
        <v>8</v>
      </c>
      <c r="B62" s="58" t="s">
        <v>79</v>
      </c>
      <c r="C62" s="59" t="s">
        <v>80</v>
      </c>
      <c r="D62" s="72" t="s">
        <v>21</v>
      </c>
      <c r="E62" s="125" t="s">
        <v>81</v>
      </c>
      <c r="F62" s="125"/>
      <c r="G62" s="126"/>
      <c r="H62" s="97" t="s">
        <v>97</v>
      </c>
      <c r="I62" s="98"/>
      <c r="J62" s="99"/>
    </row>
    <row r="63" spans="1:10" ht="104.4" customHeight="1" x14ac:dyDescent="0.3">
      <c r="A63" s="133"/>
      <c r="B63" s="48" t="s">
        <v>59</v>
      </c>
      <c r="C63" s="45" t="s">
        <v>17</v>
      </c>
      <c r="D63" s="49">
        <v>135</v>
      </c>
      <c r="E63" s="125"/>
      <c r="F63" s="125"/>
      <c r="G63" s="126"/>
      <c r="H63" s="100"/>
      <c r="I63" s="101"/>
      <c r="J63" s="102"/>
    </row>
    <row r="64" spans="1:10" ht="66" customHeight="1" x14ac:dyDescent="0.3">
      <c r="A64" s="133"/>
      <c r="B64" s="48" t="s">
        <v>60</v>
      </c>
      <c r="C64" s="45" t="s">
        <v>16</v>
      </c>
      <c r="D64" s="49">
        <v>151</v>
      </c>
      <c r="E64" s="125"/>
      <c r="F64" s="125"/>
      <c r="G64" s="126"/>
      <c r="H64" s="100"/>
      <c r="I64" s="101"/>
      <c r="J64" s="102"/>
    </row>
    <row r="65" spans="1:10" ht="25.8" customHeight="1" thickBot="1" x14ac:dyDescent="0.35">
      <c r="A65" s="133"/>
      <c r="B65" s="55" t="s">
        <v>61</v>
      </c>
      <c r="C65" s="54" t="s">
        <v>78</v>
      </c>
      <c r="D65" s="56">
        <v>130</v>
      </c>
      <c r="E65" s="125"/>
      <c r="F65" s="125"/>
      <c r="G65" s="126"/>
      <c r="H65" s="100"/>
      <c r="I65" s="101"/>
      <c r="J65" s="102"/>
    </row>
    <row r="66" spans="1:10" x14ac:dyDescent="0.3">
      <c r="A66" s="133"/>
      <c r="B66" s="127" t="s">
        <v>13</v>
      </c>
      <c r="C66" s="128"/>
      <c r="D66" s="131">
        <f>SUM(D63:D65)</f>
        <v>416</v>
      </c>
      <c r="E66" s="125"/>
      <c r="F66" s="125"/>
      <c r="G66" s="126"/>
      <c r="H66" s="100"/>
      <c r="I66" s="101"/>
      <c r="J66" s="102"/>
    </row>
    <row r="67" spans="1:10" ht="15" thickBot="1" x14ac:dyDescent="0.35">
      <c r="A67" s="134"/>
      <c r="B67" s="129"/>
      <c r="C67" s="130"/>
      <c r="D67" s="132"/>
      <c r="E67" s="119"/>
      <c r="F67" s="119"/>
      <c r="G67" s="120"/>
      <c r="H67" s="103"/>
      <c r="I67" s="104"/>
      <c r="J67" s="105"/>
    </row>
  </sheetData>
  <mergeCells count="38">
    <mergeCell ref="H3:J15"/>
    <mergeCell ref="B1:D1"/>
    <mergeCell ref="E3:G15"/>
    <mergeCell ref="A48:A52"/>
    <mergeCell ref="E48:G52"/>
    <mergeCell ref="A24:A37"/>
    <mergeCell ref="A16:J16"/>
    <mergeCell ref="A2:J2"/>
    <mergeCell ref="H1:J1"/>
    <mergeCell ref="H17:J22"/>
    <mergeCell ref="E1:G1"/>
    <mergeCell ref="A3:A15"/>
    <mergeCell ref="B17:D17"/>
    <mergeCell ref="A17:A22"/>
    <mergeCell ref="E17:G22"/>
    <mergeCell ref="B3:D3"/>
    <mergeCell ref="A23:J23"/>
    <mergeCell ref="H24:J37"/>
    <mergeCell ref="A38:J38"/>
    <mergeCell ref="H39:J46"/>
    <mergeCell ref="A47:J47"/>
    <mergeCell ref="D24:G37"/>
    <mergeCell ref="E39:G46"/>
    <mergeCell ref="A39:A46"/>
    <mergeCell ref="A61:J61"/>
    <mergeCell ref="H62:J67"/>
    <mergeCell ref="H48:J52"/>
    <mergeCell ref="A53:J53"/>
    <mergeCell ref="H54:J58"/>
    <mergeCell ref="A59:J59"/>
    <mergeCell ref="H60:J60"/>
    <mergeCell ref="B60:G60"/>
    <mergeCell ref="A54:A58"/>
    <mergeCell ref="D54:G58"/>
    <mergeCell ref="E62:G67"/>
    <mergeCell ref="B66:C67"/>
    <mergeCell ref="D66:D67"/>
    <mergeCell ref="A62:A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3F81-6CEE-4026-B955-4D0B6B41ACB7}">
  <dimension ref="A1:J63"/>
  <sheetViews>
    <sheetView showGridLines="0" workbookViewId="0">
      <selection activeCell="D4" sqref="D4:G11"/>
    </sheetView>
  </sheetViews>
  <sheetFormatPr defaultRowHeight="14.4" x14ac:dyDescent="0.3"/>
  <cols>
    <col min="2" max="2" width="15" customWidth="1"/>
    <col min="3" max="3" width="14.88671875" bestFit="1" customWidth="1"/>
    <col min="4" max="4" width="14.88671875" customWidth="1"/>
    <col min="5" max="5" width="34.5546875" customWidth="1"/>
    <col min="10" max="10" width="34.109375" customWidth="1"/>
  </cols>
  <sheetData>
    <row r="1" spans="1:10" ht="15" thickBot="1" x14ac:dyDescent="0.35"/>
    <row r="2" spans="1:10" ht="15.6" thickTop="1" thickBot="1" x14ac:dyDescent="0.35">
      <c r="A2" s="2"/>
      <c r="B2" s="169" t="s">
        <v>12</v>
      </c>
      <c r="C2" s="169"/>
      <c r="D2" s="176" t="s">
        <v>11</v>
      </c>
      <c r="E2" s="177"/>
      <c r="F2" s="177"/>
      <c r="G2" s="178"/>
      <c r="H2" s="169" t="s">
        <v>9</v>
      </c>
      <c r="I2" s="169"/>
      <c r="J2" s="169"/>
    </row>
    <row r="3" spans="1:10" ht="15" customHeight="1" thickTop="1" thickBot="1" x14ac:dyDescent="0.35">
      <c r="A3" s="154" t="s">
        <v>7</v>
      </c>
      <c r="B3" s="119"/>
      <c r="C3" s="119"/>
      <c r="D3" s="119"/>
      <c r="E3" s="119"/>
      <c r="F3" s="119"/>
      <c r="G3" s="119"/>
      <c r="H3" s="119"/>
      <c r="I3" s="119"/>
      <c r="J3" s="120"/>
    </row>
    <row r="4" spans="1:10" ht="57.6" customHeight="1" thickBot="1" x14ac:dyDescent="0.35">
      <c r="A4" s="180">
        <v>1</v>
      </c>
      <c r="B4" s="170" t="s">
        <v>8</v>
      </c>
      <c r="C4" s="171"/>
      <c r="D4" s="179" t="s">
        <v>10</v>
      </c>
      <c r="E4" s="146"/>
      <c r="F4" s="146"/>
      <c r="G4" s="147"/>
      <c r="H4" s="124" t="s">
        <v>82</v>
      </c>
      <c r="I4" s="125"/>
      <c r="J4" s="126"/>
    </row>
    <row r="5" spans="1:10" x14ac:dyDescent="0.3">
      <c r="A5" s="133"/>
      <c r="B5" s="6" t="s">
        <v>5</v>
      </c>
      <c r="C5" s="7" t="s">
        <v>6</v>
      </c>
      <c r="D5" s="124"/>
      <c r="E5" s="125"/>
      <c r="F5" s="125"/>
      <c r="G5" s="126"/>
      <c r="H5" s="124"/>
      <c r="I5" s="125"/>
      <c r="J5" s="126"/>
    </row>
    <row r="6" spans="1:10" x14ac:dyDescent="0.3">
      <c r="A6" s="133"/>
      <c r="B6" s="12" t="s">
        <v>0</v>
      </c>
      <c r="C6" s="4">
        <v>16</v>
      </c>
      <c r="D6" s="124"/>
      <c r="E6" s="125"/>
      <c r="F6" s="125"/>
      <c r="G6" s="126"/>
      <c r="H6" s="124"/>
      <c r="I6" s="125"/>
      <c r="J6" s="126"/>
    </row>
    <row r="7" spans="1:10" x14ac:dyDescent="0.3">
      <c r="A7" s="133"/>
      <c r="B7" s="12" t="s">
        <v>1</v>
      </c>
      <c r="C7" s="4">
        <v>15</v>
      </c>
      <c r="D7" s="124"/>
      <c r="E7" s="125"/>
      <c r="F7" s="125"/>
      <c r="G7" s="126"/>
      <c r="H7" s="124"/>
      <c r="I7" s="125"/>
      <c r="J7" s="126"/>
    </row>
    <row r="8" spans="1:10" x14ac:dyDescent="0.3">
      <c r="A8" s="133"/>
      <c r="B8" s="12" t="s">
        <v>2</v>
      </c>
      <c r="C8" s="4">
        <v>11</v>
      </c>
      <c r="D8" s="124"/>
      <c r="E8" s="125"/>
      <c r="F8" s="125"/>
      <c r="G8" s="126"/>
      <c r="H8" s="124"/>
      <c r="I8" s="125"/>
      <c r="J8" s="126"/>
    </row>
    <row r="9" spans="1:10" x14ac:dyDescent="0.3">
      <c r="A9" s="133"/>
      <c r="B9" s="12" t="s">
        <v>3</v>
      </c>
      <c r="C9" s="4">
        <v>10</v>
      </c>
      <c r="D9" s="124"/>
      <c r="E9" s="125"/>
      <c r="F9" s="125"/>
      <c r="G9" s="126"/>
      <c r="H9" s="124"/>
      <c r="I9" s="125"/>
      <c r="J9" s="126"/>
    </row>
    <row r="10" spans="1:10" x14ac:dyDescent="0.3">
      <c r="A10" s="133"/>
      <c r="B10" s="9" t="s">
        <v>4</v>
      </c>
      <c r="C10" s="5">
        <v>10</v>
      </c>
      <c r="D10" s="124"/>
      <c r="E10" s="125"/>
      <c r="F10" s="125"/>
      <c r="G10" s="126"/>
      <c r="H10" s="124"/>
      <c r="I10" s="125"/>
      <c r="J10" s="126"/>
    </row>
    <row r="11" spans="1:10" ht="15" thickBot="1" x14ac:dyDescent="0.35">
      <c r="A11" s="134"/>
      <c r="B11" s="13" t="s">
        <v>13</v>
      </c>
      <c r="C11" s="3">
        <f>SUM(C6:C10)</f>
        <v>62</v>
      </c>
      <c r="D11" s="118"/>
      <c r="E11" s="119"/>
      <c r="F11" s="119"/>
      <c r="G11" s="120"/>
      <c r="H11" s="118"/>
      <c r="I11" s="119"/>
      <c r="J11" s="120"/>
    </row>
    <row r="12" spans="1:10" ht="15" thickBot="1" x14ac:dyDescent="0.35">
      <c r="A12" s="172" t="s">
        <v>14</v>
      </c>
      <c r="B12" s="174"/>
      <c r="C12" s="174"/>
      <c r="D12" s="173"/>
      <c r="E12" s="173"/>
      <c r="F12" s="173"/>
      <c r="G12" s="173"/>
      <c r="H12" s="174"/>
      <c r="I12" s="174"/>
      <c r="J12" s="175"/>
    </row>
    <row r="13" spans="1:10" ht="15" customHeight="1" thickBot="1" x14ac:dyDescent="0.35">
      <c r="A13" s="180">
        <v>2</v>
      </c>
      <c r="B13" s="189" t="s">
        <v>15</v>
      </c>
      <c r="C13" s="190"/>
      <c r="D13" s="179" t="s">
        <v>19</v>
      </c>
      <c r="E13" s="146"/>
      <c r="F13" s="146"/>
      <c r="G13" s="147"/>
      <c r="H13" s="179" t="s">
        <v>65</v>
      </c>
      <c r="I13" s="146"/>
      <c r="J13" s="147"/>
    </row>
    <row r="14" spans="1:10" ht="15" thickBot="1" x14ac:dyDescent="0.35">
      <c r="A14" s="133"/>
      <c r="B14" s="8" t="s">
        <v>20</v>
      </c>
      <c r="C14" s="23" t="s">
        <v>21</v>
      </c>
      <c r="D14" s="124"/>
      <c r="E14" s="125"/>
      <c r="F14" s="125"/>
      <c r="G14" s="126"/>
      <c r="H14" s="124"/>
      <c r="I14" s="125"/>
      <c r="J14" s="126"/>
    </row>
    <row r="15" spans="1:10" ht="28.8" x14ac:dyDescent="0.3">
      <c r="A15" s="133"/>
      <c r="B15" s="11" t="s">
        <v>16</v>
      </c>
      <c r="C15" s="10">
        <v>151</v>
      </c>
      <c r="D15" s="124"/>
      <c r="E15" s="125"/>
      <c r="F15" s="125"/>
      <c r="G15" s="126"/>
      <c r="H15" s="124"/>
      <c r="I15" s="125"/>
      <c r="J15" s="126"/>
    </row>
    <row r="16" spans="1:10" ht="28.8" x14ac:dyDescent="0.3">
      <c r="A16" s="133"/>
      <c r="B16" s="12" t="s">
        <v>17</v>
      </c>
      <c r="C16" s="4">
        <v>135</v>
      </c>
      <c r="D16" s="124"/>
      <c r="E16" s="125"/>
      <c r="F16" s="125"/>
      <c r="G16" s="126"/>
      <c r="H16" s="124"/>
      <c r="I16" s="125"/>
      <c r="J16" s="126"/>
    </row>
    <row r="17" spans="1:10" ht="43.2" x14ac:dyDescent="0.3">
      <c r="A17" s="133"/>
      <c r="B17" s="12" t="s">
        <v>18</v>
      </c>
      <c r="C17" s="4">
        <v>134</v>
      </c>
      <c r="D17" s="124"/>
      <c r="E17" s="125"/>
      <c r="F17" s="125"/>
      <c r="G17" s="126"/>
      <c r="H17" s="124"/>
      <c r="I17" s="125"/>
      <c r="J17" s="126"/>
    </row>
    <row r="18" spans="1:10" ht="15" thickBot="1" x14ac:dyDescent="0.35">
      <c r="A18" s="133"/>
      <c r="B18" s="15" t="s">
        <v>13</v>
      </c>
      <c r="C18" s="17">
        <f>SUM(C15:C17)</f>
        <v>420</v>
      </c>
      <c r="D18" s="118"/>
      <c r="E18" s="119"/>
      <c r="F18" s="119"/>
      <c r="G18" s="120"/>
      <c r="H18" s="124"/>
      <c r="I18" s="125"/>
      <c r="J18" s="126"/>
    </row>
    <row r="19" spans="1:10" ht="15" thickBot="1" x14ac:dyDescent="0.35">
      <c r="A19" s="181" t="s">
        <v>24</v>
      </c>
      <c r="B19" s="182"/>
      <c r="C19" s="182"/>
      <c r="D19" s="182"/>
      <c r="E19" s="182"/>
      <c r="F19" s="182"/>
      <c r="G19" s="182"/>
      <c r="H19" s="182"/>
      <c r="I19" s="182"/>
      <c r="J19" s="183"/>
    </row>
    <row r="20" spans="1:10" ht="14.4" customHeight="1" x14ac:dyDescent="0.3">
      <c r="A20" s="135">
        <v>3</v>
      </c>
      <c r="B20" s="18" t="s">
        <v>22</v>
      </c>
      <c r="C20" s="14" t="s">
        <v>23</v>
      </c>
      <c r="D20" s="179" t="s">
        <v>38</v>
      </c>
      <c r="E20" s="146"/>
      <c r="F20" s="146"/>
      <c r="G20" s="147"/>
      <c r="H20" s="179" t="s">
        <v>25</v>
      </c>
      <c r="I20" s="184"/>
      <c r="J20" s="185"/>
    </row>
    <row r="21" spans="1:10" x14ac:dyDescent="0.3">
      <c r="A21" s="135"/>
      <c r="B21" s="21" t="s">
        <v>26</v>
      </c>
      <c r="C21" s="40">
        <v>1555000</v>
      </c>
      <c r="D21" s="124"/>
      <c r="E21" s="125"/>
      <c r="F21" s="125"/>
      <c r="G21" s="126"/>
      <c r="H21" s="150"/>
      <c r="I21" s="148"/>
      <c r="J21" s="149"/>
    </row>
    <row r="22" spans="1:10" x14ac:dyDescent="0.3">
      <c r="A22" s="135"/>
      <c r="B22" s="21" t="s">
        <v>27</v>
      </c>
      <c r="C22" s="40">
        <v>396000</v>
      </c>
      <c r="D22" s="124"/>
      <c r="E22" s="125"/>
      <c r="F22" s="125"/>
      <c r="G22" s="126"/>
      <c r="H22" s="150"/>
      <c r="I22" s="148"/>
      <c r="J22" s="149"/>
    </row>
    <row r="23" spans="1:10" x14ac:dyDescent="0.3">
      <c r="A23" s="135"/>
      <c r="B23" s="21" t="s">
        <v>28</v>
      </c>
      <c r="C23" s="40">
        <v>789000</v>
      </c>
      <c r="D23" s="124"/>
      <c r="E23" s="125"/>
      <c r="F23" s="125"/>
      <c r="G23" s="126"/>
      <c r="H23" s="150"/>
      <c r="I23" s="148"/>
      <c r="J23" s="149"/>
    </row>
    <row r="24" spans="1:10" x14ac:dyDescent="0.3">
      <c r="A24" s="135"/>
      <c r="B24" s="21" t="s">
        <v>29</v>
      </c>
      <c r="C24" s="40">
        <v>1704000</v>
      </c>
      <c r="D24" s="124"/>
      <c r="E24" s="125"/>
      <c r="F24" s="125"/>
      <c r="G24" s="126"/>
      <c r="H24" s="150"/>
      <c r="I24" s="148"/>
      <c r="J24" s="149"/>
    </row>
    <row r="25" spans="1:10" x14ac:dyDescent="0.3">
      <c r="A25" s="135"/>
      <c r="B25" s="21" t="s">
        <v>30</v>
      </c>
      <c r="C25" s="40">
        <v>1582000</v>
      </c>
      <c r="D25" s="124"/>
      <c r="E25" s="125"/>
      <c r="F25" s="125"/>
      <c r="G25" s="126"/>
      <c r="H25" s="150"/>
      <c r="I25" s="148"/>
      <c r="J25" s="149"/>
    </row>
    <row r="26" spans="1:10" x14ac:dyDescent="0.3">
      <c r="A26" s="135"/>
      <c r="B26" s="21" t="s">
        <v>31</v>
      </c>
      <c r="C26" s="40">
        <v>1040000</v>
      </c>
      <c r="D26" s="124"/>
      <c r="E26" s="125"/>
      <c r="F26" s="125"/>
      <c r="G26" s="126"/>
      <c r="H26" s="150"/>
      <c r="I26" s="148"/>
      <c r="J26" s="149"/>
    </row>
    <row r="27" spans="1:10" x14ac:dyDescent="0.3">
      <c r="A27" s="135"/>
      <c r="B27" s="21" t="s">
        <v>32</v>
      </c>
      <c r="C27" s="40">
        <v>2568000</v>
      </c>
      <c r="D27" s="124"/>
      <c r="E27" s="125"/>
      <c r="F27" s="125"/>
      <c r="G27" s="126"/>
      <c r="H27" s="150"/>
      <c r="I27" s="148"/>
      <c r="J27" s="149"/>
    </row>
    <row r="28" spans="1:10" x14ac:dyDescent="0.3">
      <c r="A28" s="135"/>
      <c r="B28" s="21" t="s">
        <v>33</v>
      </c>
      <c r="C28" s="40">
        <v>1800000</v>
      </c>
      <c r="D28" s="124"/>
      <c r="E28" s="125"/>
      <c r="F28" s="125"/>
      <c r="G28" s="126"/>
      <c r="H28" s="150"/>
      <c r="I28" s="148"/>
      <c r="J28" s="149"/>
    </row>
    <row r="29" spans="1:10" x14ac:dyDescent="0.3">
      <c r="A29" s="135"/>
      <c r="B29" s="21" t="s">
        <v>34</v>
      </c>
      <c r="C29" s="40">
        <v>2927000</v>
      </c>
      <c r="D29" s="124"/>
      <c r="E29" s="125"/>
      <c r="F29" s="125"/>
      <c r="G29" s="126"/>
      <c r="H29" s="150"/>
      <c r="I29" s="148"/>
      <c r="J29" s="149"/>
    </row>
    <row r="30" spans="1:10" x14ac:dyDescent="0.3">
      <c r="A30" s="135"/>
      <c r="B30" s="21" t="s">
        <v>35</v>
      </c>
      <c r="C30" s="40">
        <v>1497000</v>
      </c>
      <c r="D30" s="124"/>
      <c r="E30" s="125"/>
      <c r="F30" s="125"/>
      <c r="G30" s="126"/>
      <c r="H30" s="150"/>
      <c r="I30" s="148"/>
      <c r="J30" s="149"/>
    </row>
    <row r="31" spans="1:10" x14ac:dyDescent="0.3">
      <c r="A31" s="135"/>
      <c r="B31" s="21" t="s">
        <v>36</v>
      </c>
      <c r="C31" s="40">
        <v>1151000</v>
      </c>
      <c r="D31" s="124"/>
      <c r="E31" s="125"/>
      <c r="F31" s="125"/>
      <c r="G31" s="126"/>
      <c r="H31" s="150"/>
      <c r="I31" s="148"/>
      <c r="J31" s="149"/>
    </row>
    <row r="32" spans="1:10" x14ac:dyDescent="0.3">
      <c r="A32" s="135"/>
      <c r="B32" s="21" t="s">
        <v>37</v>
      </c>
      <c r="C32" s="40">
        <v>2774000</v>
      </c>
      <c r="D32" s="124"/>
      <c r="E32" s="125"/>
      <c r="F32" s="125"/>
      <c r="G32" s="126"/>
      <c r="H32" s="150"/>
      <c r="I32" s="148"/>
      <c r="J32" s="149"/>
    </row>
    <row r="33" spans="1:10" ht="15" thickBot="1" x14ac:dyDescent="0.35">
      <c r="A33" s="129"/>
      <c r="B33" s="22" t="s">
        <v>13</v>
      </c>
      <c r="C33" s="41">
        <f>SUM(C21:C32)</f>
        <v>19783000</v>
      </c>
      <c r="D33" s="118"/>
      <c r="E33" s="119"/>
      <c r="F33" s="119"/>
      <c r="G33" s="120"/>
      <c r="H33" s="186"/>
      <c r="I33" s="187"/>
      <c r="J33" s="188"/>
    </row>
    <row r="34" spans="1:10" ht="15" thickBot="1" x14ac:dyDescent="0.35">
      <c r="A34" s="172" t="s">
        <v>39</v>
      </c>
      <c r="B34" s="173"/>
      <c r="C34" s="173"/>
      <c r="D34" s="173"/>
      <c r="E34" s="174"/>
      <c r="F34" s="174"/>
      <c r="G34" s="174"/>
      <c r="H34" s="174"/>
      <c r="I34" s="174"/>
      <c r="J34" s="175"/>
    </row>
    <row r="35" spans="1:10" ht="15" customHeight="1" thickBot="1" x14ac:dyDescent="0.35">
      <c r="A35" s="127">
        <v>4</v>
      </c>
      <c r="B35" s="24" t="s">
        <v>54</v>
      </c>
      <c r="C35" s="25" t="s">
        <v>20</v>
      </c>
      <c r="D35" s="26" t="s">
        <v>55</v>
      </c>
      <c r="E35" s="146" t="s">
        <v>57</v>
      </c>
      <c r="F35" s="146"/>
      <c r="G35" s="147"/>
      <c r="H35" s="179" t="s">
        <v>56</v>
      </c>
      <c r="I35" s="184"/>
      <c r="J35" s="185"/>
    </row>
    <row r="36" spans="1:10" x14ac:dyDescent="0.3">
      <c r="A36" s="135"/>
      <c r="B36" s="28">
        <v>57</v>
      </c>
      <c r="C36" s="29" t="s">
        <v>47</v>
      </c>
      <c r="D36" s="30">
        <v>8</v>
      </c>
      <c r="E36" s="125"/>
      <c r="F36" s="125"/>
      <c r="G36" s="126"/>
      <c r="H36" s="150"/>
      <c r="I36" s="148"/>
      <c r="J36" s="149"/>
    </row>
    <row r="37" spans="1:10" x14ac:dyDescent="0.3">
      <c r="A37" s="135"/>
      <c r="B37" s="19">
        <v>32</v>
      </c>
      <c r="C37" s="1" t="s">
        <v>53</v>
      </c>
      <c r="D37" s="20">
        <v>6</v>
      </c>
      <c r="E37" s="125"/>
      <c r="F37" s="125"/>
      <c r="G37" s="126"/>
      <c r="H37" s="150"/>
      <c r="I37" s="148"/>
      <c r="J37" s="149"/>
    </row>
    <row r="38" spans="1:10" x14ac:dyDescent="0.3">
      <c r="A38" s="135"/>
      <c r="B38" s="19">
        <v>68</v>
      </c>
      <c r="C38" s="1" t="s">
        <v>40</v>
      </c>
      <c r="D38" s="20">
        <v>5</v>
      </c>
      <c r="E38" s="125"/>
      <c r="F38" s="125"/>
      <c r="G38" s="126"/>
      <c r="H38" s="150"/>
      <c r="I38" s="148"/>
      <c r="J38" s="149"/>
    </row>
    <row r="39" spans="1:10" x14ac:dyDescent="0.3">
      <c r="A39" s="135"/>
      <c r="B39" s="19">
        <v>61</v>
      </c>
      <c r="C39" s="1" t="s">
        <v>42</v>
      </c>
      <c r="D39" s="20">
        <v>5</v>
      </c>
      <c r="E39" s="125"/>
      <c r="F39" s="125"/>
      <c r="G39" s="126"/>
      <c r="H39" s="150"/>
      <c r="I39" s="148"/>
      <c r="J39" s="149"/>
    </row>
    <row r="40" spans="1:10" x14ac:dyDescent="0.3">
      <c r="A40" s="135"/>
      <c r="B40" s="19">
        <v>84</v>
      </c>
      <c r="C40" s="1" t="s">
        <v>45</v>
      </c>
      <c r="D40" s="20">
        <v>5</v>
      </c>
      <c r="E40" s="125"/>
      <c r="F40" s="125"/>
      <c r="G40" s="126"/>
      <c r="H40" s="150"/>
      <c r="I40" s="148"/>
      <c r="J40" s="149"/>
    </row>
    <row r="41" spans="1:10" x14ac:dyDescent="0.3">
      <c r="A41" s="135"/>
      <c r="B41" s="19">
        <v>11</v>
      </c>
      <c r="C41" s="1" t="s">
        <v>46</v>
      </c>
      <c r="D41" s="20">
        <v>5</v>
      </c>
      <c r="E41" s="125"/>
      <c r="F41" s="125"/>
      <c r="G41" s="126"/>
      <c r="H41" s="150"/>
      <c r="I41" s="148"/>
      <c r="J41" s="149"/>
    </row>
    <row r="42" spans="1:10" x14ac:dyDescent="0.3">
      <c r="A42" s="135"/>
      <c r="B42" s="19">
        <v>75</v>
      </c>
      <c r="C42" s="1" t="s">
        <v>51</v>
      </c>
      <c r="D42" s="20">
        <v>5</v>
      </c>
      <c r="E42" s="125"/>
      <c r="F42" s="125"/>
      <c r="G42" s="126"/>
      <c r="H42" s="150"/>
      <c r="I42" s="148"/>
      <c r="J42" s="149"/>
    </row>
    <row r="43" spans="1:10" x14ac:dyDescent="0.3">
      <c r="A43" s="135"/>
      <c r="B43" s="19">
        <v>51</v>
      </c>
      <c r="C43" s="1" t="s">
        <v>52</v>
      </c>
      <c r="D43" s="20">
        <v>5</v>
      </c>
      <c r="E43" s="125"/>
      <c r="F43" s="125"/>
      <c r="G43" s="126"/>
      <c r="H43" s="150"/>
      <c r="I43" s="148"/>
      <c r="J43" s="149"/>
    </row>
    <row r="44" spans="1:10" x14ac:dyDescent="0.3">
      <c r="A44" s="135"/>
      <c r="B44" s="19">
        <v>24</v>
      </c>
      <c r="C44" s="1" t="s">
        <v>41</v>
      </c>
      <c r="D44" s="20">
        <v>4</v>
      </c>
      <c r="E44" s="125"/>
      <c r="F44" s="125"/>
      <c r="G44" s="126"/>
      <c r="H44" s="150"/>
      <c r="I44" s="148"/>
      <c r="J44" s="149"/>
    </row>
    <row r="45" spans="1:10" x14ac:dyDescent="0.3">
      <c r="A45" s="135"/>
      <c r="B45" s="19">
        <v>78</v>
      </c>
      <c r="C45" s="1" t="s">
        <v>43</v>
      </c>
      <c r="D45" s="20">
        <v>4</v>
      </c>
      <c r="E45" s="125"/>
      <c r="F45" s="125"/>
      <c r="G45" s="126"/>
      <c r="H45" s="150"/>
      <c r="I45" s="148"/>
      <c r="J45" s="149"/>
    </row>
    <row r="46" spans="1:10" x14ac:dyDescent="0.3">
      <c r="A46" s="135"/>
      <c r="B46" s="19">
        <v>17</v>
      </c>
      <c r="C46" s="1" t="s">
        <v>44</v>
      </c>
      <c r="D46" s="20">
        <v>4</v>
      </c>
      <c r="E46" s="125"/>
      <c r="F46" s="125"/>
      <c r="G46" s="126"/>
      <c r="H46" s="150"/>
      <c r="I46" s="148"/>
      <c r="J46" s="149"/>
    </row>
    <row r="47" spans="1:10" x14ac:dyDescent="0.3">
      <c r="A47" s="135"/>
      <c r="B47" s="19">
        <v>14</v>
      </c>
      <c r="C47" s="1" t="s">
        <v>48</v>
      </c>
      <c r="D47" s="20">
        <v>4</v>
      </c>
      <c r="E47" s="125"/>
      <c r="F47" s="125"/>
      <c r="G47" s="126"/>
      <c r="H47" s="150"/>
      <c r="I47" s="148"/>
      <c r="J47" s="149"/>
    </row>
    <row r="48" spans="1:10" x14ac:dyDescent="0.3">
      <c r="A48" s="135"/>
      <c r="B48" s="19">
        <v>88</v>
      </c>
      <c r="C48" s="1" t="s">
        <v>49</v>
      </c>
      <c r="D48" s="20">
        <v>4</v>
      </c>
      <c r="E48" s="125"/>
      <c r="F48" s="125"/>
      <c r="G48" s="126"/>
      <c r="H48" s="150"/>
      <c r="I48" s="148"/>
      <c r="J48" s="149"/>
    </row>
    <row r="49" spans="1:10" ht="15" thickBot="1" x14ac:dyDescent="0.35">
      <c r="A49" s="135"/>
      <c r="B49" s="31">
        <v>41</v>
      </c>
      <c r="C49" s="32" t="s">
        <v>50</v>
      </c>
      <c r="D49" s="33">
        <v>4</v>
      </c>
      <c r="E49" s="125"/>
      <c r="F49" s="125"/>
      <c r="G49" s="126"/>
      <c r="H49" s="150"/>
      <c r="I49" s="148"/>
      <c r="J49" s="149"/>
    </row>
    <row r="50" spans="1:10" ht="15" thickBot="1" x14ac:dyDescent="0.35">
      <c r="A50" s="129"/>
      <c r="B50" s="191" t="s">
        <v>13</v>
      </c>
      <c r="C50" s="192"/>
      <c r="D50" s="27">
        <f>SUM(D36:D49)</f>
        <v>68</v>
      </c>
      <c r="E50" s="119"/>
      <c r="F50" s="119"/>
      <c r="G50" s="120"/>
      <c r="H50" s="186"/>
      <c r="I50" s="187"/>
      <c r="J50" s="188"/>
    </row>
    <row r="51" spans="1:10" ht="15" thickBot="1" x14ac:dyDescent="0.35">
      <c r="A51" s="172" t="s">
        <v>58</v>
      </c>
      <c r="B51" s="174"/>
      <c r="C51" s="174"/>
      <c r="D51" s="174"/>
      <c r="E51" s="174"/>
      <c r="F51" s="174"/>
      <c r="G51" s="174"/>
      <c r="H51" s="174"/>
      <c r="I51" s="174"/>
      <c r="J51" s="175"/>
    </row>
    <row r="52" spans="1:10" x14ac:dyDescent="0.3">
      <c r="A52" s="135">
        <v>5</v>
      </c>
      <c r="B52" s="34" t="s">
        <v>62</v>
      </c>
      <c r="C52" s="35" t="s">
        <v>63</v>
      </c>
      <c r="D52" s="196" t="s">
        <v>64</v>
      </c>
      <c r="E52" s="173"/>
      <c r="F52" s="173"/>
      <c r="G52" s="197"/>
      <c r="H52" s="196" t="s">
        <v>72</v>
      </c>
      <c r="I52" s="173"/>
      <c r="J52" s="197"/>
    </row>
    <row r="53" spans="1:10" x14ac:dyDescent="0.3">
      <c r="A53" s="135"/>
      <c r="B53" s="1" t="s">
        <v>59</v>
      </c>
      <c r="C53" s="4">
        <v>12758000</v>
      </c>
      <c r="D53" s="198"/>
      <c r="E53" s="199"/>
      <c r="F53" s="199"/>
      <c r="G53" s="200"/>
      <c r="H53" s="198"/>
      <c r="I53" s="199"/>
      <c r="J53" s="200"/>
    </row>
    <row r="54" spans="1:10" x14ac:dyDescent="0.3">
      <c r="A54" s="135"/>
      <c r="B54" s="1" t="s">
        <v>60</v>
      </c>
      <c r="C54" s="4">
        <v>6040000</v>
      </c>
      <c r="D54" s="198"/>
      <c r="E54" s="199"/>
      <c r="F54" s="199"/>
      <c r="G54" s="200"/>
      <c r="H54" s="198"/>
      <c r="I54" s="199"/>
      <c r="J54" s="200"/>
    </row>
    <row r="55" spans="1:10" x14ac:dyDescent="0.3">
      <c r="A55" s="135"/>
      <c r="B55" s="1" t="s">
        <v>61</v>
      </c>
      <c r="C55" s="4">
        <v>985000</v>
      </c>
      <c r="D55" s="198"/>
      <c r="E55" s="199"/>
      <c r="F55" s="199"/>
      <c r="G55" s="200"/>
      <c r="H55" s="198"/>
      <c r="I55" s="199"/>
      <c r="J55" s="200"/>
    </row>
    <row r="56" spans="1:10" ht="15" thickBot="1" x14ac:dyDescent="0.35">
      <c r="A56" s="135"/>
      <c r="B56" s="36" t="s">
        <v>13</v>
      </c>
      <c r="C56" s="37">
        <f>SUM(C53:C55)</f>
        <v>19783000</v>
      </c>
      <c r="D56" s="198"/>
      <c r="E56" s="199"/>
      <c r="F56" s="199"/>
      <c r="G56" s="200"/>
      <c r="H56" s="198"/>
      <c r="I56" s="199"/>
      <c r="J56" s="200"/>
    </row>
    <row r="57" spans="1:10" ht="15" thickBot="1" x14ac:dyDescent="0.35">
      <c r="A57" s="201" t="s">
        <v>66</v>
      </c>
      <c r="B57" s="173"/>
      <c r="C57" s="173"/>
      <c r="D57" s="174"/>
      <c r="E57" s="174"/>
      <c r="F57" s="174"/>
      <c r="G57" s="174"/>
      <c r="H57" s="174"/>
      <c r="I57" s="174"/>
      <c r="J57" s="175"/>
    </row>
    <row r="58" spans="1:10" ht="32.4" customHeight="1" x14ac:dyDescent="0.3">
      <c r="A58" s="202">
        <v>6</v>
      </c>
      <c r="B58" s="16" t="s">
        <v>69</v>
      </c>
      <c r="C58" s="38" t="s">
        <v>70</v>
      </c>
      <c r="D58" s="204" t="s">
        <v>71</v>
      </c>
      <c r="E58" s="205"/>
      <c r="F58" s="205"/>
      <c r="G58" s="206"/>
      <c r="H58" s="179" t="s">
        <v>73</v>
      </c>
      <c r="I58" s="184"/>
      <c r="J58" s="185"/>
    </row>
    <row r="59" spans="1:10" ht="41.4" customHeight="1" x14ac:dyDescent="0.3">
      <c r="A59" s="202"/>
      <c r="B59" s="1" t="s">
        <v>67</v>
      </c>
      <c r="C59" s="4">
        <v>196</v>
      </c>
      <c r="D59" s="207"/>
      <c r="E59" s="208"/>
      <c r="F59" s="208"/>
      <c r="G59" s="209"/>
      <c r="H59" s="150"/>
      <c r="I59" s="148"/>
      <c r="J59" s="149"/>
    </row>
    <row r="60" spans="1:10" ht="51.6" customHeight="1" x14ac:dyDescent="0.3">
      <c r="A60" s="202"/>
      <c r="B60" s="1" t="s">
        <v>68</v>
      </c>
      <c r="C60" s="4">
        <v>4</v>
      </c>
      <c r="D60" s="207"/>
      <c r="E60" s="208"/>
      <c r="F60" s="208"/>
      <c r="G60" s="209"/>
      <c r="H60" s="150"/>
      <c r="I60" s="148"/>
      <c r="J60" s="149"/>
    </row>
    <row r="61" spans="1:10" ht="15" thickBot="1" x14ac:dyDescent="0.35">
      <c r="A61" s="203"/>
      <c r="B61" s="36" t="s">
        <v>13</v>
      </c>
      <c r="C61" s="37">
        <f>SUM(C59:C60)</f>
        <v>200</v>
      </c>
      <c r="D61" s="207"/>
      <c r="E61" s="208"/>
      <c r="F61" s="208"/>
      <c r="G61" s="209"/>
      <c r="H61" s="150"/>
      <c r="I61" s="148"/>
      <c r="J61" s="149"/>
    </row>
    <row r="62" spans="1:10" ht="15" thickBot="1" x14ac:dyDescent="0.35">
      <c r="A62" s="172" t="s">
        <v>74</v>
      </c>
      <c r="B62" s="174"/>
      <c r="C62" s="174"/>
      <c r="D62" s="174"/>
      <c r="E62" s="174"/>
      <c r="F62" s="174"/>
      <c r="G62" s="174"/>
      <c r="H62" s="174"/>
      <c r="I62" s="174"/>
      <c r="J62" s="175"/>
    </row>
    <row r="63" spans="1:10" ht="152.4" customHeight="1" thickBot="1" x14ac:dyDescent="0.35">
      <c r="A63" s="39">
        <v>7</v>
      </c>
      <c r="B63" s="154" t="s">
        <v>76</v>
      </c>
      <c r="C63" s="155"/>
      <c r="D63" s="156"/>
      <c r="E63" s="193" t="s">
        <v>75</v>
      </c>
      <c r="F63" s="194"/>
      <c r="G63" s="194"/>
      <c r="H63" s="194"/>
      <c r="I63" s="194"/>
      <c r="J63" s="195"/>
    </row>
  </sheetData>
  <mergeCells count="33">
    <mergeCell ref="A51:J51"/>
    <mergeCell ref="A62:J62"/>
    <mergeCell ref="E63:J63"/>
    <mergeCell ref="B63:D63"/>
    <mergeCell ref="A52:A56"/>
    <mergeCell ref="D52:G56"/>
    <mergeCell ref="H52:J56"/>
    <mergeCell ref="A57:J57"/>
    <mergeCell ref="A58:A61"/>
    <mergeCell ref="D58:G61"/>
    <mergeCell ref="H58:J61"/>
    <mergeCell ref="H4:J11"/>
    <mergeCell ref="A3:J3"/>
    <mergeCell ref="B50:C50"/>
    <mergeCell ref="A35:A50"/>
    <mergeCell ref="E35:G50"/>
    <mergeCell ref="H35:J50"/>
    <mergeCell ref="B2:C2"/>
    <mergeCell ref="B4:C4"/>
    <mergeCell ref="A34:J34"/>
    <mergeCell ref="D2:G2"/>
    <mergeCell ref="D4:G11"/>
    <mergeCell ref="D13:G18"/>
    <mergeCell ref="D20:G33"/>
    <mergeCell ref="H2:J2"/>
    <mergeCell ref="A4:A11"/>
    <mergeCell ref="A20:A33"/>
    <mergeCell ref="A19:J19"/>
    <mergeCell ref="H20:J33"/>
    <mergeCell ref="A12:J12"/>
    <mergeCell ref="B13:C13"/>
    <mergeCell ref="H13:J18"/>
    <mergeCell ref="A13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E-commece 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Maurya</dc:creator>
  <cp:lastModifiedBy>Apoorva Maurya</cp:lastModifiedBy>
  <dcterms:created xsi:type="dcterms:W3CDTF">2026-04-01T09:56:28Z</dcterms:created>
  <dcterms:modified xsi:type="dcterms:W3CDTF">2026-05-14T07:10:11Z</dcterms:modified>
</cp:coreProperties>
</file>